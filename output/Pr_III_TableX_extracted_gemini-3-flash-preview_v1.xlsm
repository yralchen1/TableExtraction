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725"/>
  <workbookPr/>
  <mc:AlternateContent xmlns:mc="http://schemas.openxmlformats.org/markup-compatibility/2006">
    <mc:Choice Requires="x15">
      <x15ac:absPath xmlns:x15ac="http://schemas.microsoft.com/office/spreadsheetml/2010/11/ac" url="F:\UMD\AI\Table_extraction\output\"/>
    </mc:Choice>
  </mc:AlternateContent>
  <xr:revisionPtr revIDLastSave="0" documentId="13_ncr:1_{EC2E9812-0D88-4E68-8287-BCB965C27C30}" xr6:coauthVersionLast="47" xr6:coauthVersionMax="47" xr10:uidLastSave="{00000000-0000-0000-0000-000000000000}"/>
  <bookViews>
    <workbookView xWindow="17025" yWindow="4500" windowWidth="33765" windowHeight="15345" xr2:uid="{00000000-000D-0000-FFFF-FFFF00000000}"/>
  </bookViews>
  <sheets>
    <sheet name="Table 1" sheetId="1" r:id="rId1"/>
  </sheets>
  <definedNames>
    <definedName name="_xlnm._FilterDatabase" localSheetId="0" hidden="1">'Table 1'!$A$1:$AF$2948</definedName>
  </definedNames>
  <calcPr calcId="191029" refMode="R1C1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V2931" i="1" l="1"/>
  <c r="U2931" i="1"/>
  <c r="S2931" i="1"/>
  <c r="P2931" i="1"/>
  <c r="Q2931" i="1" s="1"/>
  <c r="W2931" i="1" s="1"/>
  <c r="X2931" i="1" s="1"/>
  <c r="Z2948" i="1"/>
  <c r="Y2948" i="1"/>
  <c r="Z2947" i="1"/>
  <c r="Y2947" i="1"/>
  <c r="Z2946" i="1"/>
  <c r="Y2946" i="1"/>
  <c r="Z2945" i="1"/>
  <c r="Y2945" i="1"/>
  <c r="Z2944" i="1"/>
  <c r="Y2944" i="1"/>
  <c r="Z2943" i="1"/>
  <c r="Y2943" i="1"/>
  <c r="AA2943" i="1" s="1"/>
  <c r="Z2942" i="1"/>
  <c r="Y2942" i="1"/>
  <c r="AA2942" i="1" s="1"/>
  <c r="Z2941" i="1"/>
  <c r="Y2941" i="1"/>
  <c r="Z2940" i="1"/>
  <c r="Y2940" i="1"/>
  <c r="Z2939" i="1"/>
  <c r="Y2939" i="1"/>
  <c r="AA2939" i="1" s="1"/>
  <c r="Z2938" i="1"/>
  <c r="Y2938" i="1"/>
  <c r="Z2937" i="1"/>
  <c r="Y2937" i="1"/>
  <c r="Z2936" i="1"/>
  <c r="Y2936" i="1"/>
  <c r="AA2936" i="1" s="1"/>
  <c r="AB2936" i="1" s="1"/>
  <c r="Z2935" i="1"/>
  <c r="Y2935" i="1"/>
  <c r="AA2935" i="1" s="1"/>
  <c r="AB2935" i="1" s="1"/>
  <c r="Z2934" i="1"/>
  <c r="Y2934" i="1"/>
  <c r="Z2933" i="1"/>
  <c r="Y2933" i="1"/>
  <c r="Z2932" i="1"/>
  <c r="Y2932" i="1"/>
  <c r="AA2932" i="1" s="1"/>
  <c r="AB2932" i="1" s="1"/>
  <c r="Z2931" i="1"/>
  <c r="Y2931" i="1"/>
  <c r="Z2930" i="1"/>
  <c r="Y2930" i="1"/>
  <c r="Z2929" i="1"/>
  <c r="Y2929" i="1"/>
  <c r="Z2928" i="1"/>
  <c r="Y2928" i="1"/>
  <c r="Z2927" i="1"/>
  <c r="Y2927" i="1"/>
  <c r="Z2926" i="1"/>
  <c r="Y2926" i="1"/>
  <c r="Z2925" i="1"/>
  <c r="Y2925" i="1"/>
  <c r="Z2924" i="1"/>
  <c r="Y2924" i="1"/>
  <c r="Z2923" i="1"/>
  <c r="Y2923" i="1"/>
  <c r="AA2923" i="1" s="1"/>
  <c r="Z2922" i="1"/>
  <c r="Y2922" i="1"/>
  <c r="Z2921" i="1"/>
  <c r="Y2921" i="1"/>
  <c r="Z2920" i="1"/>
  <c r="Y2920" i="1"/>
  <c r="Z2919" i="1"/>
  <c r="Y2919" i="1"/>
  <c r="Z2918" i="1"/>
  <c r="Y2918" i="1"/>
  <c r="Z2917" i="1"/>
  <c r="Y2917" i="1"/>
  <c r="Z2916" i="1"/>
  <c r="Y2916" i="1"/>
  <c r="Z2915" i="1"/>
  <c r="Y2915" i="1"/>
  <c r="AA2915" i="1" s="1"/>
  <c r="Z2914" i="1"/>
  <c r="Y2914" i="1"/>
  <c r="Z2913" i="1"/>
  <c r="Y2913" i="1"/>
  <c r="Z2912" i="1"/>
  <c r="Y2912" i="1"/>
  <c r="Z2911" i="1"/>
  <c r="Y2911" i="1"/>
  <c r="Z2910" i="1"/>
  <c r="Y2910" i="1"/>
  <c r="AA2910" i="1" s="1"/>
  <c r="Z2909" i="1"/>
  <c r="Y2909" i="1"/>
  <c r="AA2909" i="1" s="1"/>
  <c r="Z2908" i="1"/>
  <c r="Y2908" i="1"/>
  <c r="Z2907" i="1"/>
  <c r="Y2907" i="1"/>
  <c r="AA2907" i="1" s="1"/>
  <c r="AB2907" i="1" s="1"/>
  <c r="Z2906" i="1"/>
  <c r="Y2906" i="1"/>
  <c r="Z2905" i="1"/>
  <c r="Y2905" i="1"/>
  <c r="Z2904" i="1"/>
  <c r="Y2904" i="1"/>
  <c r="AA2904" i="1" s="1"/>
  <c r="AB2904" i="1" s="1"/>
  <c r="Z2903" i="1"/>
  <c r="Y2903" i="1"/>
  <c r="AA2903" i="1" s="1"/>
  <c r="AB2903" i="1" s="1"/>
  <c r="Z2902" i="1"/>
  <c r="Y2902" i="1"/>
  <c r="AA2902" i="1" s="1"/>
  <c r="Z2901" i="1"/>
  <c r="Y2901" i="1"/>
  <c r="Z2900" i="1"/>
  <c r="Y2900" i="1"/>
  <c r="Z2899" i="1"/>
  <c r="Y2899" i="1"/>
  <c r="Z2898" i="1"/>
  <c r="Y2898" i="1"/>
  <c r="Z2897" i="1"/>
  <c r="Y2897" i="1"/>
  <c r="Z2896" i="1"/>
  <c r="Y2896" i="1"/>
  <c r="Z2895" i="1"/>
  <c r="Y2895" i="1"/>
  <c r="AA2895" i="1" s="1"/>
  <c r="Z2894" i="1"/>
  <c r="Y2894" i="1"/>
  <c r="Z2893" i="1"/>
  <c r="Y2893" i="1"/>
  <c r="Z2892" i="1"/>
  <c r="Y2892" i="1"/>
  <c r="Z2891" i="1"/>
  <c r="Y2891" i="1"/>
  <c r="AA2891" i="1" s="1"/>
  <c r="AB2891" i="1" s="1"/>
  <c r="AC2891" i="1" s="1"/>
  <c r="Z2890" i="1"/>
  <c r="Y2890" i="1"/>
  <c r="Z2889" i="1"/>
  <c r="Y2889" i="1"/>
  <c r="Z2888" i="1"/>
  <c r="Y2888" i="1"/>
  <c r="AA2888" i="1" s="1"/>
  <c r="AB2888" i="1" s="1"/>
  <c r="Z2887" i="1"/>
  <c r="Y2887" i="1"/>
  <c r="Z2886" i="1"/>
  <c r="Y2886" i="1"/>
  <c r="Z2885" i="1"/>
  <c r="Y2885" i="1"/>
  <c r="AA2885" i="1" s="1"/>
  <c r="Z2884" i="1"/>
  <c r="Y2884" i="1"/>
  <c r="Z2883" i="1"/>
  <c r="Y2883" i="1"/>
  <c r="AA2883" i="1" s="1"/>
  <c r="Z2882" i="1"/>
  <c r="Y2882" i="1"/>
  <c r="Z2881" i="1"/>
  <c r="Y2881" i="1"/>
  <c r="AA2881" i="1" s="1"/>
  <c r="Z2880" i="1"/>
  <c r="Y2880" i="1"/>
  <c r="Z2879" i="1"/>
  <c r="Y2879" i="1"/>
  <c r="AA2879" i="1" s="1"/>
  <c r="Z2878" i="1"/>
  <c r="Y2878" i="1"/>
  <c r="Z2877" i="1"/>
  <c r="Y2877" i="1"/>
  <c r="AA2877" i="1" s="1"/>
  <c r="AB2877" i="1" s="1"/>
  <c r="Z2876" i="1"/>
  <c r="Y2876" i="1"/>
  <c r="Z2875" i="1"/>
  <c r="Y2875" i="1"/>
  <c r="Z2874" i="1"/>
  <c r="Y2874" i="1"/>
  <c r="AA2874" i="1" s="1"/>
  <c r="Z2873" i="1"/>
  <c r="Y2873" i="1"/>
  <c r="Z2872" i="1"/>
  <c r="Y2872" i="1"/>
  <c r="AA2872" i="1" s="1"/>
  <c r="AB2872" i="1" s="1"/>
  <c r="AB2871" i="1"/>
  <c r="Z2871" i="1"/>
  <c r="Y2871" i="1"/>
  <c r="AA2871" i="1" s="1"/>
  <c r="Z2870" i="1"/>
  <c r="Y2870" i="1"/>
  <c r="Z2869" i="1"/>
  <c r="Y2869" i="1"/>
  <c r="Z2868" i="1"/>
  <c r="Y2868" i="1"/>
  <c r="Z2867" i="1"/>
  <c r="Y2867" i="1"/>
  <c r="AA2867" i="1" s="1"/>
  <c r="Z2866" i="1"/>
  <c r="Y2866" i="1"/>
  <c r="Z2865" i="1"/>
  <c r="Y2865" i="1"/>
  <c r="Z2864" i="1"/>
  <c r="Y2864" i="1"/>
  <c r="AA2864" i="1" s="1"/>
  <c r="Z2863" i="1"/>
  <c r="Y2863" i="1"/>
  <c r="Z2862" i="1"/>
  <c r="Y2862" i="1"/>
  <c r="Z2861" i="1"/>
  <c r="Y2861" i="1"/>
  <c r="Z2860" i="1"/>
  <c r="Y2860" i="1"/>
  <c r="Z2859" i="1"/>
  <c r="Y2859" i="1"/>
  <c r="AA2859" i="1" s="1"/>
  <c r="Z2858" i="1"/>
  <c r="Y2858" i="1"/>
  <c r="Z2857" i="1"/>
  <c r="Y2857" i="1"/>
  <c r="AA2857" i="1" s="1"/>
  <c r="AB2857" i="1" s="1"/>
  <c r="Z2856" i="1"/>
  <c r="Y2856" i="1"/>
  <c r="AA2856" i="1" s="1"/>
  <c r="AB2856" i="1" s="1"/>
  <c r="Z2855" i="1"/>
  <c r="Y2855" i="1"/>
  <c r="AA2855" i="1" s="1"/>
  <c r="Z2854" i="1"/>
  <c r="Y2854" i="1"/>
  <c r="Z2853" i="1"/>
  <c r="Y2853" i="1"/>
  <c r="AA2853" i="1" s="1"/>
  <c r="Z2852" i="1"/>
  <c r="Y2852" i="1"/>
  <c r="Z2851" i="1"/>
  <c r="Y2851" i="1"/>
  <c r="AA2851" i="1" s="1"/>
  <c r="Z2850" i="1"/>
  <c r="Y2850" i="1"/>
  <c r="AA2850" i="1" s="1"/>
  <c r="AB2850" i="1" s="1"/>
  <c r="Z2849" i="1"/>
  <c r="Y2849" i="1"/>
  <c r="AA2849" i="1" s="1"/>
  <c r="AB2849" i="1" s="1"/>
  <c r="Z2848" i="1"/>
  <c r="Y2848" i="1"/>
  <c r="Z2847" i="1"/>
  <c r="Y2847" i="1"/>
  <c r="AA2847" i="1" s="1"/>
  <c r="Z2846" i="1"/>
  <c r="Y2846" i="1"/>
  <c r="AA2846" i="1" s="1"/>
  <c r="Z2845" i="1"/>
  <c r="Y2845" i="1"/>
  <c r="AA2845" i="1" s="1"/>
  <c r="AB2845" i="1" s="1"/>
  <c r="Z2844" i="1"/>
  <c r="Y2844" i="1"/>
  <c r="Z2843" i="1"/>
  <c r="Y2843" i="1"/>
  <c r="AA2843" i="1" s="1"/>
  <c r="AB2843" i="1" s="1"/>
  <c r="Z2842" i="1"/>
  <c r="Y2842" i="1"/>
  <c r="Z2841" i="1"/>
  <c r="Y2841" i="1"/>
  <c r="Z2840" i="1"/>
  <c r="Y2840" i="1"/>
  <c r="AA2840" i="1" s="1"/>
  <c r="AB2840" i="1" s="1"/>
  <c r="Z2839" i="1"/>
  <c r="Y2839" i="1"/>
  <c r="AA2839" i="1" s="1"/>
  <c r="Z2838" i="1"/>
  <c r="Y2838" i="1"/>
  <c r="Z2837" i="1"/>
  <c r="Y2837" i="1"/>
  <c r="Z2836" i="1"/>
  <c r="Y2836" i="1"/>
  <c r="AA2836" i="1" s="1"/>
  <c r="AB2836" i="1" s="1"/>
  <c r="Z2835" i="1"/>
  <c r="Y2835" i="1"/>
  <c r="Z2834" i="1"/>
  <c r="Y2834" i="1"/>
  <c r="Z2833" i="1"/>
  <c r="Y2833" i="1"/>
  <c r="Z2832" i="1"/>
  <c r="Y2832" i="1"/>
  <c r="AA2832" i="1" s="1"/>
  <c r="Z2831" i="1"/>
  <c r="Y2831" i="1"/>
  <c r="Z2830" i="1"/>
  <c r="Y2830" i="1"/>
  <c r="AA2830" i="1" s="1"/>
  <c r="AB2830" i="1" s="1"/>
  <c r="Z2829" i="1"/>
  <c r="Y2829" i="1"/>
  <c r="AA2829" i="1" s="1"/>
  <c r="AB2829" i="1" s="1"/>
  <c r="Z2828" i="1"/>
  <c r="Y2828" i="1"/>
  <c r="Z2827" i="1"/>
  <c r="Y2827" i="1"/>
  <c r="AA2827" i="1" s="1"/>
  <c r="Z2826" i="1"/>
  <c r="Y2826" i="1"/>
  <c r="Z2825" i="1"/>
  <c r="Y2825" i="1"/>
  <c r="Z2824" i="1"/>
  <c r="Y2824" i="1"/>
  <c r="Z2823" i="1"/>
  <c r="Y2823" i="1"/>
  <c r="Z2822" i="1"/>
  <c r="Y2822" i="1"/>
  <c r="AA2822" i="1" s="1"/>
  <c r="Z2821" i="1"/>
  <c r="Y2821" i="1"/>
  <c r="Z2820" i="1"/>
  <c r="Y2820" i="1"/>
  <c r="AA2820" i="1" s="1"/>
  <c r="Z2819" i="1"/>
  <c r="Y2819" i="1"/>
  <c r="AA2819" i="1" s="1"/>
  <c r="Z2818" i="1"/>
  <c r="Y2818" i="1"/>
  <c r="Z2817" i="1"/>
  <c r="Y2817" i="1"/>
  <c r="Z2816" i="1"/>
  <c r="Y2816" i="1"/>
  <c r="Z2815" i="1"/>
  <c r="Y2815" i="1"/>
  <c r="AA2815" i="1" s="1"/>
  <c r="AB2815" i="1" s="1"/>
  <c r="Z2814" i="1"/>
  <c r="Y2814" i="1"/>
  <c r="AA2814" i="1" s="1"/>
  <c r="Z2813" i="1"/>
  <c r="Y2813" i="1"/>
  <c r="AA2813" i="1" s="1"/>
  <c r="AB2813" i="1" s="1"/>
  <c r="Z2812" i="1"/>
  <c r="Y2812" i="1"/>
  <c r="Z2811" i="1"/>
  <c r="Y2811" i="1"/>
  <c r="Z2810" i="1"/>
  <c r="Y2810" i="1"/>
  <c r="Z2809" i="1"/>
  <c r="Y2809" i="1"/>
  <c r="AA2809" i="1" s="1"/>
  <c r="AB2809" i="1" s="1"/>
  <c r="Z2808" i="1"/>
  <c r="Y2808" i="1"/>
  <c r="AA2808" i="1" s="1"/>
  <c r="AB2808" i="1" s="1"/>
  <c r="Z2807" i="1"/>
  <c r="Y2807" i="1"/>
  <c r="AA2807" i="1" s="1"/>
  <c r="AB2807" i="1" s="1"/>
  <c r="Z2806" i="1"/>
  <c r="Y2806" i="1"/>
  <c r="Z2805" i="1"/>
  <c r="Y2805" i="1"/>
  <c r="Z2804" i="1"/>
  <c r="Y2804" i="1"/>
  <c r="AA2804" i="1" s="1"/>
  <c r="Z2803" i="1"/>
  <c r="Y2803" i="1"/>
  <c r="Z2802" i="1"/>
  <c r="Y2802" i="1"/>
  <c r="Z2801" i="1"/>
  <c r="Y2801" i="1"/>
  <c r="Z2800" i="1"/>
  <c r="Y2800" i="1"/>
  <c r="Z2799" i="1"/>
  <c r="Y2799" i="1"/>
  <c r="AA2799" i="1" s="1"/>
  <c r="AB2799" i="1" s="1"/>
  <c r="Z2798" i="1"/>
  <c r="Y2798" i="1"/>
  <c r="Z2797" i="1"/>
  <c r="Y2797" i="1"/>
  <c r="Z2796" i="1"/>
  <c r="Y2796" i="1"/>
  <c r="Z2795" i="1"/>
  <c r="Y2795" i="1"/>
  <c r="AA2795" i="1" s="1"/>
  <c r="Z2794" i="1"/>
  <c r="Y2794" i="1"/>
  <c r="Z2793" i="1"/>
  <c r="Y2793" i="1"/>
  <c r="Z2792" i="1"/>
  <c r="Y2792" i="1"/>
  <c r="Z2791" i="1"/>
  <c r="Y2791" i="1"/>
  <c r="Z2790" i="1"/>
  <c r="Y2790" i="1"/>
  <c r="Z2789" i="1"/>
  <c r="Y2789" i="1"/>
  <c r="Z2788" i="1"/>
  <c r="Y2788" i="1"/>
  <c r="Z2787" i="1"/>
  <c r="Y2787" i="1"/>
  <c r="AA2787" i="1" s="1"/>
  <c r="Z2786" i="1"/>
  <c r="Y2786" i="1"/>
  <c r="AA2786" i="1" s="1"/>
  <c r="Z2785" i="1"/>
  <c r="Y2785" i="1"/>
  <c r="Z2784" i="1"/>
  <c r="Y2784" i="1"/>
  <c r="Z2783" i="1"/>
  <c r="Y2783" i="1"/>
  <c r="Z2782" i="1"/>
  <c r="Y2782" i="1"/>
  <c r="AA2782" i="1" s="1"/>
  <c r="Z2781" i="1"/>
  <c r="Y2781" i="1"/>
  <c r="AA2781" i="1" s="1"/>
  <c r="AB2781" i="1" s="1"/>
  <c r="Z2780" i="1"/>
  <c r="Y2780" i="1"/>
  <c r="Z2779" i="1"/>
  <c r="Y2779" i="1"/>
  <c r="AA2779" i="1" s="1"/>
  <c r="Z2778" i="1"/>
  <c r="Y2778" i="1"/>
  <c r="Z2777" i="1"/>
  <c r="Y2777" i="1"/>
  <c r="AA2777" i="1" s="1"/>
  <c r="AB2777" i="1" s="1"/>
  <c r="Z2776" i="1"/>
  <c r="Y2776" i="1"/>
  <c r="Z2775" i="1"/>
  <c r="Y2775" i="1"/>
  <c r="Z2774" i="1"/>
  <c r="Y2774" i="1"/>
  <c r="Z2773" i="1"/>
  <c r="Y2773" i="1"/>
  <c r="Z2772" i="1"/>
  <c r="Y2772" i="1"/>
  <c r="Z2771" i="1"/>
  <c r="Y2771" i="1"/>
  <c r="Z2770" i="1"/>
  <c r="Y2770" i="1"/>
  <c r="Z2769" i="1"/>
  <c r="Y2769" i="1"/>
  <c r="Z2768" i="1"/>
  <c r="Y2768" i="1"/>
  <c r="AA2768" i="1" s="1"/>
  <c r="Z2767" i="1"/>
  <c r="Y2767" i="1"/>
  <c r="Z2766" i="1"/>
  <c r="Y2766" i="1"/>
  <c r="AA2766" i="1" s="1"/>
  <c r="Z2765" i="1"/>
  <c r="Y2765" i="1"/>
  <c r="Z2764" i="1"/>
  <c r="Y2764" i="1"/>
  <c r="Z2763" i="1"/>
  <c r="Y2763" i="1"/>
  <c r="AA2763" i="1" s="1"/>
  <c r="AB2763" i="1" s="1"/>
  <c r="Z2762" i="1"/>
  <c r="Y2762" i="1"/>
  <c r="Z2761" i="1"/>
  <c r="Y2761" i="1"/>
  <c r="Z2760" i="1"/>
  <c r="Y2760" i="1"/>
  <c r="Z2759" i="1"/>
  <c r="Y2759" i="1"/>
  <c r="AA2759" i="1" s="1"/>
  <c r="AB2759" i="1" s="1"/>
  <c r="Z2758" i="1"/>
  <c r="Y2758" i="1"/>
  <c r="Z2757" i="1"/>
  <c r="Y2757" i="1"/>
  <c r="Z2756" i="1"/>
  <c r="Y2756" i="1"/>
  <c r="Z2755" i="1"/>
  <c r="Y2755" i="1"/>
  <c r="Z2754" i="1"/>
  <c r="Y2754" i="1"/>
  <c r="Z2753" i="1"/>
  <c r="Y2753" i="1"/>
  <c r="Z2752" i="1"/>
  <c r="Y2752" i="1"/>
  <c r="AA2752" i="1" s="1"/>
  <c r="AB2752" i="1" s="1"/>
  <c r="Z2751" i="1"/>
  <c r="Y2751" i="1"/>
  <c r="Z2750" i="1"/>
  <c r="Y2750" i="1"/>
  <c r="AA2750" i="1" s="1"/>
  <c r="Z2749" i="1"/>
  <c r="Y2749" i="1"/>
  <c r="AA2749" i="1" s="1"/>
  <c r="Z2748" i="1"/>
  <c r="Y2748" i="1"/>
  <c r="Z2747" i="1"/>
  <c r="Y2747" i="1"/>
  <c r="Z2746" i="1"/>
  <c r="Y2746" i="1"/>
  <c r="Z2745" i="1"/>
  <c r="Y2745" i="1"/>
  <c r="AA2745" i="1" s="1"/>
  <c r="AB2745" i="1" s="1"/>
  <c r="Z2744" i="1"/>
  <c r="Y2744" i="1"/>
  <c r="AA2744" i="1" s="1"/>
  <c r="AB2744" i="1" s="1"/>
  <c r="Z2743" i="1"/>
  <c r="Y2743" i="1"/>
  <c r="AA2743" i="1" s="1"/>
  <c r="AB2743" i="1" s="1"/>
  <c r="Z2742" i="1"/>
  <c r="Y2742" i="1"/>
  <c r="Z2741" i="1"/>
  <c r="Y2741" i="1"/>
  <c r="AA2741" i="1" s="1"/>
  <c r="AB2741" i="1" s="1"/>
  <c r="Z2740" i="1"/>
  <c r="Y2740" i="1"/>
  <c r="Z2739" i="1"/>
  <c r="Y2739" i="1"/>
  <c r="Z2738" i="1"/>
  <c r="Y2738" i="1"/>
  <c r="Z2737" i="1"/>
  <c r="Y2737" i="1"/>
  <c r="Z2736" i="1"/>
  <c r="Y2736" i="1"/>
  <c r="Z2735" i="1"/>
  <c r="Y2735" i="1"/>
  <c r="AA2735" i="1" s="1"/>
  <c r="AB2735" i="1" s="1"/>
  <c r="Z2734" i="1"/>
  <c r="Y2734" i="1"/>
  <c r="Z2733" i="1"/>
  <c r="Y2733" i="1"/>
  <c r="Z2732" i="1"/>
  <c r="Y2732" i="1"/>
  <c r="Z2731" i="1"/>
  <c r="Y2731" i="1"/>
  <c r="Z2730" i="1"/>
  <c r="Y2730" i="1"/>
  <c r="Z2729" i="1"/>
  <c r="Y2729" i="1"/>
  <c r="Z2728" i="1"/>
  <c r="Y2728" i="1"/>
  <c r="Z2727" i="1"/>
  <c r="Y2727" i="1"/>
  <c r="AA2727" i="1" s="1"/>
  <c r="Z2726" i="1"/>
  <c r="Y2726" i="1"/>
  <c r="Z2725" i="1"/>
  <c r="Y2725" i="1"/>
  <c r="Z2724" i="1"/>
  <c r="Y2724" i="1"/>
  <c r="Z2723" i="1"/>
  <c r="Y2723" i="1"/>
  <c r="Z2722" i="1"/>
  <c r="Y2722" i="1"/>
  <c r="AA2722" i="1" s="1"/>
  <c r="Z2721" i="1"/>
  <c r="Y2721" i="1"/>
  <c r="Z2720" i="1"/>
  <c r="Y2720" i="1"/>
  <c r="AA2720" i="1" s="1"/>
  <c r="Z2719" i="1"/>
  <c r="Y2719" i="1"/>
  <c r="Z2718" i="1"/>
  <c r="Y2718" i="1"/>
  <c r="AA2718" i="1" s="1"/>
  <c r="Z2717" i="1"/>
  <c r="Y2717" i="1"/>
  <c r="AA2717" i="1" s="1"/>
  <c r="Z2716" i="1"/>
  <c r="Y2716" i="1"/>
  <c r="AA2716" i="1" s="1"/>
  <c r="AB2716" i="1" s="1"/>
  <c r="Z2715" i="1"/>
  <c r="Y2715" i="1"/>
  <c r="AA2715" i="1" s="1"/>
  <c r="AB2715" i="1" s="1"/>
  <c r="Z2714" i="1"/>
  <c r="Y2714" i="1"/>
  <c r="Z2713" i="1"/>
  <c r="Y2713" i="1"/>
  <c r="AA2713" i="1" s="1"/>
  <c r="Z2712" i="1"/>
  <c r="Y2712" i="1"/>
  <c r="AA2712" i="1" s="1"/>
  <c r="AB2712" i="1" s="1"/>
  <c r="Z2711" i="1"/>
  <c r="Y2711" i="1"/>
  <c r="AA2711" i="1" s="1"/>
  <c r="AB2711" i="1" s="1"/>
  <c r="Z2710" i="1"/>
  <c r="Y2710" i="1"/>
  <c r="AA2710" i="1" s="1"/>
  <c r="Z2709" i="1"/>
  <c r="Y2709" i="1"/>
  <c r="Z2708" i="1"/>
  <c r="Y2708" i="1"/>
  <c r="Z2707" i="1"/>
  <c r="Y2707" i="1"/>
  <c r="Z2706" i="1"/>
  <c r="Y2706" i="1"/>
  <c r="Z2705" i="1"/>
  <c r="Y2705" i="1"/>
  <c r="Z2704" i="1"/>
  <c r="Y2704" i="1"/>
  <c r="Z2703" i="1"/>
  <c r="Y2703" i="1"/>
  <c r="AA2703" i="1" s="1"/>
  <c r="Z2702" i="1"/>
  <c r="Y2702" i="1"/>
  <c r="Z2701" i="1"/>
  <c r="Y2701" i="1"/>
  <c r="AA2701" i="1" s="1"/>
  <c r="Z2700" i="1"/>
  <c r="Y2700" i="1"/>
  <c r="Z2699" i="1"/>
  <c r="Y2699" i="1"/>
  <c r="AA2699" i="1" s="1"/>
  <c r="AB2699" i="1" s="1"/>
  <c r="Z2698" i="1"/>
  <c r="Y2698" i="1"/>
  <c r="Z2697" i="1"/>
  <c r="Y2697" i="1"/>
  <c r="Z2696" i="1"/>
  <c r="Y2696" i="1"/>
  <c r="AA2696" i="1" s="1"/>
  <c r="AB2696" i="1" s="1"/>
  <c r="Z2695" i="1"/>
  <c r="Y2695" i="1"/>
  <c r="Z2694" i="1"/>
  <c r="Y2694" i="1"/>
  <c r="Z2693" i="1"/>
  <c r="Y2693" i="1"/>
  <c r="AA2693" i="1" s="1"/>
  <c r="AB2693" i="1" s="1"/>
  <c r="Z2692" i="1"/>
  <c r="Y2692" i="1"/>
  <c r="Z2691" i="1"/>
  <c r="Y2691" i="1"/>
  <c r="Z2690" i="1"/>
  <c r="Y2690" i="1"/>
  <c r="Z2689" i="1"/>
  <c r="Y2689" i="1"/>
  <c r="Z2688" i="1"/>
  <c r="Y2688" i="1"/>
  <c r="Z2687" i="1"/>
  <c r="Y2687" i="1"/>
  <c r="Z2686" i="1"/>
  <c r="Y2686" i="1"/>
  <c r="AA2686" i="1" s="1"/>
  <c r="Z2685" i="1"/>
  <c r="Y2685" i="1"/>
  <c r="AA2685" i="1" s="1"/>
  <c r="Z2684" i="1"/>
  <c r="Y2684" i="1"/>
  <c r="Z2683" i="1"/>
  <c r="Y2683" i="1"/>
  <c r="Z2682" i="1"/>
  <c r="Y2682" i="1"/>
  <c r="Z2681" i="1"/>
  <c r="Y2681" i="1"/>
  <c r="Z2680" i="1"/>
  <c r="Y2680" i="1"/>
  <c r="AA2680" i="1" s="1"/>
  <c r="AB2680" i="1" s="1"/>
  <c r="Z2679" i="1"/>
  <c r="Y2679" i="1"/>
  <c r="AA2679" i="1" s="1"/>
  <c r="AB2679" i="1" s="1"/>
  <c r="Z2678" i="1"/>
  <c r="Y2678" i="1"/>
  <c r="Z2677" i="1"/>
  <c r="Y2677" i="1"/>
  <c r="AA2677" i="1" s="1"/>
  <c r="AB2677" i="1" s="1"/>
  <c r="Z2676" i="1"/>
  <c r="Y2676" i="1"/>
  <c r="Z2675" i="1"/>
  <c r="Y2675" i="1"/>
  <c r="AA2675" i="1" s="1"/>
  <c r="AB2675" i="1" s="1"/>
  <c r="Z2674" i="1"/>
  <c r="Y2674" i="1"/>
  <c r="Z2673" i="1"/>
  <c r="Y2673" i="1"/>
  <c r="Z2672" i="1"/>
  <c r="Y2672" i="1"/>
  <c r="Z2671" i="1"/>
  <c r="Y2671" i="1"/>
  <c r="Z2670" i="1"/>
  <c r="Y2670" i="1"/>
  <c r="Z2669" i="1"/>
  <c r="Y2669" i="1"/>
  <c r="Z2668" i="1"/>
  <c r="Y2668" i="1"/>
  <c r="Z2667" i="1"/>
  <c r="Y2667" i="1"/>
  <c r="AA2667" i="1" s="1"/>
  <c r="Z2666" i="1"/>
  <c r="Y2666" i="1"/>
  <c r="Z2665" i="1"/>
  <c r="Y2665" i="1"/>
  <c r="AA2665" i="1" s="1"/>
  <c r="AB2665" i="1" s="1"/>
  <c r="Z2664" i="1"/>
  <c r="Y2664" i="1"/>
  <c r="Z2663" i="1"/>
  <c r="Y2663" i="1"/>
  <c r="Z2662" i="1"/>
  <c r="Y2662" i="1"/>
  <c r="AA2662" i="1" s="1"/>
  <c r="Z2661" i="1"/>
  <c r="Y2661" i="1"/>
  <c r="AA2661" i="1" s="1"/>
  <c r="Z2660" i="1"/>
  <c r="Y2660" i="1"/>
  <c r="Z2659" i="1"/>
  <c r="Y2659" i="1"/>
  <c r="AA2659" i="1" s="1"/>
  <c r="AB2659" i="1" s="1"/>
  <c r="Z2658" i="1"/>
  <c r="Y2658" i="1"/>
  <c r="AA2658" i="1" s="1"/>
  <c r="AB2658" i="1" s="1"/>
  <c r="Z2657" i="1"/>
  <c r="Y2657" i="1"/>
  <c r="Z2656" i="1"/>
  <c r="Y2656" i="1"/>
  <c r="Z2655" i="1"/>
  <c r="Y2655" i="1"/>
  <c r="Z2654" i="1"/>
  <c r="Y2654" i="1"/>
  <c r="AA2654" i="1" s="1"/>
  <c r="Z2653" i="1"/>
  <c r="Y2653" i="1"/>
  <c r="AA2653" i="1" s="1"/>
  <c r="Z2652" i="1"/>
  <c r="Y2652" i="1"/>
  <c r="Z2651" i="1"/>
  <c r="Y2651" i="1"/>
  <c r="AA2651" i="1" s="1"/>
  <c r="Z2650" i="1"/>
  <c r="Y2650" i="1"/>
  <c r="Z2649" i="1"/>
  <c r="Y2649" i="1"/>
  <c r="Z2648" i="1"/>
  <c r="Y2648" i="1"/>
  <c r="AA2648" i="1" s="1"/>
  <c r="AB2648" i="1" s="1"/>
  <c r="Z2647" i="1"/>
  <c r="Y2647" i="1"/>
  <c r="Z2646" i="1"/>
  <c r="Y2646" i="1"/>
  <c r="Z2645" i="1"/>
  <c r="Y2645" i="1"/>
  <c r="Z2644" i="1"/>
  <c r="Y2644" i="1"/>
  <c r="Z2643" i="1"/>
  <c r="Y2643" i="1"/>
  <c r="Z2642" i="1"/>
  <c r="Y2642" i="1"/>
  <c r="Z2641" i="1"/>
  <c r="Y2641" i="1"/>
  <c r="Z2640" i="1"/>
  <c r="Y2640" i="1"/>
  <c r="Z2639" i="1"/>
  <c r="Y2639" i="1"/>
  <c r="AA2639" i="1" s="1"/>
  <c r="Z2638" i="1"/>
  <c r="Y2638" i="1"/>
  <c r="AA2638" i="1" s="1"/>
  <c r="Z2637" i="1"/>
  <c r="Y2637" i="1"/>
  <c r="Z2636" i="1"/>
  <c r="Y2636" i="1"/>
  <c r="Z2635" i="1"/>
  <c r="Y2635" i="1"/>
  <c r="Z2634" i="1"/>
  <c r="Y2634" i="1"/>
  <c r="Z2633" i="1"/>
  <c r="Y2633" i="1"/>
  <c r="Z2632" i="1"/>
  <c r="Y2632" i="1"/>
  <c r="AA2632" i="1" s="1"/>
  <c r="Z2631" i="1"/>
  <c r="Y2631" i="1"/>
  <c r="AA2631" i="1" s="1"/>
  <c r="Z2630" i="1"/>
  <c r="Y2630" i="1"/>
  <c r="Z2629" i="1"/>
  <c r="Y2629" i="1"/>
  <c r="AA2629" i="1" s="1"/>
  <c r="Z2628" i="1"/>
  <c r="Y2628" i="1"/>
  <c r="Z2627" i="1"/>
  <c r="Y2627" i="1"/>
  <c r="AA2627" i="1" s="1"/>
  <c r="Z2626" i="1"/>
  <c r="Y2626" i="1"/>
  <c r="Z2625" i="1"/>
  <c r="Y2625" i="1"/>
  <c r="AA2625" i="1" s="1"/>
  <c r="Z2624" i="1"/>
  <c r="Y2624" i="1"/>
  <c r="Z2623" i="1"/>
  <c r="Y2623" i="1"/>
  <c r="AA2623" i="1" s="1"/>
  <c r="Z2622" i="1"/>
  <c r="Y2622" i="1"/>
  <c r="AA2622" i="1" s="1"/>
  <c r="Z2621" i="1"/>
  <c r="Y2621" i="1"/>
  <c r="AA2621" i="1" s="1"/>
  <c r="AB2621" i="1" s="1"/>
  <c r="Z2620" i="1"/>
  <c r="Y2620" i="1"/>
  <c r="Z2619" i="1"/>
  <c r="Y2619" i="1"/>
  <c r="Z2618" i="1"/>
  <c r="Y2618" i="1"/>
  <c r="AA2618" i="1" s="1"/>
  <c r="AB2618" i="1" s="1"/>
  <c r="Z2617" i="1"/>
  <c r="Y2617" i="1"/>
  <c r="Z2616" i="1"/>
  <c r="Y2616" i="1"/>
  <c r="AA2616" i="1" s="1"/>
  <c r="AB2616" i="1" s="1"/>
  <c r="Z2615" i="1"/>
  <c r="Y2615" i="1"/>
  <c r="Z2614" i="1"/>
  <c r="Y2614" i="1"/>
  <c r="Z2613" i="1"/>
  <c r="Y2613" i="1"/>
  <c r="AA2613" i="1" s="1"/>
  <c r="AB2613" i="1" s="1"/>
  <c r="Z2612" i="1"/>
  <c r="Y2612" i="1"/>
  <c r="Z2611" i="1"/>
  <c r="Y2611" i="1"/>
  <c r="AA2611" i="1" s="1"/>
  <c r="Z2610" i="1"/>
  <c r="Y2610" i="1"/>
  <c r="AA2610" i="1" s="1"/>
  <c r="Z2609" i="1"/>
  <c r="Y2609" i="1"/>
  <c r="Z2608" i="1"/>
  <c r="Y2608" i="1"/>
  <c r="Z2607" i="1"/>
  <c r="Y2607" i="1"/>
  <c r="Z2606" i="1"/>
  <c r="Y2606" i="1"/>
  <c r="Z2605" i="1"/>
  <c r="Y2605" i="1"/>
  <c r="Z2604" i="1"/>
  <c r="Y2604" i="1"/>
  <c r="Z2603" i="1"/>
  <c r="Y2603" i="1"/>
  <c r="AA2603" i="1" s="1"/>
  <c r="Z2602" i="1"/>
  <c r="Y2602" i="1"/>
  <c r="Z2601" i="1"/>
  <c r="Y2601" i="1"/>
  <c r="Z2600" i="1"/>
  <c r="Y2600" i="1"/>
  <c r="Z2599" i="1"/>
  <c r="Y2599" i="1"/>
  <c r="Z2598" i="1"/>
  <c r="Y2598" i="1"/>
  <c r="AA2598" i="1" s="1"/>
  <c r="AB2598" i="1" s="1"/>
  <c r="Z2597" i="1"/>
  <c r="Y2597" i="1"/>
  <c r="Z2596" i="1"/>
  <c r="Y2596" i="1"/>
  <c r="Z2595" i="1"/>
  <c r="Y2595" i="1"/>
  <c r="AA2595" i="1" s="1"/>
  <c r="AB2595" i="1" s="1"/>
  <c r="Z2594" i="1"/>
  <c r="Y2594" i="1"/>
  <c r="AA2594" i="1" s="1"/>
  <c r="Z2593" i="1"/>
  <c r="Y2593" i="1"/>
  <c r="Z2592" i="1"/>
  <c r="Y2592" i="1"/>
  <c r="Z2591" i="1"/>
  <c r="Y2591" i="1"/>
  <c r="AA2591" i="1" s="1"/>
  <c r="Z2590" i="1"/>
  <c r="Y2590" i="1"/>
  <c r="Z2589" i="1"/>
  <c r="Y2589" i="1"/>
  <c r="Z2588" i="1"/>
  <c r="Y2588" i="1"/>
  <c r="Z2587" i="1"/>
  <c r="Y2587" i="1"/>
  <c r="Z2586" i="1"/>
  <c r="Y2586" i="1"/>
  <c r="Z2585" i="1"/>
  <c r="Y2585" i="1"/>
  <c r="Z2584" i="1"/>
  <c r="Y2584" i="1"/>
  <c r="AA2584" i="1" s="1"/>
  <c r="AB2584" i="1" s="1"/>
  <c r="Z2583" i="1"/>
  <c r="Y2583" i="1"/>
  <c r="AA2583" i="1" s="1"/>
  <c r="AB2583" i="1" s="1"/>
  <c r="Z2582" i="1"/>
  <c r="Y2582" i="1"/>
  <c r="Z2581" i="1"/>
  <c r="Y2581" i="1"/>
  <c r="Z2580" i="1"/>
  <c r="Y2580" i="1"/>
  <c r="Z2579" i="1"/>
  <c r="Y2579" i="1"/>
  <c r="Z2578" i="1"/>
  <c r="Y2578" i="1"/>
  <c r="AA2578" i="1" s="1"/>
  <c r="Z2577" i="1"/>
  <c r="Y2577" i="1"/>
  <c r="Z2576" i="1"/>
  <c r="Y2576" i="1"/>
  <c r="AA2576" i="1" s="1"/>
  <c r="Z2575" i="1"/>
  <c r="Y2575" i="1"/>
  <c r="Z2574" i="1"/>
  <c r="Y2574" i="1"/>
  <c r="Z2573" i="1"/>
  <c r="Y2573" i="1"/>
  <c r="Z2572" i="1"/>
  <c r="Y2572" i="1"/>
  <c r="Z2571" i="1"/>
  <c r="Y2571" i="1"/>
  <c r="Z2570" i="1"/>
  <c r="Y2570" i="1"/>
  <c r="AA2570" i="1" s="1"/>
  <c r="Z2569" i="1"/>
  <c r="Y2569" i="1"/>
  <c r="Z2568" i="1"/>
  <c r="Y2568" i="1"/>
  <c r="Z2567" i="1"/>
  <c r="Y2567" i="1"/>
  <c r="AA2567" i="1" s="1"/>
  <c r="AB2567" i="1" s="1"/>
  <c r="Z2566" i="1"/>
  <c r="Y2566" i="1"/>
  <c r="Z2565" i="1"/>
  <c r="Y2565" i="1"/>
  <c r="AA2565" i="1" s="1"/>
  <c r="Z2564" i="1"/>
  <c r="Y2564" i="1"/>
  <c r="Z2563" i="1"/>
  <c r="Y2563" i="1"/>
  <c r="Z2562" i="1"/>
  <c r="Y2562" i="1"/>
  <c r="Z2561" i="1"/>
  <c r="Y2561" i="1"/>
  <c r="Z2560" i="1"/>
  <c r="Y2560" i="1"/>
  <c r="AA2560" i="1" s="1"/>
  <c r="AB2560" i="1" s="1"/>
  <c r="Z2559" i="1"/>
  <c r="Y2559" i="1"/>
  <c r="Z2558" i="1"/>
  <c r="Y2558" i="1"/>
  <c r="AA2558" i="1" s="1"/>
  <c r="Z2557" i="1"/>
  <c r="Y2557" i="1"/>
  <c r="Z2556" i="1"/>
  <c r="Y2556" i="1"/>
  <c r="Z2555" i="1"/>
  <c r="Y2555" i="1"/>
  <c r="AA2555" i="1" s="1"/>
  <c r="Z2554" i="1"/>
  <c r="Y2554" i="1"/>
  <c r="Z2553" i="1"/>
  <c r="Y2553" i="1"/>
  <c r="AA2553" i="1" s="1"/>
  <c r="Z2552" i="1"/>
  <c r="Y2552" i="1"/>
  <c r="AA2552" i="1" s="1"/>
  <c r="AB2552" i="1" s="1"/>
  <c r="Z2551" i="1"/>
  <c r="Y2551" i="1"/>
  <c r="AA2551" i="1" s="1"/>
  <c r="AB2551" i="1" s="1"/>
  <c r="Z2550" i="1"/>
  <c r="Y2550" i="1"/>
  <c r="Z2549" i="1"/>
  <c r="Y2549" i="1"/>
  <c r="AA2549" i="1" s="1"/>
  <c r="Z2548" i="1"/>
  <c r="Y2548" i="1"/>
  <c r="AA2548" i="1" s="1"/>
  <c r="Z2547" i="1"/>
  <c r="Y2547" i="1"/>
  <c r="Z2546" i="1"/>
  <c r="Y2546" i="1"/>
  <c r="AA2546" i="1" s="1"/>
  <c r="Z2545" i="1"/>
  <c r="Y2545" i="1"/>
  <c r="Z2544" i="1"/>
  <c r="Y2544" i="1"/>
  <c r="Z2543" i="1"/>
  <c r="Y2543" i="1"/>
  <c r="Z2542" i="1"/>
  <c r="Y2542" i="1"/>
  <c r="Z2541" i="1"/>
  <c r="Y2541" i="1"/>
  <c r="AA2541" i="1" s="1"/>
  <c r="Z2540" i="1"/>
  <c r="Y2540" i="1"/>
  <c r="Z2539" i="1"/>
  <c r="Y2539" i="1"/>
  <c r="AA2539" i="1" s="1"/>
  <c r="AB2539" i="1" s="1"/>
  <c r="Z2538" i="1"/>
  <c r="Y2538" i="1"/>
  <c r="Z2537" i="1"/>
  <c r="Y2537" i="1"/>
  <c r="Z2536" i="1"/>
  <c r="Y2536" i="1"/>
  <c r="AA2536" i="1" s="1"/>
  <c r="AB2536" i="1" s="1"/>
  <c r="Z2535" i="1"/>
  <c r="Y2535" i="1"/>
  <c r="AA2535" i="1" s="1"/>
  <c r="Z2534" i="1"/>
  <c r="Y2534" i="1"/>
  <c r="Z2533" i="1"/>
  <c r="Y2533" i="1"/>
  <c r="Z2532" i="1"/>
  <c r="Y2532" i="1"/>
  <c r="Z2531" i="1"/>
  <c r="Y2531" i="1"/>
  <c r="AA2531" i="1" s="1"/>
  <c r="Z2530" i="1"/>
  <c r="Y2530" i="1"/>
  <c r="Z2529" i="1"/>
  <c r="Y2529" i="1"/>
  <c r="Z2528" i="1"/>
  <c r="Y2528" i="1"/>
  <c r="Z2527" i="1"/>
  <c r="Y2527" i="1"/>
  <c r="AA2527" i="1" s="1"/>
  <c r="Z2526" i="1"/>
  <c r="Y2526" i="1"/>
  <c r="AA2526" i="1" s="1"/>
  <c r="Z2525" i="1"/>
  <c r="Y2525" i="1"/>
  <c r="AA2525" i="1" s="1"/>
  <c r="Z2524" i="1"/>
  <c r="Y2524" i="1"/>
  <c r="AA2524" i="1" s="1"/>
  <c r="Z2523" i="1"/>
  <c r="Y2523" i="1"/>
  <c r="Z2522" i="1"/>
  <c r="Y2522" i="1"/>
  <c r="Z2521" i="1"/>
  <c r="Y2521" i="1"/>
  <c r="Z2520" i="1"/>
  <c r="Y2520" i="1"/>
  <c r="AA2520" i="1" s="1"/>
  <c r="AB2520" i="1" s="1"/>
  <c r="Z2519" i="1"/>
  <c r="Y2519" i="1"/>
  <c r="Z2518" i="1"/>
  <c r="Y2518" i="1"/>
  <c r="AA2518" i="1" s="1"/>
  <c r="Z2517" i="1"/>
  <c r="Y2517" i="1"/>
  <c r="AA2517" i="1" s="1"/>
  <c r="Z2516" i="1"/>
  <c r="Y2516" i="1"/>
  <c r="Z2515" i="1"/>
  <c r="Y2515" i="1"/>
  <c r="Z2514" i="1"/>
  <c r="Y2514" i="1"/>
  <c r="Z2513" i="1"/>
  <c r="Y2513" i="1"/>
  <c r="Z2512" i="1"/>
  <c r="Y2512" i="1"/>
  <c r="Z2511" i="1"/>
  <c r="Y2511" i="1"/>
  <c r="AA2511" i="1" s="1"/>
  <c r="AB2511" i="1" s="1"/>
  <c r="Z2510" i="1"/>
  <c r="Y2510" i="1"/>
  <c r="AA2510" i="1" s="1"/>
  <c r="AB2510" i="1" s="1"/>
  <c r="Z2509" i="1"/>
  <c r="Y2509" i="1"/>
  <c r="Z2508" i="1"/>
  <c r="Y2508" i="1"/>
  <c r="Z2507" i="1"/>
  <c r="Y2507" i="1"/>
  <c r="AA2507" i="1" s="1"/>
  <c r="Z2505" i="1"/>
  <c r="Y2505" i="1"/>
  <c r="AA2505" i="1" s="1"/>
  <c r="AB2505" i="1" s="1"/>
  <c r="Z2504" i="1"/>
  <c r="Y2504" i="1"/>
  <c r="Z2503" i="1"/>
  <c r="Y2503" i="1"/>
  <c r="Z2502" i="1"/>
  <c r="Y2502" i="1"/>
  <c r="Z2501" i="1"/>
  <c r="Y2501" i="1"/>
  <c r="AA2501" i="1" s="1"/>
  <c r="AB2501" i="1" s="1"/>
  <c r="Z2500" i="1"/>
  <c r="Y2500" i="1"/>
  <c r="Z2499" i="1"/>
  <c r="Y2499" i="1"/>
  <c r="Z2498" i="1"/>
  <c r="Y2498" i="1"/>
  <c r="Z2497" i="1"/>
  <c r="Y2497" i="1"/>
  <c r="Z2496" i="1"/>
  <c r="Y2496" i="1"/>
  <c r="Z2495" i="1"/>
  <c r="Y2495" i="1"/>
  <c r="Z2494" i="1"/>
  <c r="Y2494" i="1"/>
  <c r="AA2494" i="1" s="1"/>
  <c r="Z2493" i="1"/>
  <c r="Y2493" i="1"/>
  <c r="Z2492" i="1"/>
  <c r="Y2492" i="1"/>
  <c r="AA2492" i="1" s="1"/>
  <c r="Z2491" i="1"/>
  <c r="Y2491" i="1"/>
  <c r="Z2490" i="1"/>
  <c r="Y2490" i="1"/>
  <c r="AA2490" i="1" s="1"/>
  <c r="Z2489" i="1"/>
  <c r="Y2489" i="1"/>
  <c r="Z2488" i="1"/>
  <c r="Y2488" i="1"/>
  <c r="AA2488" i="1" s="1"/>
  <c r="AB2488" i="1" s="1"/>
  <c r="Z2487" i="1"/>
  <c r="Y2487" i="1"/>
  <c r="Z2486" i="1"/>
  <c r="Y2486" i="1"/>
  <c r="Z2485" i="1"/>
  <c r="Y2485" i="1"/>
  <c r="AA2485" i="1" s="1"/>
  <c r="Z2484" i="1"/>
  <c r="Y2484" i="1"/>
  <c r="Z2483" i="1"/>
  <c r="Y2483" i="1"/>
  <c r="AA2483" i="1" s="1"/>
  <c r="Z2482" i="1"/>
  <c r="Y2482" i="1"/>
  <c r="AA2482" i="1" s="1"/>
  <c r="AB2482" i="1" s="1"/>
  <c r="Z2481" i="1"/>
  <c r="Y2481" i="1"/>
  <c r="Z2480" i="1"/>
  <c r="Y2480" i="1"/>
  <c r="AA2480" i="1" s="1"/>
  <c r="Z2479" i="1"/>
  <c r="Y2479" i="1"/>
  <c r="Z2478" i="1"/>
  <c r="Y2478" i="1"/>
  <c r="AA2478" i="1" s="1"/>
  <c r="Z2477" i="1"/>
  <c r="Y2477" i="1"/>
  <c r="Z2476" i="1"/>
  <c r="Y2476" i="1"/>
  <c r="Z2475" i="1"/>
  <c r="Y2475" i="1"/>
  <c r="AA2475" i="1" s="1"/>
  <c r="Z2474" i="1"/>
  <c r="Y2474" i="1"/>
  <c r="Z2473" i="1"/>
  <c r="Y2473" i="1"/>
  <c r="Z2472" i="1"/>
  <c r="Y2472" i="1"/>
  <c r="Z2471" i="1"/>
  <c r="Y2471" i="1"/>
  <c r="AA2471" i="1" s="1"/>
  <c r="Z2470" i="1"/>
  <c r="Y2470" i="1"/>
  <c r="Z2469" i="1"/>
  <c r="Y2469" i="1"/>
  <c r="AA2469" i="1" s="1"/>
  <c r="Z2468" i="1"/>
  <c r="Y2468" i="1"/>
  <c r="Z2467" i="1"/>
  <c r="Y2467" i="1"/>
  <c r="AA2467" i="1" s="1"/>
  <c r="Z2466" i="1"/>
  <c r="Y2466" i="1"/>
  <c r="Z2465" i="1"/>
  <c r="Y2465" i="1"/>
  <c r="Z2464" i="1"/>
  <c r="Y2464" i="1"/>
  <c r="Z2463" i="1"/>
  <c r="Y2463" i="1"/>
  <c r="Z2462" i="1"/>
  <c r="Y2462" i="1"/>
  <c r="Z2461" i="1"/>
  <c r="Y2461" i="1"/>
  <c r="Z2460" i="1"/>
  <c r="Y2460" i="1"/>
  <c r="AA2460" i="1" s="1"/>
  <c r="Z2459" i="1"/>
  <c r="Y2459" i="1"/>
  <c r="Z2458" i="1"/>
  <c r="Y2458" i="1"/>
  <c r="AA2458" i="1" s="1"/>
  <c r="AB2458" i="1" s="1"/>
  <c r="Z2457" i="1"/>
  <c r="Y2457" i="1"/>
  <c r="Z2456" i="1"/>
  <c r="Y2456" i="1"/>
  <c r="AA2456" i="1" s="1"/>
  <c r="AB2456" i="1" s="1"/>
  <c r="Z2455" i="1"/>
  <c r="Y2455" i="1"/>
  <c r="Z2454" i="1"/>
  <c r="Y2454" i="1"/>
  <c r="Z2453" i="1"/>
  <c r="Y2453" i="1"/>
  <c r="AA2453" i="1" s="1"/>
  <c r="Z2452" i="1"/>
  <c r="Y2452" i="1"/>
  <c r="Z2451" i="1"/>
  <c r="Y2451" i="1"/>
  <c r="AA2451" i="1" s="1"/>
  <c r="Z2450" i="1"/>
  <c r="Y2450" i="1"/>
  <c r="AA2450" i="1" s="1"/>
  <c r="Z2449" i="1"/>
  <c r="Y2449" i="1"/>
  <c r="Z2448" i="1"/>
  <c r="Y2448" i="1"/>
  <c r="Z2447" i="1"/>
  <c r="Y2447" i="1"/>
  <c r="AA2447" i="1" s="1"/>
  <c r="AB2447" i="1" s="1"/>
  <c r="Z2446" i="1"/>
  <c r="Y2446" i="1"/>
  <c r="Z2445" i="1"/>
  <c r="Y2445" i="1"/>
  <c r="AA2445" i="1" s="1"/>
  <c r="AB2445" i="1" s="1"/>
  <c r="Z2444" i="1"/>
  <c r="Y2444" i="1"/>
  <c r="Z2443" i="1"/>
  <c r="Y2443" i="1"/>
  <c r="AA2443" i="1" s="1"/>
  <c r="AB2443" i="1" s="1"/>
  <c r="Z2442" i="1"/>
  <c r="Y2442" i="1"/>
  <c r="AA2442" i="1" s="1"/>
  <c r="AB2442" i="1" s="1"/>
  <c r="Z2441" i="1"/>
  <c r="Y2441" i="1"/>
  <c r="Z2440" i="1"/>
  <c r="Y2440" i="1"/>
  <c r="Z2439" i="1"/>
  <c r="Y2439" i="1"/>
  <c r="Z2438" i="1"/>
  <c r="Y2438" i="1"/>
  <c r="Z2437" i="1"/>
  <c r="Y2437" i="1"/>
  <c r="Z2436" i="1"/>
  <c r="Y2436" i="1"/>
  <c r="Z2435" i="1"/>
  <c r="Y2435" i="1"/>
  <c r="AA2435" i="1" s="1"/>
  <c r="Z2434" i="1"/>
  <c r="Y2434" i="1"/>
  <c r="Z2433" i="1"/>
  <c r="Y2433" i="1"/>
  <c r="Z2432" i="1"/>
  <c r="Y2432" i="1"/>
  <c r="AA2432" i="1" s="1"/>
  <c r="AB2432" i="1" s="1"/>
  <c r="Z2431" i="1"/>
  <c r="Y2431" i="1"/>
  <c r="AA2431" i="1" s="1"/>
  <c r="Z2430" i="1"/>
  <c r="Y2430" i="1"/>
  <c r="Z2429" i="1"/>
  <c r="Y2429" i="1"/>
  <c r="Z2428" i="1"/>
  <c r="Y2428" i="1"/>
  <c r="AA2428" i="1" s="1"/>
  <c r="Z2427" i="1"/>
  <c r="Y2427" i="1"/>
  <c r="AA2427" i="1" s="1"/>
  <c r="Z2426" i="1"/>
  <c r="Y2426" i="1"/>
  <c r="Z2425" i="1"/>
  <c r="Y2425" i="1"/>
  <c r="Z2424" i="1"/>
  <c r="Y2424" i="1"/>
  <c r="AA2424" i="1" s="1"/>
  <c r="AB2424" i="1" s="1"/>
  <c r="Z2423" i="1"/>
  <c r="Y2423" i="1"/>
  <c r="Z2422" i="1"/>
  <c r="Y2422" i="1"/>
  <c r="Z2420" i="1"/>
  <c r="Y2420" i="1"/>
  <c r="Z2419" i="1"/>
  <c r="Y2419" i="1"/>
  <c r="AA2419" i="1" s="1"/>
  <c r="Z2418" i="1"/>
  <c r="Y2418" i="1"/>
  <c r="Z2417" i="1"/>
  <c r="Y2417" i="1"/>
  <c r="Z2416" i="1"/>
  <c r="Y2416" i="1"/>
  <c r="AA2416" i="1" s="1"/>
  <c r="Z2415" i="1"/>
  <c r="Y2415" i="1"/>
  <c r="AA2415" i="1" s="1"/>
  <c r="Z2414" i="1"/>
  <c r="Y2414" i="1"/>
  <c r="AA2414" i="1" s="1"/>
  <c r="Z2413" i="1"/>
  <c r="Y2413" i="1"/>
  <c r="Z2412" i="1"/>
  <c r="Y2412" i="1"/>
  <c r="Z2411" i="1"/>
  <c r="Y2411" i="1"/>
  <c r="Z2410" i="1"/>
  <c r="Y2410" i="1"/>
  <c r="AA2410" i="1" s="1"/>
  <c r="Z2409" i="1"/>
  <c r="Y2409" i="1"/>
  <c r="AA2409" i="1" s="1"/>
  <c r="AB2409" i="1" s="1"/>
  <c r="Z2408" i="1"/>
  <c r="Y2408" i="1"/>
  <c r="Z2407" i="1"/>
  <c r="Y2407" i="1"/>
  <c r="Z2406" i="1"/>
  <c r="Y2406" i="1"/>
  <c r="Z2405" i="1"/>
  <c r="Y2405" i="1"/>
  <c r="AA2405" i="1" s="1"/>
  <c r="AB2405" i="1" s="1"/>
  <c r="Z2404" i="1"/>
  <c r="Y2404" i="1"/>
  <c r="Z2403" i="1"/>
  <c r="Y2403" i="1"/>
  <c r="Z2402" i="1"/>
  <c r="Y2402" i="1"/>
  <c r="Z2401" i="1"/>
  <c r="Y2401" i="1"/>
  <c r="AA2401" i="1" s="1"/>
  <c r="Z2400" i="1"/>
  <c r="Y2400" i="1"/>
  <c r="Z2399" i="1"/>
  <c r="Y2399" i="1"/>
  <c r="Z2398" i="1"/>
  <c r="Y2398" i="1"/>
  <c r="AA2398" i="1" s="1"/>
  <c r="Z2397" i="1"/>
  <c r="Y2397" i="1"/>
  <c r="AA2397" i="1" s="1"/>
  <c r="AB2397" i="1" s="1"/>
  <c r="Z2396" i="1"/>
  <c r="Y2396" i="1"/>
  <c r="AA2396" i="1" s="1"/>
  <c r="AB2396" i="1" s="1"/>
  <c r="Z2395" i="1"/>
  <c r="Y2395" i="1"/>
  <c r="Z2394" i="1"/>
  <c r="Y2394" i="1"/>
  <c r="Z2393" i="1"/>
  <c r="Y2393" i="1"/>
  <c r="Z2392" i="1"/>
  <c r="Y2392" i="1"/>
  <c r="AA2392" i="1" s="1"/>
  <c r="AB2392" i="1" s="1"/>
  <c r="Z2391" i="1"/>
  <c r="Y2391" i="1"/>
  <c r="Z2390" i="1"/>
  <c r="Y2390" i="1"/>
  <c r="Z2389" i="1"/>
  <c r="Y2389" i="1"/>
  <c r="Z2388" i="1"/>
  <c r="Y2388" i="1"/>
  <c r="Z2387" i="1"/>
  <c r="Y2387" i="1"/>
  <c r="Z2386" i="1"/>
  <c r="Y2386" i="1"/>
  <c r="Z2385" i="1"/>
  <c r="Y2385" i="1"/>
  <c r="Z2384" i="1"/>
  <c r="Y2384" i="1"/>
  <c r="Z2383" i="1"/>
  <c r="Y2383" i="1"/>
  <c r="Z2382" i="1"/>
  <c r="Y2382" i="1"/>
  <c r="AA2382" i="1" s="1"/>
  <c r="Z2381" i="1"/>
  <c r="Y2381" i="1"/>
  <c r="AA2381" i="1" s="1"/>
  <c r="Z2380" i="1"/>
  <c r="Y2380" i="1"/>
  <c r="Z2379" i="1"/>
  <c r="Y2379" i="1"/>
  <c r="AA2379" i="1" s="1"/>
  <c r="AB2379" i="1" s="1"/>
  <c r="Z2378" i="1"/>
  <c r="Y2378" i="1"/>
  <c r="Z2377" i="1"/>
  <c r="Y2377" i="1"/>
  <c r="Z2376" i="1"/>
  <c r="Y2376" i="1"/>
  <c r="Z2375" i="1"/>
  <c r="Y2375" i="1"/>
  <c r="Z2374" i="1"/>
  <c r="Y2374" i="1"/>
  <c r="Z2373" i="1"/>
  <c r="Y2373" i="1"/>
  <c r="AA2373" i="1" s="1"/>
  <c r="AB2373" i="1" s="1"/>
  <c r="Z2372" i="1"/>
  <c r="Y2372" i="1"/>
  <c r="Z2371" i="1"/>
  <c r="Y2371" i="1"/>
  <c r="Z2370" i="1"/>
  <c r="Y2370" i="1"/>
  <c r="Z2369" i="1"/>
  <c r="Y2369" i="1"/>
  <c r="Z2368" i="1"/>
  <c r="Y2368" i="1"/>
  <c r="Z2367" i="1"/>
  <c r="Y2367" i="1"/>
  <c r="Z2366" i="1"/>
  <c r="Y2366" i="1"/>
  <c r="AA2366" i="1" s="1"/>
  <c r="Z2365" i="1"/>
  <c r="Y2365" i="1"/>
  <c r="Z2364" i="1"/>
  <c r="Y2364" i="1"/>
  <c r="Z2363" i="1"/>
  <c r="Y2363" i="1"/>
  <c r="Z2362" i="1"/>
  <c r="Y2362" i="1"/>
  <c r="Z2361" i="1"/>
  <c r="Y2361" i="1"/>
  <c r="Z2360" i="1"/>
  <c r="Y2360" i="1"/>
  <c r="AA2360" i="1" s="1"/>
  <c r="AB2360" i="1" s="1"/>
  <c r="Z2359" i="1"/>
  <c r="Y2359" i="1"/>
  <c r="Z2358" i="1"/>
  <c r="Y2358" i="1"/>
  <c r="Z2357" i="1"/>
  <c r="Y2357" i="1"/>
  <c r="Z2356" i="1"/>
  <c r="Y2356" i="1"/>
  <c r="Z2355" i="1"/>
  <c r="Y2355" i="1"/>
  <c r="AA2355" i="1" s="1"/>
  <c r="Z2354" i="1"/>
  <c r="Y2354" i="1"/>
  <c r="Z2353" i="1"/>
  <c r="Y2353" i="1"/>
  <c r="Z2352" i="1"/>
  <c r="Y2352" i="1"/>
  <c r="AA2352" i="1" s="1"/>
  <c r="Z2351" i="1"/>
  <c r="Y2351" i="1"/>
  <c r="AA2351" i="1" s="1"/>
  <c r="Z2350" i="1"/>
  <c r="Y2350" i="1"/>
  <c r="Z2349" i="1"/>
  <c r="Y2349" i="1"/>
  <c r="Z2348" i="1"/>
  <c r="Y2348" i="1"/>
  <c r="Z2347" i="1"/>
  <c r="Y2347" i="1"/>
  <c r="AA2347" i="1" s="1"/>
  <c r="AB2347" i="1" s="1"/>
  <c r="AC2347" i="1" s="1"/>
  <c r="Z2346" i="1"/>
  <c r="Y2346" i="1"/>
  <c r="Z2345" i="1"/>
  <c r="Y2345" i="1"/>
  <c r="AA2345" i="1" s="1"/>
  <c r="Z2344" i="1"/>
  <c r="Y2344" i="1"/>
  <c r="AA2344" i="1" s="1"/>
  <c r="AB2344" i="1" s="1"/>
  <c r="Z2343" i="1"/>
  <c r="Y2343" i="1"/>
  <c r="Z2342" i="1"/>
  <c r="Y2342" i="1"/>
  <c r="Z2341" i="1"/>
  <c r="Y2341" i="1"/>
  <c r="Z2340" i="1"/>
  <c r="Y2340" i="1"/>
  <c r="Z2339" i="1"/>
  <c r="Y2339" i="1"/>
  <c r="Z2338" i="1"/>
  <c r="Y2338" i="1"/>
  <c r="Z2337" i="1"/>
  <c r="Y2337" i="1"/>
  <c r="AA2337" i="1" s="1"/>
  <c r="Z2336" i="1"/>
  <c r="Y2336" i="1"/>
  <c r="Z2335" i="1"/>
  <c r="Y2335" i="1"/>
  <c r="AA2335" i="1" s="1"/>
  <c r="AB2335" i="1" s="1"/>
  <c r="Z2334" i="1"/>
  <c r="Y2334" i="1"/>
  <c r="AA2334" i="1" s="1"/>
  <c r="Z2333" i="1"/>
  <c r="Y2333" i="1"/>
  <c r="Z2332" i="1"/>
  <c r="Y2332" i="1"/>
  <c r="Z2331" i="1"/>
  <c r="Y2331" i="1"/>
  <c r="Z2330" i="1"/>
  <c r="Y2330" i="1"/>
  <c r="AA2330" i="1" s="1"/>
  <c r="Z2329" i="1"/>
  <c r="Y2329" i="1"/>
  <c r="Z2328" i="1"/>
  <c r="Y2328" i="1"/>
  <c r="AA2328" i="1" s="1"/>
  <c r="Z2327" i="1"/>
  <c r="Y2327" i="1"/>
  <c r="AA2327" i="1" s="1"/>
  <c r="AB2327" i="1" s="1"/>
  <c r="Z2326" i="1"/>
  <c r="Y2326" i="1"/>
  <c r="Z2325" i="1"/>
  <c r="Y2325" i="1"/>
  <c r="AA2325" i="1" s="1"/>
  <c r="AB2325" i="1" s="1"/>
  <c r="Z2324" i="1"/>
  <c r="Y2324" i="1"/>
  <c r="AA2324" i="1" s="1"/>
  <c r="AB2324" i="1" s="1"/>
  <c r="Z2323" i="1"/>
  <c r="Y2323" i="1"/>
  <c r="AA2323" i="1" s="1"/>
  <c r="Z2322" i="1"/>
  <c r="Y2322" i="1"/>
  <c r="Z2321" i="1"/>
  <c r="Y2321" i="1"/>
  <c r="Z2320" i="1"/>
  <c r="Y2320" i="1"/>
  <c r="Z2319" i="1"/>
  <c r="Y2319" i="1"/>
  <c r="AA2319" i="1" s="1"/>
  <c r="Z2318" i="1"/>
  <c r="Y2318" i="1"/>
  <c r="Z2317" i="1"/>
  <c r="Y2317" i="1"/>
  <c r="Z2316" i="1"/>
  <c r="Y2316" i="1"/>
  <c r="AA2316" i="1" s="1"/>
  <c r="Z2315" i="1"/>
  <c r="Y2315" i="1"/>
  <c r="AA2315" i="1" s="1"/>
  <c r="Z2314" i="1"/>
  <c r="Y2314" i="1"/>
  <c r="Z2313" i="1"/>
  <c r="Y2313" i="1"/>
  <c r="Z2312" i="1"/>
  <c r="Y2312" i="1"/>
  <c r="AA2312" i="1" s="1"/>
  <c r="Z2311" i="1"/>
  <c r="Y2311" i="1"/>
  <c r="Z2310" i="1"/>
  <c r="Y2310" i="1"/>
  <c r="Z2309" i="1"/>
  <c r="Y2309" i="1"/>
  <c r="Z2308" i="1"/>
  <c r="Y2308" i="1"/>
  <c r="Z2307" i="1"/>
  <c r="Y2307" i="1"/>
  <c r="Z2306" i="1"/>
  <c r="Y2306" i="1"/>
  <c r="Z2305" i="1"/>
  <c r="Y2305" i="1"/>
  <c r="AA2305" i="1" s="1"/>
  <c r="AB2305" i="1" s="1"/>
  <c r="Z2304" i="1"/>
  <c r="Y2304" i="1"/>
  <c r="AA2304" i="1" s="1"/>
  <c r="AB2304" i="1" s="1"/>
  <c r="Z2303" i="1"/>
  <c r="Y2303" i="1"/>
  <c r="Z2302" i="1"/>
  <c r="Y2302" i="1"/>
  <c r="AA2302" i="1" s="1"/>
  <c r="Z2301" i="1"/>
  <c r="Y2301" i="1"/>
  <c r="Z2300" i="1"/>
  <c r="Y2300" i="1"/>
  <c r="Z2299" i="1"/>
  <c r="Y2299" i="1"/>
  <c r="Z2298" i="1"/>
  <c r="Y2298" i="1"/>
  <c r="AA2298" i="1" s="1"/>
  <c r="Z2297" i="1"/>
  <c r="Y2297" i="1"/>
  <c r="Z2296" i="1"/>
  <c r="Y2296" i="1"/>
  <c r="Z2295" i="1"/>
  <c r="Y2295" i="1"/>
  <c r="AA2295" i="1" s="1"/>
  <c r="AB2295" i="1" s="1"/>
  <c r="Z2294" i="1"/>
  <c r="Y2294" i="1"/>
  <c r="Z2293" i="1"/>
  <c r="Y2293" i="1"/>
  <c r="AA2293" i="1" s="1"/>
  <c r="AB2293" i="1" s="1"/>
  <c r="Z2292" i="1"/>
  <c r="Y2292" i="1"/>
  <c r="Z2291" i="1"/>
  <c r="Y2291" i="1"/>
  <c r="AA2291" i="1" s="1"/>
  <c r="Z2290" i="1"/>
  <c r="Y2290" i="1"/>
  <c r="AA2290" i="1" s="1"/>
  <c r="AB2290" i="1" s="1"/>
  <c r="Z2289" i="1"/>
  <c r="Y2289" i="1"/>
  <c r="Z2288" i="1"/>
  <c r="Y2288" i="1"/>
  <c r="Z2287" i="1"/>
  <c r="Y2287" i="1"/>
  <c r="Z2286" i="1"/>
  <c r="Y2286" i="1"/>
  <c r="Z2285" i="1"/>
  <c r="Y2285" i="1"/>
  <c r="AA2285" i="1" s="1"/>
  <c r="Z2284" i="1"/>
  <c r="Y2284" i="1"/>
  <c r="Z2283" i="1"/>
  <c r="Y2283" i="1"/>
  <c r="AA2283" i="1" s="1"/>
  <c r="Z2282" i="1"/>
  <c r="Y2282" i="1"/>
  <c r="AA2282" i="1" s="1"/>
  <c r="AB2282" i="1" s="1"/>
  <c r="Z2281" i="1"/>
  <c r="Y2281" i="1"/>
  <c r="AA2281" i="1" s="1"/>
  <c r="Z2280" i="1"/>
  <c r="Y2280" i="1"/>
  <c r="Z2279" i="1"/>
  <c r="Y2279" i="1"/>
  <c r="AA2279" i="1" s="1"/>
  <c r="AB2279" i="1" s="1"/>
  <c r="Z2278" i="1"/>
  <c r="Y2278" i="1"/>
  <c r="Z2277" i="1"/>
  <c r="Y2277" i="1"/>
  <c r="Z2276" i="1"/>
  <c r="Y2276" i="1"/>
  <c r="AA2276" i="1" s="1"/>
  <c r="Z2275" i="1"/>
  <c r="Y2275" i="1"/>
  <c r="AA2275" i="1" s="1"/>
  <c r="AB2275" i="1" s="1"/>
  <c r="Z2274" i="1"/>
  <c r="Y2274" i="1"/>
  <c r="AA2274" i="1" s="1"/>
  <c r="AB2274" i="1" s="1"/>
  <c r="Z2273" i="1"/>
  <c r="Y2273" i="1"/>
  <c r="Z2272" i="1"/>
  <c r="Y2272" i="1"/>
  <c r="Z2271" i="1"/>
  <c r="Y2271" i="1"/>
  <c r="Z2270" i="1"/>
  <c r="Y2270" i="1"/>
  <c r="Z2269" i="1"/>
  <c r="Y2269" i="1"/>
  <c r="Z2268" i="1"/>
  <c r="Y2268" i="1"/>
  <c r="AA2268" i="1" s="1"/>
  <c r="Z2267" i="1"/>
  <c r="Y2267" i="1"/>
  <c r="AA2267" i="1" s="1"/>
  <c r="AB2267" i="1" s="1"/>
  <c r="Z2266" i="1"/>
  <c r="Y2266" i="1"/>
  <c r="Z2265" i="1"/>
  <c r="Y2265" i="1"/>
  <c r="Z2264" i="1"/>
  <c r="Y2264" i="1"/>
  <c r="AA2264" i="1" s="1"/>
  <c r="AB2264" i="1" s="1"/>
  <c r="Z2263" i="1"/>
  <c r="Y2263" i="1"/>
  <c r="Z2262" i="1"/>
  <c r="Y2262" i="1"/>
  <c r="AA2262" i="1" s="1"/>
  <c r="AB2262" i="1" s="1"/>
  <c r="Z2261" i="1"/>
  <c r="Y2261" i="1"/>
  <c r="AA2261" i="1" s="1"/>
  <c r="Z2260" i="1"/>
  <c r="Y2260" i="1"/>
  <c r="AA2260" i="1" s="1"/>
  <c r="Z2259" i="1"/>
  <c r="Y2259" i="1"/>
  <c r="AA2259" i="1" s="1"/>
  <c r="AB2259" i="1" s="1"/>
  <c r="Z2258" i="1"/>
  <c r="Y2258" i="1"/>
  <c r="Z2257" i="1"/>
  <c r="Y2257" i="1"/>
  <c r="Z2256" i="1"/>
  <c r="Y2256" i="1"/>
  <c r="Z2255" i="1"/>
  <c r="Y2255" i="1"/>
  <c r="Z2254" i="1"/>
  <c r="Y2254" i="1"/>
  <c r="Z2253" i="1"/>
  <c r="Y2253" i="1"/>
  <c r="Z2252" i="1"/>
  <c r="Y2252" i="1"/>
  <c r="Z2251" i="1"/>
  <c r="Y2251" i="1"/>
  <c r="AA2251" i="1" s="1"/>
  <c r="Z2250" i="1"/>
  <c r="Y2250" i="1"/>
  <c r="AA2250" i="1" s="1"/>
  <c r="AB2250" i="1" s="1"/>
  <c r="Z2249" i="1"/>
  <c r="Y2249" i="1"/>
  <c r="Z2248" i="1"/>
  <c r="Y2248" i="1"/>
  <c r="Z2247" i="1"/>
  <c r="Y2247" i="1"/>
  <c r="Z2246" i="1"/>
  <c r="Y2246" i="1"/>
  <c r="AA2246" i="1" s="1"/>
  <c r="Z2245" i="1"/>
  <c r="Y2245" i="1"/>
  <c r="AA2245" i="1" s="1"/>
  <c r="Z2244" i="1"/>
  <c r="Y2244" i="1"/>
  <c r="AA2244" i="1" s="1"/>
  <c r="Z2243" i="1"/>
  <c r="Y2243" i="1"/>
  <c r="Z2242" i="1"/>
  <c r="Y2242" i="1"/>
  <c r="AA2242" i="1" s="1"/>
  <c r="AB2242" i="1" s="1"/>
  <c r="AC2242" i="1" s="1"/>
  <c r="Z2241" i="1"/>
  <c r="Y2241" i="1"/>
  <c r="Z2240" i="1"/>
  <c r="Y2240" i="1"/>
  <c r="Z2239" i="1"/>
  <c r="Y2239" i="1"/>
  <c r="AA2239" i="1" s="1"/>
  <c r="AB2239" i="1" s="1"/>
  <c r="Z2238" i="1"/>
  <c r="Y2238" i="1"/>
  <c r="Z2237" i="1"/>
  <c r="Y2237" i="1"/>
  <c r="Z2236" i="1"/>
  <c r="Y2236" i="1"/>
  <c r="Z2235" i="1"/>
  <c r="Y2235" i="1"/>
  <c r="AA2235" i="1" s="1"/>
  <c r="Z2234" i="1"/>
  <c r="Y2234" i="1"/>
  <c r="Z2233" i="1"/>
  <c r="Y2233" i="1"/>
  <c r="Z2232" i="1"/>
  <c r="Y2232" i="1"/>
  <c r="AA2232" i="1" s="1"/>
  <c r="AB2232" i="1" s="1"/>
  <c r="Z2231" i="1"/>
  <c r="Y2231" i="1"/>
  <c r="AA2231" i="1" s="1"/>
  <c r="Z2230" i="1"/>
  <c r="Y2230" i="1"/>
  <c r="Z2229" i="1"/>
  <c r="Y2229" i="1"/>
  <c r="Z2228" i="1"/>
  <c r="Y2228" i="1"/>
  <c r="AA2228" i="1" s="1"/>
  <c r="Z2227" i="1"/>
  <c r="Y2227" i="1"/>
  <c r="Z2226" i="1"/>
  <c r="Y2226" i="1"/>
  <c r="AA2226" i="1" s="1"/>
  <c r="AB2226" i="1" s="1"/>
  <c r="Z2225" i="1"/>
  <c r="Y2225" i="1"/>
  <c r="Z2224" i="1"/>
  <c r="Y2224" i="1"/>
  <c r="Z2223" i="1"/>
  <c r="Y2223" i="1"/>
  <c r="AA2223" i="1" s="1"/>
  <c r="Z2222" i="1"/>
  <c r="Y2222" i="1"/>
  <c r="AA2222" i="1" s="1"/>
  <c r="Z2221" i="1"/>
  <c r="Y2221" i="1"/>
  <c r="Z2220" i="1"/>
  <c r="Y2220" i="1"/>
  <c r="Z2219" i="1"/>
  <c r="Y2219" i="1"/>
  <c r="AA2219" i="1" s="1"/>
  <c r="Z2218" i="1"/>
  <c r="Y2218" i="1"/>
  <c r="Z2217" i="1"/>
  <c r="Y2217" i="1"/>
  <c r="Z2216" i="1"/>
  <c r="Y2216" i="1"/>
  <c r="Z2215" i="1"/>
  <c r="Y2215" i="1"/>
  <c r="Z2214" i="1"/>
  <c r="Y2214" i="1"/>
  <c r="Z2213" i="1"/>
  <c r="Y2213" i="1"/>
  <c r="AA2213" i="1" s="1"/>
  <c r="Z2212" i="1"/>
  <c r="Y2212" i="1"/>
  <c r="Z2211" i="1"/>
  <c r="Y2211" i="1"/>
  <c r="Z2210" i="1"/>
  <c r="Y2210" i="1"/>
  <c r="Z2209" i="1"/>
  <c r="Y2209" i="1"/>
  <c r="Z2208" i="1"/>
  <c r="Y2208" i="1"/>
  <c r="AA2208" i="1" s="1"/>
  <c r="Z2207" i="1"/>
  <c r="Y2207" i="1"/>
  <c r="AA2207" i="1" s="1"/>
  <c r="AB2207" i="1" s="1"/>
  <c r="Z2206" i="1"/>
  <c r="Y2206" i="1"/>
  <c r="AA2206" i="1" s="1"/>
  <c r="Z2205" i="1"/>
  <c r="Y2205" i="1"/>
  <c r="AA2205" i="1" s="1"/>
  <c r="Z2204" i="1"/>
  <c r="Y2204" i="1"/>
  <c r="Z2203" i="1"/>
  <c r="Y2203" i="1"/>
  <c r="Z2202" i="1"/>
  <c r="Y2202" i="1"/>
  <c r="Z2201" i="1"/>
  <c r="Y2201" i="1"/>
  <c r="AA2201" i="1" s="1"/>
  <c r="Z2200" i="1"/>
  <c r="Y2200" i="1"/>
  <c r="AA2200" i="1" s="1"/>
  <c r="AB2200" i="1" s="1"/>
  <c r="Z2199" i="1"/>
  <c r="Y2199" i="1"/>
  <c r="AA2199" i="1" s="1"/>
  <c r="AB2199" i="1" s="1"/>
  <c r="Z2198" i="1"/>
  <c r="Y2198" i="1"/>
  <c r="Z2197" i="1"/>
  <c r="Y2197" i="1"/>
  <c r="Z2196" i="1"/>
  <c r="Y2196" i="1"/>
  <c r="Z2195" i="1"/>
  <c r="Y2195" i="1"/>
  <c r="AA2195" i="1" s="1"/>
  <c r="AB2195" i="1" s="1"/>
  <c r="Z2194" i="1"/>
  <c r="Y2194" i="1"/>
  <c r="Z2193" i="1"/>
  <c r="Y2193" i="1"/>
  <c r="Z2192" i="1"/>
  <c r="Y2192" i="1"/>
  <c r="Z2191" i="1"/>
  <c r="Y2191" i="1"/>
  <c r="Z2190" i="1"/>
  <c r="Y2190" i="1"/>
  <c r="AA2190" i="1" s="1"/>
  <c r="AB2190" i="1" s="1"/>
  <c r="Z2189" i="1"/>
  <c r="Y2189" i="1"/>
  <c r="Z2188" i="1"/>
  <c r="Y2188" i="1"/>
  <c r="AA2188" i="1" s="1"/>
  <c r="Z2187" i="1"/>
  <c r="Y2187" i="1"/>
  <c r="AA2187" i="1" s="1"/>
  <c r="Z2186" i="1"/>
  <c r="Y2186" i="1"/>
  <c r="Z2185" i="1"/>
  <c r="Y2185" i="1"/>
  <c r="Z2184" i="1"/>
  <c r="Y2184" i="1"/>
  <c r="Z2183" i="1"/>
  <c r="Y2183" i="1"/>
  <c r="AA2183" i="1" s="1"/>
  <c r="AB2183" i="1" s="1"/>
  <c r="Z2182" i="1"/>
  <c r="Y2182" i="1"/>
  <c r="Z2181" i="1"/>
  <c r="Y2181" i="1"/>
  <c r="Z2180" i="1"/>
  <c r="Y2180" i="1"/>
  <c r="Z2179" i="1"/>
  <c r="Y2179" i="1"/>
  <c r="Z2178" i="1"/>
  <c r="Y2178" i="1"/>
  <c r="AA2178" i="1" s="1"/>
  <c r="Z2177" i="1"/>
  <c r="Y2177" i="1"/>
  <c r="Z2176" i="1"/>
  <c r="Y2176" i="1"/>
  <c r="AA2176" i="1" s="1"/>
  <c r="AB2176" i="1" s="1"/>
  <c r="Z2175" i="1"/>
  <c r="Y2175" i="1"/>
  <c r="Z2174" i="1"/>
  <c r="Y2174" i="1"/>
  <c r="AA2174" i="1" s="1"/>
  <c r="Z2173" i="1"/>
  <c r="Y2173" i="1"/>
  <c r="AA2173" i="1" s="1"/>
  <c r="Z2172" i="1"/>
  <c r="Y2172" i="1"/>
  <c r="AA2172" i="1" s="1"/>
  <c r="Z2171" i="1"/>
  <c r="Y2171" i="1"/>
  <c r="Z2170" i="1"/>
  <c r="Y2170" i="1"/>
  <c r="AA2170" i="1" s="1"/>
  <c r="AB2170" i="1" s="1"/>
  <c r="Z2169" i="1"/>
  <c r="Y2169" i="1"/>
  <c r="AA2169" i="1" s="1"/>
  <c r="AB2169" i="1" s="1"/>
  <c r="Z2168" i="1"/>
  <c r="Y2168" i="1"/>
  <c r="Z2167" i="1"/>
  <c r="Y2167" i="1"/>
  <c r="AA2167" i="1" s="1"/>
  <c r="AB2167" i="1" s="1"/>
  <c r="Z2166" i="1"/>
  <c r="Y2166" i="1"/>
  <c r="Z2165" i="1"/>
  <c r="Y2165" i="1"/>
  <c r="Z2164" i="1"/>
  <c r="Y2164" i="1"/>
  <c r="AA2164" i="1" s="1"/>
  <c r="Z2163" i="1"/>
  <c r="Y2163" i="1"/>
  <c r="Z2162" i="1"/>
  <c r="Y2162" i="1"/>
  <c r="AA2162" i="1" s="1"/>
  <c r="Z2161" i="1"/>
  <c r="Y2161" i="1"/>
  <c r="Z2160" i="1"/>
  <c r="Y2160" i="1"/>
  <c r="Z2159" i="1"/>
  <c r="Y2159" i="1"/>
  <c r="AA2159" i="1" s="1"/>
  <c r="AB2159" i="1" s="1"/>
  <c r="Z2158" i="1"/>
  <c r="Y2158" i="1"/>
  <c r="AA2158" i="1" s="1"/>
  <c r="Z2157" i="1"/>
  <c r="Y2157" i="1"/>
  <c r="AA2157" i="1" s="1"/>
  <c r="Z2156" i="1"/>
  <c r="Y2156" i="1"/>
  <c r="Z2155" i="1"/>
  <c r="Y2155" i="1"/>
  <c r="AA2155" i="1" s="1"/>
  <c r="Z2154" i="1"/>
  <c r="Y2154" i="1"/>
  <c r="Z2153" i="1"/>
  <c r="Y2153" i="1"/>
  <c r="AA2153" i="1" s="1"/>
  <c r="Z2152" i="1"/>
  <c r="Y2152" i="1"/>
  <c r="AA2152" i="1" s="1"/>
  <c r="Z2151" i="1"/>
  <c r="Y2151" i="1"/>
  <c r="Z2150" i="1"/>
  <c r="Y2150" i="1"/>
  <c r="Z2149" i="1"/>
  <c r="Y2149" i="1"/>
  <c r="AA2149" i="1" s="1"/>
  <c r="Z2148" i="1"/>
  <c r="Y2148" i="1"/>
  <c r="AA2148" i="1" s="1"/>
  <c r="Z2147" i="1"/>
  <c r="Y2147" i="1"/>
  <c r="Z2146" i="1"/>
  <c r="Y2146" i="1"/>
  <c r="Z2145" i="1"/>
  <c r="Y2145" i="1"/>
  <c r="AA2145" i="1" s="1"/>
  <c r="AB2145" i="1" s="1"/>
  <c r="Z2144" i="1"/>
  <c r="Y2144" i="1"/>
  <c r="Z2143" i="1"/>
  <c r="Y2143" i="1"/>
  <c r="AA2143" i="1" s="1"/>
  <c r="Z2142" i="1"/>
  <c r="Y2142" i="1"/>
  <c r="AA2142" i="1" s="1"/>
  <c r="Z2141" i="1"/>
  <c r="Y2141" i="1"/>
  <c r="AA2141" i="1" s="1"/>
  <c r="Z2140" i="1"/>
  <c r="Y2140" i="1"/>
  <c r="Z2139" i="1"/>
  <c r="Y2139" i="1"/>
  <c r="AA2139" i="1" s="1"/>
  <c r="Z2138" i="1"/>
  <c r="Y2138" i="1"/>
  <c r="Z2137" i="1"/>
  <c r="Y2137" i="1"/>
  <c r="Z2136" i="1"/>
  <c r="Y2136" i="1"/>
  <c r="AA2136" i="1" s="1"/>
  <c r="AB2136" i="1" s="1"/>
  <c r="Z2135" i="1"/>
  <c r="Y2135" i="1"/>
  <c r="Z2134" i="1"/>
  <c r="Y2134" i="1"/>
  <c r="Z2133" i="1"/>
  <c r="Y2133" i="1"/>
  <c r="Z2132" i="1"/>
  <c r="Y2132" i="1"/>
  <c r="AA2132" i="1" s="1"/>
  <c r="Z2131" i="1"/>
  <c r="Y2131" i="1"/>
  <c r="AA2131" i="1" s="1"/>
  <c r="AB2131" i="1" s="1"/>
  <c r="Z2130" i="1"/>
  <c r="Y2130" i="1"/>
  <c r="AA2130" i="1" s="1"/>
  <c r="Z2129" i="1"/>
  <c r="Y2129" i="1"/>
  <c r="Z2128" i="1"/>
  <c r="Y2128" i="1"/>
  <c r="Z2127" i="1"/>
  <c r="Y2127" i="1"/>
  <c r="Z2126" i="1"/>
  <c r="Y2126" i="1"/>
  <c r="AA2126" i="1" s="1"/>
  <c r="Z2125" i="1"/>
  <c r="Y2125" i="1"/>
  <c r="Z2124" i="1"/>
  <c r="Y2124" i="1"/>
  <c r="Z2123" i="1"/>
  <c r="Y2123" i="1"/>
  <c r="AA2123" i="1" s="1"/>
  <c r="Z2122" i="1"/>
  <c r="Y2122" i="1"/>
  <c r="Z2121" i="1"/>
  <c r="Y2121" i="1"/>
  <c r="Z2120" i="1"/>
  <c r="Y2120" i="1"/>
  <c r="Z2119" i="1"/>
  <c r="Y2119" i="1"/>
  <c r="AA2119" i="1" s="1"/>
  <c r="Z2118" i="1"/>
  <c r="Y2118" i="1"/>
  <c r="AA2118" i="1" s="1"/>
  <c r="Z2117" i="1"/>
  <c r="Y2117" i="1"/>
  <c r="AA2117" i="1" s="1"/>
  <c r="Z2116" i="1"/>
  <c r="Y2116" i="1"/>
  <c r="Z2115" i="1"/>
  <c r="Y2115" i="1"/>
  <c r="Z2114" i="1"/>
  <c r="Y2114" i="1"/>
  <c r="Z2113" i="1"/>
  <c r="Y2113" i="1"/>
  <c r="Z2112" i="1"/>
  <c r="Y2112" i="1"/>
  <c r="AA2112" i="1" s="1"/>
  <c r="Z2111" i="1"/>
  <c r="Y2111" i="1"/>
  <c r="Z2110" i="1"/>
  <c r="Y2110" i="1"/>
  <c r="AA2110" i="1" s="1"/>
  <c r="Z2109" i="1"/>
  <c r="Y2109" i="1"/>
  <c r="AA2109" i="1" s="1"/>
  <c r="Z2108" i="1"/>
  <c r="Y2108" i="1"/>
  <c r="Z2107" i="1"/>
  <c r="Y2107" i="1"/>
  <c r="AA2107" i="1" s="1"/>
  <c r="Z2106" i="1"/>
  <c r="Y2106" i="1"/>
  <c r="Z2105" i="1"/>
  <c r="Y2105" i="1"/>
  <c r="AA2105" i="1" s="1"/>
  <c r="Z2104" i="1"/>
  <c r="Y2104" i="1"/>
  <c r="AA2104" i="1" s="1"/>
  <c r="Z2103" i="1"/>
  <c r="Y2103" i="1"/>
  <c r="Z2102" i="1"/>
  <c r="Y2102" i="1"/>
  <c r="Z2101" i="1"/>
  <c r="Y2101" i="1"/>
  <c r="Z2100" i="1"/>
  <c r="Y2100" i="1"/>
  <c r="Z2099" i="1"/>
  <c r="Y2099" i="1"/>
  <c r="Z2098" i="1"/>
  <c r="Y2098" i="1"/>
  <c r="AA2098" i="1" s="1"/>
  <c r="AB2098" i="1" s="1"/>
  <c r="Z2097" i="1"/>
  <c r="Y2097" i="1"/>
  <c r="Z2096" i="1"/>
  <c r="Y2096" i="1"/>
  <c r="AA2096" i="1" s="1"/>
  <c r="Z2095" i="1"/>
  <c r="Y2095" i="1"/>
  <c r="AA2095" i="1" s="1"/>
  <c r="Z2094" i="1"/>
  <c r="Y2094" i="1"/>
  <c r="Z2093" i="1"/>
  <c r="Y2093" i="1"/>
  <c r="Z2092" i="1"/>
  <c r="Y2092" i="1"/>
  <c r="AA2092" i="1" s="1"/>
  <c r="Z2091" i="1"/>
  <c r="Y2091" i="1"/>
  <c r="AA2091" i="1" s="1"/>
  <c r="Z2090" i="1"/>
  <c r="Y2090" i="1"/>
  <c r="AA2090" i="1" s="1"/>
  <c r="AB2090" i="1" s="1"/>
  <c r="Z2089" i="1"/>
  <c r="Y2089" i="1"/>
  <c r="AA2089" i="1" s="1"/>
  <c r="Z2088" i="1"/>
  <c r="Y2088" i="1"/>
  <c r="Z2087" i="1"/>
  <c r="Y2087" i="1"/>
  <c r="AA2087" i="1" s="1"/>
  <c r="Z2086" i="1"/>
  <c r="Y2086" i="1"/>
  <c r="AA2086" i="1" s="1"/>
  <c r="Z2085" i="1"/>
  <c r="Y2085" i="1"/>
  <c r="Z2083" i="1"/>
  <c r="Y2083" i="1"/>
  <c r="Z2082" i="1"/>
  <c r="Y2082" i="1"/>
  <c r="AA2082" i="1" s="1"/>
  <c r="Z2081" i="1"/>
  <c r="Y2081" i="1"/>
  <c r="Z2080" i="1"/>
  <c r="Y2080" i="1"/>
  <c r="Z2079" i="1"/>
  <c r="Y2079" i="1"/>
  <c r="AA2079" i="1" s="1"/>
  <c r="Z2078" i="1"/>
  <c r="Y2078" i="1"/>
  <c r="AA2078" i="1" s="1"/>
  <c r="Z2077" i="1"/>
  <c r="Y2077" i="1"/>
  <c r="Z2076" i="1"/>
  <c r="Y2076" i="1"/>
  <c r="Z2075" i="1"/>
  <c r="Y2075" i="1"/>
  <c r="Z2074" i="1"/>
  <c r="Y2074" i="1"/>
  <c r="Z2073" i="1"/>
  <c r="Y2073" i="1"/>
  <c r="Z2072" i="1"/>
  <c r="Y2072" i="1"/>
  <c r="AA2072" i="1" s="1"/>
  <c r="AB2072" i="1" s="1"/>
  <c r="Z2071" i="1"/>
  <c r="Y2071" i="1"/>
  <c r="Z2070" i="1"/>
  <c r="Y2070" i="1"/>
  <c r="AA2070" i="1" s="1"/>
  <c r="Z2069" i="1"/>
  <c r="Y2069" i="1"/>
  <c r="AA2069" i="1" s="1"/>
  <c r="Z2068" i="1"/>
  <c r="Y2068" i="1"/>
  <c r="Z2067" i="1"/>
  <c r="Y2067" i="1"/>
  <c r="Z2066" i="1"/>
  <c r="Y2066" i="1"/>
  <c r="Z2065" i="1"/>
  <c r="Y2065" i="1"/>
  <c r="Z2064" i="1"/>
  <c r="Y2064" i="1"/>
  <c r="Z2063" i="1"/>
  <c r="Y2063" i="1"/>
  <c r="Z2062" i="1"/>
  <c r="Y2062" i="1"/>
  <c r="Z2061" i="1"/>
  <c r="Y2061" i="1"/>
  <c r="Z2060" i="1"/>
  <c r="Y2060" i="1"/>
  <c r="Z2059" i="1"/>
  <c r="Y2059" i="1"/>
  <c r="AA2059" i="1" s="1"/>
  <c r="AB2059" i="1" s="1"/>
  <c r="Z2058" i="1"/>
  <c r="Y2058" i="1"/>
  <c r="Z2057" i="1"/>
  <c r="Y2057" i="1"/>
  <c r="Z2056" i="1"/>
  <c r="Y2056" i="1"/>
  <c r="Z2055" i="1"/>
  <c r="Y2055" i="1"/>
  <c r="Z2054" i="1"/>
  <c r="Y2054" i="1"/>
  <c r="AA2054" i="1" s="1"/>
  <c r="AB2054" i="1" s="1"/>
  <c r="Z2053" i="1"/>
  <c r="Y2053" i="1"/>
  <c r="Z2052" i="1"/>
  <c r="Y2052" i="1"/>
  <c r="AA2052" i="1" s="1"/>
  <c r="Z2051" i="1"/>
  <c r="Y2051" i="1"/>
  <c r="Z2050" i="1"/>
  <c r="Y2050" i="1"/>
  <c r="Z2049" i="1"/>
  <c r="Y2049" i="1"/>
  <c r="Z2048" i="1"/>
  <c r="Y2048" i="1"/>
  <c r="AA2048" i="1" s="1"/>
  <c r="Z2047" i="1"/>
  <c r="Y2047" i="1"/>
  <c r="AA2047" i="1" s="1"/>
  <c r="Z2046" i="1"/>
  <c r="Y2046" i="1"/>
  <c r="AA2046" i="1" s="1"/>
  <c r="Z2045" i="1"/>
  <c r="Y2045" i="1"/>
  <c r="AA2045" i="1" s="1"/>
  <c r="Z2044" i="1"/>
  <c r="Y2044" i="1"/>
  <c r="Z2043" i="1"/>
  <c r="Y2043" i="1"/>
  <c r="AA2043" i="1" s="1"/>
  <c r="AB2043" i="1" s="1"/>
  <c r="Z2042" i="1"/>
  <c r="Y2042" i="1"/>
  <c r="Z2041" i="1"/>
  <c r="Y2041" i="1"/>
  <c r="AA2041" i="1" s="1"/>
  <c r="AB2041" i="1" s="1"/>
  <c r="Z2040" i="1"/>
  <c r="Y2040" i="1"/>
  <c r="Z2039" i="1"/>
  <c r="Y2039" i="1"/>
  <c r="Z2038" i="1"/>
  <c r="Y2038" i="1"/>
  <c r="Z2037" i="1"/>
  <c r="Y2037" i="1"/>
  <c r="Z2036" i="1"/>
  <c r="Y2036" i="1"/>
  <c r="Z2035" i="1"/>
  <c r="Y2035" i="1"/>
  <c r="Z2034" i="1"/>
  <c r="Y2034" i="1"/>
  <c r="AA2034" i="1" s="1"/>
  <c r="AB2034" i="1" s="1"/>
  <c r="Z2033" i="1"/>
  <c r="Y2033" i="1"/>
  <c r="AA2033" i="1" s="1"/>
  <c r="Z2032" i="1"/>
  <c r="Y2032" i="1"/>
  <c r="Z2031" i="1"/>
  <c r="Y2031" i="1"/>
  <c r="Z2030" i="1"/>
  <c r="Y2030" i="1"/>
  <c r="AA2030" i="1" s="1"/>
  <c r="AB2030" i="1" s="1"/>
  <c r="Z2029" i="1"/>
  <c r="Y2029" i="1"/>
  <c r="Z2028" i="1"/>
  <c r="Y2028" i="1"/>
  <c r="Z2027" i="1"/>
  <c r="Y2027" i="1"/>
  <c r="AA2027" i="1" s="1"/>
  <c r="AB2027" i="1" s="1"/>
  <c r="Z2026" i="1"/>
  <c r="Y2026" i="1"/>
  <c r="AA2026" i="1" s="1"/>
  <c r="Z2025" i="1"/>
  <c r="Y2025" i="1"/>
  <c r="AA2025" i="1" s="1"/>
  <c r="Z2024" i="1"/>
  <c r="Y2024" i="1"/>
  <c r="Z2023" i="1"/>
  <c r="Y2023" i="1"/>
  <c r="Z2022" i="1"/>
  <c r="Y2022" i="1"/>
  <c r="Z2021" i="1"/>
  <c r="Y2021" i="1"/>
  <c r="AA2021" i="1" s="1"/>
  <c r="Z2020" i="1"/>
  <c r="Y2020" i="1"/>
  <c r="AA2020" i="1" s="1"/>
  <c r="Z2019" i="1"/>
  <c r="Y2019" i="1"/>
  <c r="AA2019" i="1" s="1"/>
  <c r="Z2018" i="1"/>
  <c r="Y2018" i="1"/>
  <c r="Z2017" i="1"/>
  <c r="Y2017" i="1"/>
  <c r="Z2016" i="1"/>
  <c r="Y2016" i="1"/>
  <c r="Z2015" i="1"/>
  <c r="Y2015" i="1"/>
  <c r="Z2014" i="1"/>
  <c r="Y2014" i="1"/>
  <c r="Z2013" i="1"/>
  <c r="Y2013" i="1"/>
  <c r="Z2012" i="1"/>
  <c r="Y2012" i="1"/>
  <c r="Z2011" i="1"/>
  <c r="Y2011" i="1"/>
  <c r="Z2010" i="1"/>
  <c r="Y2010" i="1"/>
  <c r="AA2010" i="1" s="1"/>
  <c r="Z2009" i="1"/>
  <c r="Y2009" i="1"/>
  <c r="Z2008" i="1"/>
  <c r="Y2008" i="1"/>
  <c r="Z2007" i="1"/>
  <c r="Y2007" i="1"/>
  <c r="Z2006" i="1"/>
  <c r="Y2006" i="1"/>
  <c r="AA2006" i="1" s="1"/>
  <c r="AB2006" i="1" s="1"/>
  <c r="Z2005" i="1"/>
  <c r="Y2005" i="1"/>
  <c r="AA2005" i="1" s="1"/>
  <c r="Z2004" i="1"/>
  <c r="Y2004" i="1"/>
  <c r="AA2004" i="1" s="1"/>
  <c r="Z2003" i="1"/>
  <c r="Y2003" i="1"/>
  <c r="Z2002" i="1"/>
  <c r="Y2002" i="1"/>
  <c r="AA2002" i="1" s="1"/>
  <c r="AB2002" i="1" s="1"/>
  <c r="Z2001" i="1"/>
  <c r="Y2001" i="1"/>
  <c r="AA2001" i="1" s="1"/>
  <c r="Z2000" i="1"/>
  <c r="Y2000" i="1"/>
  <c r="Z1999" i="1"/>
  <c r="Y1999" i="1"/>
  <c r="AA1999" i="1" s="1"/>
  <c r="Z1998" i="1"/>
  <c r="Y1998" i="1"/>
  <c r="Z1997" i="1"/>
  <c r="Y1997" i="1"/>
  <c r="Z1996" i="1"/>
  <c r="Y1996" i="1"/>
  <c r="Z1995" i="1"/>
  <c r="Y1995" i="1"/>
  <c r="AA1995" i="1" s="1"/>
  <c r="AB1995" i="1" s="1"/>
  <c r="Z1994" i="1"/>
  <c r="Y1994" i="1"/>
  <c r="AA1994" i="1" s="1"/>
  <c r="Z1993" i="1"/>
  <c r="Y1993" i="1"/>
  <c r="Z1992" i="1"/>
  <c r="Y1992" i="1"/>
  <c r="AA1992" i="1" s="1"/>
  <c r="AB1992" i="1" s="1"/>
  <c r="Z1991" i="1"/>
  <c r="Y1991" i="1"/>
  <c r="Z1990" i="1"/>
  <c r="Y1990" i="1"/>
  <c r="AA1990" i="1" s="1"/>
  <c r="Z1989" i="1"/>
  <c r="Y1989" i="1"/>
  <c r="Z1988" i="1"/>
  <c r="Y1988" i="1"/>
  <c r="Z1987" i="1"/>
  <c r="Y1987" i="1"/>
  <c r="Z1986" i="1"/>
  <c r="Y1986" i="1"/>
  <c r="Z1985" i="1"/>
  <c r="Y1985" i="1"/>
  <c r="AA1985" i="1" s="1"/>
  <c r="Z1984" i="1"/>
  <c r="Y1984" i="1"/>
  <c r="AA1984" i="1" s="1"/>
  <c r="Z1983" i="1"/>
  <c r="Y1983" i="1"/>
  <c r="AA1983" i="1" s="1"/>
  <c r="AB1983" i="1" s="1"/>
  <c r="Z1982" i="1"/>
  <c r="Y1982" i="1"/>
  <c r="Z1981" i="1"/>
  <c r="Y1981" i="1"/>
  <c r="Z1980" i="1"/>
  <c r="Y1980" i="1"/>
  <c r="AA1980" i="1" s="1"/>
  <c r="AB1980" i="1" s="1"/>
  <c r="Z1979" i="1"/>
  <c r="Y1979" i="1"/>
  <c r="AA1979" i="1" s="1"/>
  <c r="AB1979" i="1" s="1"/>
  <c r="Z1978" i="1"/>
  <c r="Y1978" i="1"/>
  <c r="Z1977" i="1"/>
  <c r="Y1977" i="1"/>
  <c r="Z1976" i="1"/>
  <c r="Y1976" i="1"/>
  <c r="Z1975" i="1"/>
  <c r="Y1975" i="1"/>
  <c r="Z1974" i="1"/>
  <c r="Y1974" i="1"/>
  <c r="Z1973" i="1"/>
  <c r="Y1973" i="1"/>
  <c r="Z1972" i="1"/>
  <c r="Y1972" i="1"/>
  <c r="AA1972" i="1" s="1"/>
  <c r="AB1972" i="1" s="1"/>
  <c r="Z1971" i="1"/>
  <c r="Y1971" i="1"/>
  <c r="Z1970" i="1"/>
  <c r="Y1970" i="1"/>
  <c r="Z1969" i="1"/>
  <c r="Y1969" i="1"/>
  <c r="Z1968" i="1"/>
  <c r="Y1968" i="1"/>
  <c r="Z1967" i="1"/>
  <c r="Y1967" i="1"/>
  <c r="AA1967" i="1" s="1"/>
  <c r="Z1966" i="1"/>
  <c r="Y1966" i="1"/>
  <c r="AA1966" i="1" s="1"/>
  <c r="AB1966" i="1" s="1"/>
  <c r="Z1965" i="1"/>
  <c r="Y1965" i="1"/>
  <c r="Z1964" i="1"/>
  <c r="Y1964" i="1"/>
  <c r="Z1963" i="1"/>
  <c r="Y1963" i="1"/>
  <c r="AA1963" i="1" s="1"/>
  <c r="Z1962" i="1"/>
  <c r="Y1962" i="1"/>
  <c r="Z1961" i="1"/>
  <c r="Y1961" i="1"/>
  <c r="Z1960" i="1"/>
  <c r="Y1960" i="1"/>
  <c r="AA1960" i="1" s="1"/>
  <c r="AB1960" i="1" s="1"/>
  <c r="Z1959" i="1"/>
  <c r="Y1959" i="1"/>
  <c r="AA1959" i="1" s="1"/>
  <c r="Z1958" i="1"/>
  <c r="Y1958" i="1"/>
  <c r="AA1958" i="1" s="1"/>
  <c r="AB1958" i="1" s="1"/>
  <c r="Z1957" i="1"/>
  <c r="Y1957" i="1"/>
  <c r="Z1956" i="1"/>
  <c r="Y1956" i="1"/>
  <c r="Z1955" i="1"/>
  <c r="Y1955" i="1"/>
  <c r="Z1954" i="1"/>
  <c r="Y1954" i="1"/>
  <c r="Z1953" i="1"/>
  <c r="Y1953" i="1"/>
  <c r="AA1953" i="1" s="1"/>
  <c r="Z1952" i="1"/>
  <c r="Y1952" i="1"/>
  <c r="Z1951" i="1"/>
  <c r="Y1951" i="1"/>
  <c r="Z1950" i="1"/>
  <c r="Y1950" i="1"/>
  <c r="Z1949" i="1"/>
  <c r="Y1949" i="1"/>
  <c r="Z1948" i="1"/>
  <c r="Y1948" i="1"/>
  <c r="AA1948" i="1" s="1"/>
  <c r="Z1947" i="1"/>
  <c r="Y1947" i="1"/>
  <c r="Z1946" i="1"/>
  <c r="Y1946" i="1"/>
  <c r="AA1946" i="1" s="1"/>
  <c r="Z1945" i="1"/>
  <c r="Y1945" i="1"/>
  <c r="AA1945" i="1" s="1"/>
  <c r="AB1945" i="1" s="1"/>
  <c r="Z1944" i="1"/>
  <c r="Y1944" i="1"/>
  <c r="Z1943" i="1"/>
  <c r="Y1943" i="1"/>
  <c r="AA1943" i="1" s="1"/>
  <c r="AB1943" i="1" s="1"/>
  <c r="Z1942" i="1"/>
  <c r="Y1942" i="1"/>
  <c r="Z1941" i="1"/>
  <c r="Y1941" i="1"/>
  <c r="AA1941" i="1" s="1"/>
  <c r="AB1941" i="1" s="1"/>
  <c r="Z1940" i="1"/>
  <c r="Y1940" i="1"/>
  <c r="Z1939" i="1"/>
  <c r="Y1939" i="1"/>
  <c r="AA1939" i="1" s="1"/>
  <c r="Z1938" i="1"/>
  <c r="Y1938" i="1"/>
  <c r="Z1937" i="1"/>
  <c r="Y1937" i="1"/>
  <c r="AA1937" i="1" s="1"/>
  <c r="Z1936" i="1"/>
  <c r="Y1936" i="1"/>
  <c r="Z1935" i="1"/>
  <c r="Y1935" i="1"/>
  <c r="Z1934" i="1"/>
  <c r="Y1934" i="1"/>
  <c r="AA1934" i="1" s="1"/>
  <c r="Z1933" i="1"/>
  <c r="Y1933" i="1"/>
  <c r="AA1933" i="1" s="1"/>
  <c r="Z1932" i="1"/>
  <c r="Y1932" i="1"/>
  <c r="AA1932" i="1" s="1"/>
  <c r="Z1931" i="1"/>
  <c r="Y1931" i="1"/>
  <c r="AA1931" i="1" s="1"/>
  <c r="AB1931" i="1" s="1"/>
  <c r="Z1930" i="1"/>
  <c r="Y1930" i="1"/>
  <c r="Z1929" i="1"/>
  <c r="Y1929" i="1"/>
  <c r="Z1928" i="1"/>
  <c r="Y1928" i="1"/>
  <c r="Z1927" i="1"/>
  <c r="Y1927" i="1"/>
  <c r="AA1927" i="1" s="1"/>
  <c r="AB1927" i="1" s="1"/>
  <c r="Z1926" i="1"/>
  <c r="Y1926" i="1"/>
  <c r="Z1925" i="1"/>
  <c r="Y1925" i="1"/>
  <c r="Z1924" i="1"/>
  <c r="Y1924" i="1"/>
  <c r="AA1924" i="1" s="1"/>
  <c r="Z1923" i="1"/>
  <c r="Y1923" i="1"/>
  <c r="Z1922" i="1"/>
  <c r="Y1922" i="1"/>
  <c r="AA1922" i="1" s="1"/>
  <c r="Z1921" i="1"/>
  <c r="Y1921" i="1"/>
  <c r="AA1921" i="1" s="1"/>
  <c r="AB1921" i="1" s="1"/>
  <c r="Z1920" i="1"/>
  <c r="Y1920" i="1"/>
  <c r="Z1919" i="1"/>
  <c r="Y1919" i="1"/>
  <c r="Z1918" i="1"/>
  <c r="Y1918" i="1"/>
  <c r="AA1918" i="1" s="1"/>
  <c r="Z1917" i="1"/>
  <c r="Y1917" i="1"/>
  <c r="Z1916" i="1"/>
  <c r="Y1916" i="1"/>
  <c r="Z1915" i="1"/>
  <c r="Y1915" i="1"/>
  <c r="Z1914" i="1"/>
  <c r="Y1914" i="1"/>
  <c r="AA1914" i="1" s="1"/>
  <c r="Z1913" i="1"/>
  <c r="Y1913" i="1"/>
  <c r="Z1912" i="1"/>
  <c r="Y1912" i="1"/>
  <c r="AA1912" i="1" s="1"/>
  <c r="Z1911" i="1"/>
  <c r="Y1911" i="1"/>
  <c r="Z1910" i="1"/>
  <c r="Y1910" i="1"/>
  <c r="Z1909" i="1"/>
  <c r="Y1909" i="1"/>
  <c r="Z1908" i="1"/>
  <c r="Y1908" i="1"/>
  <c r="AA1908" i="1" s="1"/>
  <c r="Z1907" i="1"/>
  <c r="Y1907" i="1"/>
  <c r="AA1907" i="1" s="1"/>
  <c r="Z1906" i="1"/>
  <c r="Y1906" i="1"/>
  <c r="Z1905" i="1"/>
  <c r="Y1905" i="1"/>
  <c r="AA1905" i="1" s="1"/>
  <c r="Z1904" i="1"/>
  <c r="Y1904" i="1"/>
  <c r="Z1903" i="1"/>
  <c r="Y1903" i="1"/>
  <c r="AA1903" i="1" s="1"/>
  <c r="Z1902" i="1"/>
  <c r="Y1902" i="1"/>
  <c r="Z1901" i="1"/>
  <c r="Y1901" i="1"/>
  <c r="AA1901" i="1" s="1"/>
  <c r="AB1901" i="1" s="1"/>
  <c r="Z1900" i="1"/>
  <c r="Y1900" i="1"/>
  <c r="Z1899" i="1"/>
  <c r="Y1899" i="1"/>
  <c r="AA1899" i="1" s="1"/>
  <c r="AB1899" i="1" s="1"/>
  <c r="Z1898" i="1"/>
  <c r="Y1898" i="1"/>
  <c r="Z1897" i="1"/>
  <c r="Y1897" i="1"/>
  <c r="AA1897" i="1" s="1"/>
  <c r="AB1897" i="1" s="1"/>
  <c r="Z1896" i="1"/>
  <c r="Y1896" i="1"/>
  <c r="AA1896" i="1" s="1"/>
  <c r="AB1896" i="1" s="1"/>
  <c r="Z1895" i="1"/>
  <c r="Y1895" i="1"/>
  <c r="Z1894" i="1"/>
  <c r="Y1894" i="1"/>
  <c r="AA1894" i="1" s="1"/>
  <c r="Z1893" i="1"/>
  <c r="Y1893" i="1"/>
  <c r="AA1893" i="1" s="1"/>
  <c r="Z1892" i="1"/>
  <c r="Y1892" i="1"/>
  <c r="Z1891" i="1"/>
  <c r="Y1891" i="1"/>
  <c r="AA1891" i="1" s="1"/>
  <c r="Z1890" i="1"/>
  <c r="Y1890" i="1"/>
  <c r="Z1889" i="1"/>
  <c r="Y1889" i="1"/>
  <c r="Z1888" i="1"/>
  <c r="Y1888" i="1"/>
  <c r="Z1887" i="1"/>
  <c r="Y1887" i="1"/>
  <c r="Z1886" i="1"/>
  <c r="Y1886" i="1"/>
  <c r="Z1885" i="1"/>
  <c r="Y1885" i="1"/>
  <c r="Z1884" i="1"/>
  <c r="Y1884" i="1"/>
  <c r="AA1884" i="1" s="1"/>
  <c r="AB1884" i="1" s="1"/>
  <c r="Z1883" i="1"/>
  <c r="Y1883" i="1"/>
  <c r="Z1882" i="1"/>
  <c r="Y1882" i="1"/>
  <c r="Z1881" i="1"/>
  <c r="Y1881" i="1"/>
  <c r="AA1881" i="1" s="1"/>
  <c r="AB1881" i="1" s="1"/>
  <c r="Z1880" i="1"/>
  <c r="Y1880" i="1"/>
  <c r="AA1880" i="1" s="1"/>
  <c r="Z1879" i="1"/>
  <c r="Y1879" i="1"/>
  <c r="AA1879" i="1" s="1"/>
  <c r="Z1878" i="1"/>
  <c r="Y1878" i="1"/>
  <c r="AA1878" i="1" s="1"/>
  <c r="Z1877" i="1"/>
  <c r="Y1877" i="1"/>
  <c r="Z1876" i="1"/>
  <c r="Y1876" i="1"/>
  <c r="Z1875" i="1"/>
  <c r="Y1875" i="1"/>
  <c r="Z1874" i="1"/>
  <c r="Y1874" i="1"/>
  <c r="Z1873" i="1"/>
  <c r="Y1873" i="1"/>
  <c r="Z1872" i="1"/>
  <c r="Y1872" i="1"/>
  <c r="Z1871" i="1"/>
  <c r="Y1871" i="1"/>
  <c r="Z1870" i="1"/>
  <c r="Y1870" i="1"/>
  <c r="AA1870" i="1" s="1"/>
  <c r="Z1869" i="1"/>
  <c r="Y1869" i="1"/>
  <c r="AA1869" i="1" s="1"/>
  <c r="AB1869" i="1" s="1"/>
  <c r="Z1868" i="1"/>
  <c r="Y1868" i="1"/>
  <c r="AA1868" i="1" s="1"/>
  <c r="Z1867" i="1"/>
  <c r="Y1867" i="1"/>
  <c r="Z1866" i="1"/>
  <c r="Y1866" i="1"/>
  <c r="AA1866" i="1" s="1"/>
  <c r="Z1865" i="1"/>
  <c r="Y1865" i="1"/>
  <c r="Z1864" i="1"/>
  <c r="Y1864" i="1"/>
  <c r="AA1864" i="1" s="1"/>
  <c r="Z1863" i="1"/>
  <c r="Y1863" i="1"/>
  <c r="Z1862" i="1"/>
  <c r="Y1862" i="1"/>
  <c r="Z1861" i="1"/>
  <c r="Y1861" i="1"/>
  <c r="AA1861" i="1" s="1"/>
  <c r="Z1860" i="1"/>
  <c r="Y1860" i="1"/>
  <c r="AA1860" i="1" s="1"/>
  <c r="AB1860" i="1" s="1"/>
  <c r="Z1859" i="1"/>
  <c r="Y1859" i="1"/>
  <c r="AA1859" i="1" s="1"/>
  <c r="AB1859" i="1" s="1"/>
  <c r="Z1858" i="1"/>
  <c r="Y1858" i="1"/>
  <c r="Z1857" i="1"/>
  <c r="Y1857" i="1"/>
  <c r="Z1856" i="1"/>
  <c r="Y1856" i="1"/>
  <c r="Z1855" i="1"/>
  <c r="Y1855" i="1"/>
  <c r="Z1854" i="1"/>
  <c r="Y1854" i="1"/>
  <c r="AA1854" i="1" s="1"/>
  <c r="AB1854" i="1" s="1"/>
  <c r="Z1853" i="1"/>
  <c r="Y1853" i="1"/>
  <c r="Z1852" i="1"/>
  <c r="Y1852" i="1"/>
  <c r="AA1852" i="1" s="1"/>
  <c r="Z1851" i="1"/>
  <c r="Y1851" i="1"/>
  <c r="Z1850" i="1"/>
  <c r="Y1850" i="1"/>
  <c r="Z1849" i="1"/>
  <c r="Y1849" i="1"/>
  <c r="Z1848" i="1"/>
  <c r="Y1848" i="1"/>
  <c r="Z1847" i="1"/>
  <c r="Y1847" i="1"/>
  <c r="Z1846" i="1"/>
  <c r="Y1846" i="1"/>
  <c r="Z1845" i="1"/>
  <c r="Y1845" i="1"/>
  <c r="Z1844" i="1"/>
  <c r="Y1844" i="1"/>
  <c r="Z1843" i="1"/>
  <c r="Y1843" i="1"/>
  <c r="Z1842" i="1"/>
  <c r="Y1842" i="1"/>
  <c r="Z1841" i="1"/>
  <c r="Y1841" i="1"/>
  <c r="AA1841" i="1" s="1"/>
  <c r="AB1841" i="1" s="1"/>
  <c r="Z1840" i="1"/>
  <c r="Y1840" i="1"/>
  <c r="Z1839" i="1"/>
  <c r="Y1839" i="1"/>
  <c r="Z1838" i="1"/>
  <c r="Y1838" i="1"/>
  <c r="Z1837" i="1"/>
  <c r="Y1837" i="1"/>
  <c r="Z1836" i="1"/>
  <c r="Y1836" i="1"/>
  <c r="AA1836" i="1" s="1"/>
  <c r="Z1835" i="1"/>
  <c r="Y1835" i="1"/>
  <c r="Z1834" i="1"/>
  <c r="Y1834" i="1"/>
  <c r="Z1833" i="1"/>
  <c r="Y1833" i="1"/>
  <c r="Z1832" i="1"/>
  <c r="Y1832" i="1"/>
  <c r="Z1831" i="1"/>
  <c r="Y1831" i="1"/>
  <c r="Z1830" i="1"/>
  <c r="Y1830" i="1"/>
  <c r="Z1829" i="1"/>
  <c r="Y1829" i="1"/>
  <c r="Z1828" i="1"/>
  <c r="Y1828" i="1"/>
  <c r="Z1827" i="1"/>
  <c r="Y1827" i="1"/>
  <c r="Z1826" i="1"/>
  <c r="Y1826" i="1"/>
  <c r="Z1825" i="1"/>
  <c r="Y1825" i="1"/>
  <c r="AA1825" i="1" s="1"/>
  <c r="AB1825" i="1" s="1"/>
  <c r="Z1824" i="1"/>
  <c r="Y1824" i="1"/>
  <c r="Z1823" i="1"/>
  <c r="Y1823" i="1"/>
  <c r="Z1822" i="1"/>
  <c r="Y1822" i="1"/>
  <c r="Z1821" i="1"/>
  <c r="Y1821" i="1"/>
  <c r="AA1821" i="1" s="1"/>
  <c r="Z1820" i="1"/>
  <c r="Y1820" i="1"/>
  <c r="Z1819" i="1"/>
  <c r="Y1819" i="1"/>
  <c r="Z1818" i="1"/>
  <c r="Y1818" i="1"/>
  <c r="AA1818" i="1" s="1"/>
  <c r="Z1817" i="1"/>
  <c r="Y1817" i="1"/>
  <c r="AA1817" i="1" s="1"/>
  <c r="Z1816" i="1"/>
  <c r="Y1816" i="1"/>
  <c r="Z1815" i="1"/>
  <c r="Y1815" i="1"/>
  <c r="AA1815" i="1" s="1"/>
  <c r="AB1815" i="1" s="1"/>
  <c r="Z1814" i="1"/>
  <c r="Y1814" i="1"/>
  <c r="AA1814" i="1" s="1"/>
  <c r="AB1814" i="1" s="1"/>
  <c r="Z1813" i="1"/>
  <c r="Y1813" i="1"/>
  <c r="Z1812" i="1"/>
  <c r="Y1812" i="1"/>
  <c r="Z1811" i="1"/>
  <c r="Y1811" i="1"/>
  <c r="Z1810" i="1"/>
  <c r="Y1810" i="1"/>
  <c r="Z1809" i="1"/>
  <c r="Y1809" i="1"/>
  <c r="Z1808" i="1"/>
  <c r="Y1808" i="1"/>
  <c r="Z1807" i="1"/>
  <c r="Y1807" i="1"/>
  <c r="Z1806" i="1"/>
  <c r="Y1806" i="1"/>
  <c r="AA1806" i="1" s="1"/>
  <c r="Z1805" i="1"/>
  <c r="Y1805" i="1"/>
  <c r="AA1805" i="1" s="1"/>
  <c r="AB1805" i="1" s="1"/>
  <c r="Z1804" i="1"/>
  <c r="Y1804" i="1"/>
  <c r="AA1804" i="1" s="1"/>
  <c r="Z1803" i="1"/>
  <c r="Y1803" i="1"/>
  <c r="AA1803" i="1" s="1"/>
  <c r="AB1803" i="1" s="1"/>
  <c r="Z1802" i="1"/>
  <c r="Y1802" i="1"/>
  <c r="AA1802" i="1" s="1"/>
  <c r="AB1802" i="1" s="1"/>
  <c r="Z1801" i="1"/>
  <c r="Y1801" i="1"/>
  <c r="Z1800" i="1"/>
  <c r="Y1800" i="1"/>
  <c r="Z1799" i="1"/>
  <c r="Y1799" i="1"/>
  <c r="AA1799" i="1" s="1"/>
  <c r="AB1799" i="1" s="1"/>
  <c r="Z1798" i="1"/>
  <c r="Y1798" i="1"/>
  <c r="AA1798" i="1" s="1"/>
  <c r="Z1797" i="1"/>
  <c r="Y1797" i="1"/>
  <c r="AA1797" i="1" s="1"/>
  <c r="Z1796" i="1"/>
  <c r="Y1796" i="1"/>
  <c r="Z1795" i="1"/>
  <c r="Y1795" i="1"/>
  <c r="Z1794" i="1"/>
  <c r="Y1794" i="1"/>
  <c r="Z1793" i="1"/>
  <c r="Y1793" i="1"/>
  <c r="Z1792" i="1"/>
  <c r="Y1792" i="1"/>
  <c r="Z1791" i="1"/>
  <c r="Y1791" i="1"/>
  <c r="Z1790" i="1"/>
  <c r="Y1790" i="1"/>
  <c r="Z1789" i="1"/>
  <c r="Y1789" i="1"/>
  <c r="Z1788" i="1"/>
  <c r="Y1788" i="1"/>
  <c r="Z1787" i="1"/>
  <c r="Y1787" i="1"/>
  <c r="Z1786" i="1"/>
  <c r="Y1786" i="1"/>
  <c r="AA1786" i="1" s="1"/>
  <c r="AB1786" i="1" s="1"/>
  <c r="Z1785" i="1"/>
  <c r="Y1785" i="1"/>
  <c r="AA1785" i="1" s="1"/>
  <c r="Z1784" i="1"/>
  <c r="Y1784" i="1"/>
  <c r="Z1783" i="1"/>
  <c r="Y1783" i="1"/>
  <c r="AA1783" i="1" s="1"/>
  <c r="Z1782" i="1"/>
  <c r="Y1782" i="1"/>
  <c r="Z1781" i="1"/>
  <c r="Y1781" i="1"/>
  <c r="AA1781" i="1" s="1"/>
  <c r="Z1780" i="1"/>
  <c r="Y1780" i="1"/>
  <c r="AA1780" i="1" s="1"/>
  <c r="AB1780" i="1" s="1"/>
  <c r="Z1779" i="1"/>
  <c r="Y1779" i="1"/>
  <c r="AA1779" i="1" s="1"/>
  <c r="Z1778" i="1"/>
  <c r="Y1778" i="1"/>
  <c r="Z1777" i="1"/>
  <c r="Y1777" i="1"/>
  <c r="Z1776" i="1"/>
  <c r="Y1776" i="1"/>
  <c r="Z1775" i="1"/>
  <c r="Y1775" i="1"/>
  <c r="Z1774" i="1"/>
  <c r="Y1774" i="1"/>
  <c r="AA1774" i="1" s="1"/>
  <c r="Z1773" i="1"/>
  <c r="Y1773" i="1"/>
  <c r="AA1773" i="1" s="1"/>
  <c r="AB1773" i="1" s="1"/>
  <c r="Z1772" i="1"/>
  <c r="Y1772" i="1"/>
  <c r="AA1772" i="1" s="1"/>
  <c r="Z1771" i="1"/>
  <c r="Y1771" i="1"/>
  <c r="AA1771" i="1" s="1"/>
  <c r="AB1771" i="1" s="1"/>
  <c r="Z1770" i="1"/>
  <c r="Y1770" i="1"/>
  <c r="Z1769" i="1"/>
  <c r="Y1769" i="1"/>
  <c r="Z1768" i="1"/>
  <c r="Y1768" i="1"/>
  <c r="Z1767" i="1"/>
  <c r="Y1767" i="1"/>
  <c r="AA1767" i="1" s="1"/>
  <c r="Z1766" i="1"/>
  <c r="Y1766" i="1"/>
  <c r="AA1766" i="1" s="1"/>
  <c r="AB1766" i="1" s="1"/>
  <c r="Z1765" i="1"/>
  <c r="Y1765" i="1"/>
  <c r="AA1765" i="1" s="1"/>
  <c r="Z1764" i="1"/>
  <c r="Y1764" i="1"/>
  <c r="AA1764" i="1" s="1"/>
  <c r="AB1764" i="1" s="1"/>
  <c r="Z1763" i="1"/>
  <c r="Y1763" i="1"/>
  <c r="Z1762" i="1"/>
  <c r="Y1762" i="1"/>
  <c r="AA1762" i="1" s="1"/>
  <c r="AB1762" i="1" s="1"/>
  <c r="Z1761" i="1"/>
  <c r="Y1761" i="1"/>
  <c r="Z1760" i="1"/>
  <c r="Y1760" i="1"/>
  <c r="Z1759" i="1"/>
  <c r="Y1759" i="1"/>
  <c r="Z1758" i="1"/>
  <c r="Y1758" i="1"/>
  <c r="AA1758" i="1" s="1"/>
  <c r="Z1757" i="1"/>
  <c r="Y1757" i="1"/>
  <c r="AA1757" i="1" s="1"/>
  <c r="Z1756" i="1"/>
  <c r="Y1756" i="1"/>
  <c r="AA1756" i="1" s="1"/>
  <c r="Z1755" i="1"/>
  <c r="Y1755" i="1"/>
  <c r="Z1754" i="1"/>
  <c r="Y1754" i="1"/>
  <c r="Z1753" i="1"/>
  <c r="Y1753" i="1"/>
  <c r="AA1753" i="1" s="1"/>
  <c r="AB1753" i="1" s="1"/>
  <c r="Z1752" i="1"/>
  <c r="Y1752" i="1"/>
  <c r="Z1751" i="1"/>
  <c r="Y1751" i="1"/>
  <c r="Z1750" i="1"/>
  <c r="Y1750" i="1"/>
  <c r="Z1749" i="1"/>
  <c r="Y1749" i="1"/>
  <c r="AA1749" i="1" s="1"/>
  <c r="Z1748" i="1"/>
  <c r="Y1748" i="1"/>
  <c r="Z1747" i="1"/>
  <c r="Y1747" i="1"/>
  <c r="Z1746" i="1"/>
  <c r="Y1746" i="1"/>
  <c r="Z1745" i="1"/>
  <c r="Y1745" i="1"/>
  <c r="AA1745" i="1" s="1"/>
  <c r="AB1745" i="1" s="1"/>
  <c r="Z1744" i="1"/>
  <c r="Y1744" i="1"/>
  <c r="AA1744" i="1" s="1"/>
  <c r="AB1744" i="1" s="1"/>
  <c r="Z1743" i="1"/>
  <c r="Y1743" i="1"/>
  <c r="Z1742" i="1"/>
  <c r="Y1742" i="1"/>
  <c r="Z1741" i="1"/>
  <c r="Y1741" i="1"/>
  <c r="Z1740" i="1"/>
  <c r="Y1740" i="1"/>
  <c r="AA1740" i="1" s="1"/>
  <c r="Z1739" i="1"/>
  <c r="Y1739" i="1"/>
  <c r="Z1738" i="1"/>
  <c r="Y1738" i="1"/>
  <c r="Z1737" i="1"/>
  <c r="Y1737" i="1"/>
  <c r="AA1737" i="1" s="1"/>
  <c r="AB1737" i="1" s="1"/>
  <c r="Z1736" i="1"/>
  <c r="Y1736" i="1"/>
  <c r="Z1735" i="1"/>
  <c r="Y1735" i="1"/>
  <c r="Z1734" i="1"/>
  <c r="Y1734" i="1"/>
  <c r="AA1734" i="1" s="1"/>
  <c r="AB1734" i="1" s="1"/>
  <c r="Z1733" i="1"/>
  <c r="Y1733" i="1"/>
  <c r="AA1733" i="1" s="1"/>
  <c r="Z1732" i="1"/>
  <c r="Y1732" i="1"/>
  <c r="Z1731" i="1"/>
  <c r="Y1731" i="1"/>
  <c r="AA1731" i="1" s="1"/>
  <c r="Z1730" i="1"/>
  <c r="Y1730" i="1"/>
  <c r="Z1729" i="1"/>
  <c r="Y1729" i="1"/>
  <c r="AA1729" i="1" s="1"/>
  <c r="Z1728" i="1"/>
  <c r="Y1728" i="1"/>
  <c r="AA1728" i="1" s="1"/>
  <c r="Z1727" i="1"/>
  <c r="Y1727" i="1"/>
  <c r="Z1726" i="1"/>
  <c r="Y1726" i="1"/>
  <c r="Z1725" i="1"/>
  <c r="Y1725" i="1"/>
  <c r="Z1724" i="1"/>
  <c r="Y1724" i="1"/>
  <c r="Z1723" i="1"/>
  <c r="Y1723" i="1"/>
  <c r="AA1723" i="1" s="1"/>
  <c r="Z1722" i="1"/>
  <c r="Y1722" i="1"/>
  <c r="Z1721" i="1"/>
  <c r="Y1721" i="1"/>
  <c r="AA1721" i="1" s="1"/>
  <c r="AB1721" i="1" s="1"/>
  <c r="AC1721" i="1" s="1"/>
  <c r="Z1720" i="1"/>
  <c r="Y1720" i="1"/>
  <c r="Z1719" i="1"/>
  <c r="Y1719" i="1"/>
  <c r="AA1719" i="1" s="1"/>
  <c r="Z1718" i="1"/>
  <c r="Y1718" i="1"/>
  <c r="Z1717" i="1"/>
  <c r="Y1717" i="1"/>
  <c r="AA1717" i="1" s="1"/>
  <c r="AB1717" i="1" s="1"/>
  <c r="Z1716" i="1"/>
  <c r="Y1716" i="1"/>
  <c r="Z1715" i="1"/>
  <c r="Y1715" i="1"/>
  <c r="AA1715" i="1" s="1"/>
  <c r="AB1715" i="1" s="1"/>
  <c r="Z1714" i="1"/>
  <c r="Y1714" i="1"/>
  <c r="Z1713" i="1"/>
  <c r="Y1713" i="1"/>
  <c r="Z1712" i="1"/>
  <c r="Y1712" i="1"/>
  <c r="Z1711" i="1"/>
  <c r="Y1711" i="1"/>
  <c r="Z1710" i="1"/>
  <c r="Y1710" i="1"/>
  <c r="AA1710" i="1" s="1"/>
  <c r="Z1709" i="1"/>
  <c r="Y1709" i="1"/>
  <c r="Z1708" i="1"/>
  <c r="Y1708" i="1"/>
  <c r="Z1707" i="1"/>
  <c r="Y1707" i="1"/>
  <c r="AA1707" i="1" s="1"/>
  <c r="Z1706" i="1"/>
  <c r="Y1706" i="1"/>
  <c r="Z1705" i="1"/>
  <c r="Y1705" i="1"/>
  <c r="Z1704" i="1"/>
  <c r="Y1704" i="1"/>
  <c r="AA1704" i="1" s="1"/>
  <c r="Z1703" i="1"/>
  <c r="Y1703" i="1"/>
  <c r="Z1702" i="1"/>
  <c r="Y1702" i="1"/>
  <c r="AA1702" i="1" s="1"/>
  <c r="AB1702" i="1" s="1"/>
  <c r="Z1701" i="1"/>
  <c r="Y1701" i="1"/>
  <c r="Z1700" i="1"/>
  <c r="Y1700" i="1"/>
  <c r="Z1699" i="1"/>
  <c r="Y1699" i="1"/>
  <c r="AA1699" i="1" s="1"/>
  <c r="Z1698" i="1"/>
  <c r="Y1698" i="1"/>
  <c r="Z1697" i="1"/>
  <c r="Y1697" i="1"/>
  <c r="AA1697" i="1" s="1"/>
  <c r="AB1697" i="1" s="1"/>
  <c r="Z1696" i="1"/>
  <c r="Y1696" i="1"/>
  <c r="Z1695" i="1"/>
  <c r="Y1695" i="1"/>
  <c r="Z1694" i="1"/>
  <c r="Y1694" i="1"/>
  <c r="AA1694" i="1" s="1"/>
  <c r="Z1693" i="1"/>
  <c r="Y1693" i="1"/>
  <c r="Z1692" i="1"/>
  <c r="Y1692" i="1"/>
  <c r="AA1692" i="1" s="1"/>
  <c r="Z1691" i="1"/>
  <c r="Y1691" i="1"/>
  <c r="Z1690" i="1"/>
  <c r="Y1690" i="1"/>
  <c r="AA1690" i="1" s="1"/>
  <c r="Z1689" i="1"/>
  <c r="Y1689" i="1"/>
  <c r="AA1689" i="1" s="1"/>
  <c r="Z1688" i="1"/>
  <c r="Y1688" i="1"/>
  <c r="Z1687" i="1"/>
  <c r="Y1687" i="1"/>
  <c r="AA1687" i="1" s="1"/>
  <c r="Z1686" i="1"/>
  <c r="Y1686" i="1"/>
  <c r="Z1685" i="1"/>
  <c r="Y1685" i="1"/>
  <c r="Z1684" i="1"/>
  <c r="Y1684" i="1"/>
  <c r="Z1683" i="1"/>
  <c r="Y1683" i="1"/>
  <c r="Z1682" i="1"/>
  <c r="Y1682" i="1"/>
  <c r="AA1682" i="1" s="1"/>
  <c r="Z1681" i="1"/>
  <c r="Y1681" i="1"/>
  <c r="Z1680" i="1"/>
  <c r="Y1680" i="1"/>
  <c r="AA1680" i="1" s="1"/>
  <c r="AB1680" i="1" s="1"/>
  <c r="Z1679" i="1"/>
  <c r="Y1679" i="1"/>
  <c r="Z1678" i="1"/>
  <c r="Y1678" i="1"/>
  <c r="AA1678" i="1" s="1"/>
  <c r="Z1677" i="1"/>
  <c r="Y1677" i="1"/>
  <c r="AA1677" i="1" s="1"/>
  <c r="AB1677" i="1" s="1"/>
  <c r="Z1676" i="1"/>
  <c r="Y1676" i="1"/>
  <c r="Z1675" i="1"/>
  <c r="Y1675" i="1"/>
  <c r="AA1675" i="1" s="1"/>
  <c r="AB1675" i="1" s="1"/>
  <c r="Z1674" i="1"/>
  <c r="Y1674" i="1"/>
  <c r="Z1673" i="1"/>
  <c r="Y1673" i="1"/>
  <c r="Z1672" i="1"/>
  <c r="Y1672" i="1"/>
  <c r="AA1672" i="1" s="1"/>
  <c r="AB1672" i="1" s="1"/>
  <c r="Z1671" i="1"/>
  <c r="Y1671" i="1"/>
  <c r="AA1671" i="1" s="1"/>
  <c r="Z1670" i="1"/>
  <c r="Y1670" i="1"/>
  <c r="Z1669" i="1"/>
  <c r="Y1669" i="1"/>
  <c r="Z1668" i="1"/>
  <c r="Y1668" i="1"/>
  <c r="Z1667" i="1"/>
  <c r="Y1667" i="1"/>
  <c r="AA1667" i="1" s="1"/>
  <c r="Z1666" i="1"/>
  <c r="Y1666" i="1"/>
  <c r="AA1666" i="1" s="1"/>
  <c r="Z1665" i="1"/>
  <c r="Y1665" i="1"/>
  <c r="Z1664" i="1"/>
  <c r="Y1664" i="1"/>
  <c r="AA1664" i="1" s="1"/>
  <c r="Z1663" i="1"/>
  <c r="Y1663" i="1"/>
  <c r="Z1662" i="1"/>
  <c r="Y1662" i="1"/>
  <c r="Z1661" i="1"/>
  <c r="Y1661" i="1"/>
  <c r="AA1661" i="1" s="1"/>
  <c r="AB1661" i="1" s="1"/>
  <c r="Z1660" i="1"/>
  <c r="Y1660" i="1"/>
  <c r="Z1659" i="1"/>
  <c r="Y1659" i="1"/>
  <c r="Z1658" i="1"/>
  <c r="Y1658" i="1"/>
  <c r="AA1658" i="1" s="1"/>
  <c r="Z1657" i="1"/>
  <c r="Y1657" i="1"/>
  <c r="AA1657" i="1" s="1"/>
  <c r="Z1656" i="1"/>
  <c r="Y1656" i="1"/>
  <c r="Z1655" i="1"/>
  <c r="Y1655" i="1"/>
  <c r="Z1654" i="1"/>
  <c r="Y1654" i="1"/>
  <c r="AA1654" i="1" s="1"/>
  <c r="AB1654" i="1" s="1"/>
  <c r="Z1653" i="1"/>
  <c r="Y1653" i="1"/>
  <c r="Z1652" i="1"/>
  <c r="Y1652" i="1"/>
  <c r="Z1651" i="1"/>
  <c r="Y1651" i="1"/>
  <c r="Z1650" i="1"/>
  <c r="Y1650" i="1"/>
  <c r="AA1650" i="1" s="1"/>
  <c r="Z1649" i="1"/>
  <c r="Y1649" i="1"/>
  <c r="Z1648" i="1"/>
  <c r="Y1648" i="1"/>
  <c r="AA1648" i="1" s="1"/>
  <c r="Z1647" i="1"/>
  <c r="Y1647" i="1"/>
  <c r="AA1647" i="1" s="1"/>
  <c r="AB1647" i="1" s="1"/>
  <c r="Z1646" i="1"/>
  <c r="Y1646" i="1"/>
  <c r="Z1645" i="1"/>
  <c r="Y1645" i="1"/>
  <c r="Z1644" i="1"/>
  <c r="Y1644" i="1"/>
  <c r="AA1644" i="1" s="1"/>
  <c r="Z1643" i="1"/>
  <c r="Y1643" i="1"/>
  <c r="Z1642" i="1"/>
  <c r="Y1642" i="1"/>
  <c r="Z1641" i="1"/>
  <c r="Y1641" i="1"/>
  <c r="AA1641" i="1" s="1"/>
  <c r="AB1641" i="1" s="1"/>
  <c r="Z1640" i="1"/>
  <c r="Y1640" i="1"/>
  <c r="Z1639" i="1"/>
  <c r="Y1639" i="1"/>
  <c r="Z1638" i="1"/>
  <c r="Y1638" i="1"/>
  <c r="AA1638" i="1" s="1"/>
  <c r="AB1638" i="1" s="1"/>
  <c r="Z1637" i="1"/>
  <c r="Y1637" i="1"/>
  <c r="AA1637" i="1" s="1"/>
  <c r="AB1637" i="1" s="1"/>
  <c r="Z1636" i="1"/>
  <c r="Y1636" i="1"/>
  <c r="AA1636" i="1" s="1"/>
  <c r="Z1635" i="1"/>
  <c r="Y1635" i="1"/>
  <c r="Z1634" i="1"/>
  <c r="Y1634" i="1"/>
  <c r="Z1633" i="1"/>
  <c r="Y1633" i="1"/>
  <c r="AA1633" i="1" s="1"/>
  <c r="AB1633" i="1" s="1"/>
  <c r="Z1632" i="1"/>
  <c r="Y1632" i="1"/>
  <c r="Z1631" i="1"/>
  <c r="Y1631" i="1"/>
  <c r="Z1630" i="1"/>
  <c r="Y1630" i="1"/>
  <c r="Z1629" i="1"/>
  <c r="Y1629" i="1"/>
  <c r="AA1629" i="1" s="1"/>
  <c r="Z1628" i="1"/>
  <c r="Y1628" i="1"/>
  <c r="Z1627" i="1"/>
  <c r="Y1627" i="1"/>
  <c r="Z1626" i="1"/>
  <c r="Y1626" i="1"/>
  <c r="Z1625" i="1"/>
  <c r="Y1625" i="1"/>
  <c r="AA1625" i="1" s="1"/>
  <c r="AB1625" i="1" s="1"/>
  <c r="Z1624" i="1"/>
  <c r="Y1624" i="1"/>
  <c r="AA1624" i="1" s="1"/>
  <c r="Z1623" i="1"/>
  <c r="Y1623" i="1"/>
  <c r="Z1622" i="1"/>
  <c r="Y1622" i="1"/>
  <c r="AA1622" i="1" s="1"/>
  <c r="Z1621" i="1"/>
  <c r="Y1621" i="1"/>
  <c r="AA1621" i="1" s="1"/>
  <c r="Z1620" i="1"/>
  <c r="Y1620" i="1"/>
  <c r="Z1619" i="1"/>
  <c r="Y1619" i="1"/>
  <c r="AA1619" i="1" s="1"/>
  <c r="AB1619" i="1" s="1"/>
  <c r="Z1618" i="1"/>
  <c r="Y1618" i="1"/>
  <c r="Z1617" i="1"/>
  <c r="Y1617" i="1"/>
  <c r="AA1617" i="1" s="1"/>
  <c r="Z1616" i="1"/>
  <c r="Y1616" i="1"/>
  <c r="AA1616" i="1" s="1"/>
  <c r="AB1616" i="1" s="1"/>
  <c r="Z1615" i="1"/>
  <c r="Y1615" i="1"/>
  <c r="AA1615" i="1" s="1"/>
  <c r="AB1615" i="1" s="1"/>
  <c r="Z1614" i="1"/>
  <c r="Y1614" i="1"/>
  <c r="Z1613" i="1"/>
  <c r="Y1613" i="1"/>
  <c r="AA1613" i="1" s="1"/>
  <c r="AB1613" i="1" s="1"/>
  <c r="Z1612" i="1"/>
  <c r="Y1612" i="1"/>
  <c r="AA1612" i="1" s="1"/>
  <c r="Z1611" i="1"/>
  <c r="Y1611" i="1"/>
  <c r="AA1611" i="1" s="1"/>
  <c r="AB1611" i="1" s="1"/>
  <c r="Z1610" i="1"/>
  <c r="Y1610" i="1"/>
  <c r="Z1609" i="1"/>
  <c r="Y1609" i="1"/>
  <c r="Z1608" i="1"/>
  <c r="Y1608" i="1"/>
  <c r="AA1608" i="1" s="1"/>
  <c r="Z1607" i="1"/>
  <c r="Y1607" i="1"/>
  <c r="Z1606" i="1"/>
  <c r="Y1606" i="1"/>
  <c r="Z1605" i="1"/>
  <c r="Y1605" i="1"/>
  <c r="AA1605" i="1" s="1"/>
  <c r="AB1605" i="1" s="1"/>
  <c r="AC1605" i="1" s="1"/>
  <c r="Z1604" i="1"/>
  <c r="Y1604" i="1"/>
  <c r="Z1603" i="1"/>
  <c r="Y1603" i="1"/>
  <c r="Z1602" i="1"/>
  <c r="Y1602" i="1"/>
  <c r="AA1602" i="1" s="1"/>
  <c r="AB1602" i="1" s="1"/>
  <c r="Z1601" i="1"/>
  <c r="Y1601" i="1"/>
  <c r="AA1601" i="1" s="1"/>
  <c r="Z1600" i="1"/>
  <c r="Y1600" i="1"/>
  <c r="Z1599" i="1"/>
  <c r="Y1599" i="1"/>
  <c r="AA1599" i="1" s="1"/>
  <c r="AB1599" i="1" s="1"/>
  <c r="AC1599" i="1" s="1"/>
  <c r="Z1598" i="1"/>
  <c r="Y1598" i="1"/>
  <c r="AA1598" i="1" s="1"/>
  <c r="Z1597" i="1"/>
  <c r="Y1597" i="1"/>
  <c r="AA1597" i="1" s="1"/>
  <c r="Z1596" i="1"/>
  <c r="Y1596" i="1"/>
  <c r="Z1595" i="1"/>
  <c r="Y1595" i="1"/>
  <c r="Z1594" i="1"/>
  <c r="Y1594" i="1"/>
  <c r="AA1594" i="1" s="1"/>
  <c r="Z1593" i="1"/>
  <c r="Y1593" i="1"/>
  <c r="Z1592" i="1"/>
  <c r="Y1592" i="1"/>
  <c r="AA1592" i="1" s="1"/>
  <c r="AB1592" i="1" s="1"/>
  <c r="Z1591" i="1"/>
  <c r="Y1591" i="1"/>
  <c r="Z1590" i="1"/>
  <c r="Y1590" i="1"/>
  <c r="AA1590" i="1" s="1"/>
  <c r="Z1589" i="1"/>
  <c r="Y1589" i="1"/>
  <c r="Z1588" i="1"/>
  <c r="Y1588" i="1"/>
  <c r="AA1588" i="1" s="1"/>
  <c r="Z1587" i="1"/>
  <c r="Y1587" i="1"/>
  <c r="Z1586" i="1"/>
  <c r="Y1586" i="1"/>
  <c r="AA1586" i="1" s="1"/>
  <c r="AB1586" i="1" s="1"/>
  <c r="Z1585" i="1"/>
  <c r="Y1585" i="1"/>
  <c r="AA1585" i="1" s="1"/>
  <c r="Z1584" i="1"/>
  <c r="Y1584" i="1"/>
  <c r="Z1583" i="1"/>
  <c r="Y1583" i="1"/>
  <c r="Z1582" i="1"/>
  <c r="Y1582" i="1"/>
  <c r="Z1581" i="1"/>
  <c r="Y1581" i="1"/>
  <c r="AA1581" i="1" s="1"/>
  <c r="Z1580" i="1"/>
  <c r="Y1580" i="1"/>
  <c r="Z1579" i="1"/>
  <c r="Y1579" i="1"/>
  <c r="AA1579" i="1" s="1"/>
  <c r="AB1579" i="1" s="1"/>
  <c r="Z1578" i="1"/>
  <c r="Y1578" i="1"/>
  <c r="AA1578" i="1" s="1"/>
  <c r="Z1577" i="1"/>
  <c r="Y1577" i="1"/>
  <c r="Z1576" i="1"/>
  <c r="Y1576" i="1"/>
  <c r="Z1575" i="1"/>
  <c r="Y1575" i="1"/>
  <c r="Z1574" i="1"/>
  <c r="Y1574" i="1"/>
  <c r="AA1574" i="1" s="1"/>
  <c r="Z1573" i="1"/>
  <c r="Y1573" i="1"/>
  <c r="Z1572" i="1"/>
  <c r="Y1572" i="1"/>
  <c r="Z1571" i="1"/>
  <c r="Y1571" i="1"/>
  <c r="Z1570" i="1"/>
  <c r="Y1570" i="1"/>
  <c r="AA1570" i="1" s="1"/>
  <c r="AB1570" i="1" s="1"/>
  <c r="Z1569" i="1"/>
  <c r="Y1569" i="1"/>
  <c r="Z1568" i="1"/>
  <c r="Y1568" i="1"/>
  <c r="AA1568" i="1" s="1"/>
  <c r="Z1567" i="1"/>
  <c r="Y1567" i="1"/>
  <c r="Z1566" i="1"/>
  <c r="Y1566" i="1"/>
  <c r="AA1566" i="1" s="1"/>
  <c r="Z1565" i="1"/>
  <c r="Y1565" i="1"/>
  <c r="Z1564" i="1"/>
  <c r="Y1564" i="1"/>
  <c r="Z1563" i="1"/>
  <c r="Y1563" i="1"/>
  <c r="Z1562" i="1"/>
  <c r="Y1562" i="1"/>
  <c r="Z1561" i="1"/>
  <c r="Y1561" i="1"/>
  <c r="Z1560" i="1"/>
  <c r="Y1560" i="1"/>
  <c r="Z1559" i="1"/>
  <c r="Y1559" i="1"/>
  <c r="Z1558" i="1"/>
  <c r="Y1558" i="1"/>
  <c r="AA1558" i="1" s="1"/>
  <c r="AB1558" i="1" s="1"/>
  <c r="Z1557" i="1"/>
  <c r="Y1557" i="1"/>
  <c r="Z1556" i="1"/>
  <c r="Y1556" i="1"/>
  <c r="Z1555" i="1"/>
  <c r="Y1555" i="1"/>
  <c r="AA1555" i="1" s="1"/>
  <c r="Z1554" i="1"/>
  <c r="Y1554" i="1"/>
  <c r="AA1554" i="1" s="1"/>
  <c r="Z1553" i="1"/>
  <c r="Y1553" i="1"/>
  <c r="Z1552" i="1"/>
  <c r="Y1552" i="1"/>
  <c r="Z1551" i="1"/>
  <c r="Y1551" i="1"/>
  <c r="AA1551" i="1" s="1"/>
  <c r="Z1550" i="1"/>
  <c r="Y1550" i="1"/>
  <c r="Z1549" i="1"/>
  <c r="Y1549" i="1"/>
  <c r="Z1548" i="1"/>
  <c r="Y1548" i="1"/>
  <c r="AA1548" i="1" s="1"/>
  <c r="AB1548" i="1" s="1"/>
  <c r="Z1547" i="1"/>
  <c r="Y1547" i="1"/>
  <c r="Z1546" i="1"/>
  <c r="Y1546" i="1"/>
  <c r="Z1545" i="1"/>
  <c r="Y1545" i="1"/>
  <c r="AA1545" i="1" s="1"/>
  <c r="AB1545" i="1" s="1"/>
  <c r="Z1544" i="1"/>
  <c r="Y1544" i="1"/>
  <c r="AA1544" i="1" s="1"/>
  <c r="AB1544" i="1" s="1"/>
  <c r="Z1543" i="1"/>
  <c r="Y1543" i="1"/>
  <c r="Z1542" i="1"/>
  <c r="Y1542" i="1"/>
  <c r="Z1541" i="1"/>
  <c r="Y1541" i="1"/>
  <c r="Z1540" i="1"/>
  <c r="Y1540" i="1"/>
  <c r="Z1539" i="1"/>
  <c r="Y1539" i="1"/>
  <c r="Z1538" i="1"/>
  <c r="Y1538" i="1"/>
  <c r="Z1537" i="1"/>
  <c r="Y1537" i="1"/>
  <c r="Z1536" i="1"/>
  <c r="Y1536" i="1"/>
  <c r="Z1535" i="1"/>
  <c r="Y1535" i="1"/>
  <c r="Z1534" i="1"/>
  <c r="Y1534" i="1"/>
  <c r="AA1534" i="1" s="1"/>
  <c r="Z1533" i="1"/>
  <c r="Y1533" i="1"/>
  <c r="Z1532" i="1"/>
  <c r="Y1532" i="1"/>
  <c r="AA1532" i="1" s="1"/>
  <c r="Z1531" i="1"/>
  <c r="Y1531" i="1"/>
  <c r="Z1530" i="1"/>
  <c r="Y1530" i="1"/>
  <c r="AA1530" i="1" s="1"/>
  <c r="Z1529" i="1"/>
  <c r="Y1529" i="1"/>
  <c r="Z1528" i="1"/>
  <c r="Y1528" i="1"/>
  <c r="AA1528" i="1" s="1"/>
  <c r="AB1528" i="1" s="1"/>
  <c r="Z1527" i="1"/>
  <c r="Y1527" i="1"/>
  <c r="Z1526" i="1"/>
  <c r="Y1526" i="1"/>
  <c r="Z1525" i="1"/>
  <c r="Y1525" i="1"/>
  <c r="AA1525" i="1" s="1"/>
  <c r="AB1525" i="1" s="1"/>
  <c r="Z1524" i="1"/>
  <c r="Y1524" i="1"/>
  <c r="AA1524" i="1" s="1"/>
  <c r="Z1523" i="1"/>
  <c r="Y1523" i="1"/>
  <c r="Z1521" i="1"/>
  <c r="Y1521" i="1"/>
  <c r="AA1521" i="1" s="1"/>
  <c r="Z1520" i="1"/>
  <c r="Y1520" i="1"/>
  <c r="AA1520" i="1" s="1"/>
  <c r="AB1520" i="1" s="1"/>
  <c r="Z1519" i="1"/>
  <c r="Y1519" i="1"/>
  <c r="Z1518" i="1"/>
  <c r="Y1518" i="1"/>
  <c r="Z1517" i="1"/>
  <c r="Y1517" i="1"/>
  <c r="Z1516" i="1"/>
  <c r="Y1516" i="1"/>
  <c r="Z1515" i="1"/>
  <c r="Y1515" i="1"/>
  <c r="AA1515" i="1" s="1"/>
  <c r="AB1515" i="1" s="1"/>
  <c r="AC1515" i="1" s="1"/>
  <c r="Z1514" i="1"/>
  <c r="Y1514" i="1"/>
  <c r="AA1514" i="1" s="1"/>
  <c r="Z1513" i="1"/>
  <c r="Y1513" i="1"/>
  <c r="AA1513" i="1" s="1"/>
  <c r="AB1513" i="1" s="1"/>
  <c r="AC1513" i="1" s="1"/>
  <c r="Z1512" i="1"/>
  <c r="Y1512" i="1"/>
  <c r="Z1511" i="1"/>
  <c r="Y1511" i="1"/>
  <c r="Z1510" i="1"/>
  <c r="Y1510" i="1"/>
  <c r="Z1509" i="1"/>
  <c r="Y1509" i="1"/>
  <c r="AA1509" i="1" s="1"/>
  <c r="Z1508" i="1"/>
  <c r="Y1508" i="1"/>
  <c r="Z1507" i="1"/>
  <c r="Y1507" i="1"/>
  <c r="Z1506" i="1"/>
  <c r="Y1506" i="1"/>
  <c r="AA1506" i="1" s="1"/>
  <c r="Z1505" i="1"/>
  <c r="Y1505" i="1"/>
  <c r="Z1504" i="1"/>
  <c r="Y1504" i="1"/>
  <c r="Z1503" i="1"/>
  <c r="Y1503" i="1"/>
  <c r="Z1502" i="1"/>
  <c r="Y1502" i="1"/>
  <c r="Z1501" i="1"/>
  <c r="Y1501" i="1"/>
  <c r="Z1500" i="1"/>
  <c r="Y1500" i="1"/>
  <c r="AA1500" i="1" s="1"/>
  <c r="AB1500" i="1" s="1"/>
  <c r="Z1499" i="1"/>
  <c r="Y1499" i="1"/>
  <c r="Z1498" i="1"/>
  <c r="Y1498" i="1"/>
  <c r="AA1498" i="1" s="1"/>
  <c r="Z1497" i="1"/>
  <c r="Y1497" i="1"/>
  <c r="Z1496" i="1"/>
  <c r="Y1496" i="1"/>
  <c r="AA1496" i="1" s="1"/>
  <c r="Z1495" i="1"/>
  <c r="Y1495" i="1"/>
  <c r="AA1495" i="1" s="1"/>
  <c r="Z1494" i="1"/>
  <c r="Y1494" i="1"/>
  <c r="AA1494" i="1" s="1"/>
  <c r="Z1493" i="1"/>
  <c r="Y1493" i="1"/>
  <c r="AA1493" i="1" s="1"/>
  <c r="AB1493" i="1" s="1"/>
  <c r="Z1492" i="1"/>
  <c r="Y1492" i="1"/>
  <c r="Z1491" i="1"/>
  <c r="Y1491" i="1"/>
  <c r="AA1491" i="1" s="1"/>
  <c r="AB1491" i="1" s="1"/>
  <c r="Z1490" i="1"/>
  <c r="Y1490" i="1"/>
  <c r="Z1489" i="1"/>
  <c r="Y1489" i="1"/>
  <c r="Z1488" i="1"/>
  <c r="Y1488" i="1"/>
  <c r="AA1488" i="1" s="1"/>
  <c r="Z1487" i="1"/>
  <c r="Y1487" i="1"/>
  <c r="AA1487" i="1" s="1"/>
  <c r="AB1487" i="1" s="1"/>
  <c r="Z1486" i="1"/>
  <c r="Y1486" i="1"/>
  <c r="Z1485" i="1"/>
  <c r="Y1485" i="1"/>
  <c r="Z1484" i="1"/>
  <c r="Y1484" i="1"/>
  <c r="Z1483" i="1"/>
  <c r="Y1483" i="1"/>
  <c r="AA1483" i="1" s="1"/>
  <c r="AB1483" i="1" s="1"/>
  <c r="AC1483" i="1" s="1"/>
  <c r="Z1482" i="1"/>
  <c r="Y1482" i="1"/>
  <c r="AA1482" i="1" s="1"/>
  <c r="Z1481" i="1"/>
  <c r="Y1481" i="1"/>
  <c r="AA1481" i="1" s="1"/>
  <c r="Z1480" i="1"/>
  <c r="Y1480" i="1"/>
  <c r="AA1480" i="1" s="1"/>
  <c r="Z1479" i="1"/>
  <c r="Y1479" i="1"/>
  <c r="AA1479" i="1" s="1"/>
  <c r="AB1479" i="1" s="1"/>
  <c r="Z1478" i="1"/>
  <c r="Y1478" i="1"/>
  <c r="Z1477" i="1"/>
  <c r="Y1477" i="1"/>
  <c r="Z1476" i="1"/>
  <c r="Y1476" i="1"/>
  <c r="Z1475" i="1"/>
  <c r="Y1475" i="1"/>
  <c r="AA1475" i="1" s="1"/>
  <c r="AB1475" i="1" s="1"/>
  <c r="Z1474" i="1"/>
  <c r="Y1474" i="1"/>
  <c r="Z1473" i="1"/>
  <c r="Y1473" i="1"/>
  <c r="Z1472" i="1"/>
  <c r="Y1472" i="1"/>
  <c r="Z1471" i="1"/>
  <c r="Y1471" i="1"/>
  <c r="Z1470" i="1"/>
  <c r="Y1470" i="1"/>
  <c r="Z1469" i="1"/>
  <c r="Y1469" i="1"/>
  <c r="Z1468" i="1"/>
  <c r="Y1468" i="1"/>
  <c r="Z1467" i="1"/>
  <c r="Y1467" i="1"/>
  <c r="Z1466" i="1"/>
  <c r="Y1466" i="1"/>
  <c r="Z1465" i="1"/>
  <c r="Y1465" i="1"/>
  <c r="Z1464" i="1"/>
  <c r="Y1464" i="1"/>
  <c r="AA1464" i="1" s="1"/>
  <c r="Z1463" i="1"/>
  <c r="Y1463" i="1"/>
  <c r="Z1462" i="1"/>
  <c r="Y1462" i="1"/>
  <c r="Z1461" i="1"/>
  <c r="Y1461" i="1"/>
  <c r="AA1461" i="1" s="1"/>
  <c r="Z1460" i="1"/>
  <c r="Y1460" i="1"/>
  <c r="Z1459" i="1"/>
  <c r="Y1459" i="1"/>
  <c r="AA1459" i="1" s="1"/>
  <c r="AB1459" i="1" s="1"/>
  <c r="Z1458" i="1"/>
  <c r="Y1458" i="1"/>
  <c r="Z1457" i="1"/>
  <c r="Y1457" i="1"/>
  <c r="AA1457" i="1" s="1"/>
  <c r="Z1456" i="1"/>
  <c r="Y1456" i="1"/>
  <c r="Z1455" i="1"/>
  <c r="Y1455" i="1"/>
  <c r="AA1455" i="1" s="1"/>
  <c r="AB1455" i="1" s="1"/>
  <c r="Z1454" i="1"/>
  <c r="Y1454" i="1"/>
  <c r="Z1453" i="1"/>
  <c r="Y1453" i="1"/>
  <c r="AA1453" i="1" s="1"/>
  <c r="AB1453" i="1" s="1"/>
  <c r="Z1452" i="1"/>
  <c r="Y1452" i="1"/>
  <c r="AA1452" i="1" s="1"/>
  <c r="Z1451" i="1"/>
  <c r="Y1451" i="1"/>
  <c r="AA1451" i="1" s="1"/>
  <c r="AB1451" i="1" s="1"/>
  <c r="Z1450" i="1"/>
  <c r="Y1450" i="1"/>
  <c r="AA1450" i="1" s="1"/>
  <c r="Z1449" i="1"/>
  <c r="Y1449" i="1"/>
  <c r="AA1449" i="1" s="1"/>
  <c r="Z1448" i="1"/>
  <c r="Y1448" i="1"/>
  <c r="Z1447" i="1"/>
  <c r="Y1447" i="1"/>
  <c r="Z1446" i="1"/>
  <c r="Y1446" i="1"/>
  <c r="AA1446" i="1" s="1"/>
  <c r="Z1445" i="1"/>
  <c r="Y1445" i="1"/>
  <c r="Z1444" i="1"/>
  <c r="Y1444" i="1"/>
  <c r="Z1443" i="1"/>
  <c r="Y1443" i="1"/>
  <c r="Z1442" i="1"/>
  <c r="Y1442" i="1"/>
  <c r="Z1441" i="1"/>
  <c r="Y1441" i="1"/>
  <c r="Z1440" i="1"/>
  <c r="Y1440" i="1"/>
  <c r="AA1440" i="1" s="1"/>
  <c r="Z1439" i="1"/>
  <c r="Y1439" i="1"/>
  <c r="AA1439" i="1" s="1"/>
  <c r="AB1439" i="1" s="1"/>
  <c r="Z1438" i="1"/>
  <c r="Y1438" i="1"/>
  <c r="AA1438" i="1" s="1"/>
  <c r="Z1437" i="1"/>
  <c r="Y1437" i="1"/>
  <c r="Z1436" i="1"/>
  <c r="Y1436" i="1"/>
  <c r="Z1435" i="1"/>
  <c r="Y1435" i="1"/>
  <c r="Z1434" i="1"/>
  <c r="Y1434" i="1"/>
  <c r="Z1433" i="1"/>
  <c r="Y1433" i="1"/>
  <c r="AA1433" i="1" s="1"/>
  <c r="Z1432" i="1"/>
  <c r="Y1432" i="1"/>
  <c r="AA1432" i="1" s="1"/>
  <c r="Z1431" i="1"/>
  <c r="Y1431" i="1"/>
  <c r="AA1431" i="1" s="1"/>
  <c r="Z1430" i="1"/>
  <c r="Y1430" i="1"/>
  <c r="Z1429" i="1"/>
  <c r="Y1429" i="1"/>
  <c r="AA1429" i="1" s="1"/>
  <c r="AB1429" i="1" s="1"/>
  <c r="Z1428" i="1"/>
  <c r="Y1428" i="1"/>
  <c r="AA1428" i="1" s="1"/>
  <c r="AB1428" i="1" s="1"/>
  <c r="Z1427" i="1"/>
  <c r="Y1427" i="1"/>
  <c r="Z1426" i="1"/>
  <c r="Y1426" i="1"/>
  <c r="Z1425" i="1"/>
  <c r="Y1425" i="1"/>
  <c r="AA1425" i="1" s="1"/>
  <c r="Z1424" i="1"/>
  <c r="Y1424" i="1"/>
  <c r="Z1423" i="1"/>
  <c r="Y1423" i="1"/>
  <c r="Z1422" i="1"/>
  <c r="Y1422" i="1"/>
  <c r="Z1421" i="1"/>
  <c r="Y1421" i="1"/>
  <c r="Z1420" i="1"/>
  <c r="Y1420" i="1"/>
  <c r="Z1419" i="1"/>
  <c r="Y1419" i="1"/>
  <c r="Z1418" i="1"/>
  <c r="Y1418" i="1"/>
  <c r="Z1417" i="1"/>
  <c r="Y1417" i="1"/>
  <c r="Z1416" i="1"/>
  <c r="Y1416" i="1"/>
  <c r="Z1415" i="1"/>
  <c r="Y1415" i="1"/>
  <c r="Z1414" i="1"/>
  <c r="Y1414" i="1"/>
  <c r="Z1413" i="1"/>
  <c r="Y1413" i="1"/>
  <c r="Z1412" i="1"/>
  <c r="Y1412" i="1"/>
  <c r="Z1411" i="1"/>
  <c r="Y1411" i="1"/>
  <c r="Z1410" i="1"/>
  <c r="Y1410" i="1"/>
  <c r="AA1410" i="1" s="1"/>
  <c r="AB1410" i="1" s="1"/>
  <c r="Z1409" i="1"/>
  <c r="Y1409" i="1"/>
  <c r="Z1408" i="1"/>
  <c r="Y1408" i="1"/>
  <c r="Z1407" i="1"/>
  <c r="Y1407" i="1"/>
  <c r="Z1406" i="1"/>
  <c r="Y1406" i="1"/>
  <c r="Z1405" i="1"/>
  <c r="Y1405" i="1"/>
  <c r="AA1405" i="1" s="1"/>
  <c r="Z1404" i="1"/>
  <c r="Y1404" i="1"/>
  <c r="Z1403" i="1"/>
  <c r="Y1403" i="1"/>
  <c r="AA1403" i="1" s="1"/>
  <c r="AB1403" i="1" s="1"/>
  <c r="Z1402" i="1"/>
  <c r="Y1402" i="1"/>
  <c r="AA1402" i="1" s="1"/>
  <c r="Z1401" i="1"/>
  <c r="Y1401" i="1"/>
  <c r="Z1400" i="1"/>
  <c r="Y1400" i="1"/>
  <c r="Z1399" i="1"/>
  <c r="Y1399" i="1"/>
  <c r="AA1399" i="1" s="1"/>
  <c r="Z1398" i="1"/>
  <c r="Y1398" i="1"/>
  <c r="Z1397" i="1"/>
  <c r="Y1397" i="1"/>
  <c r="AA1397" i="1" s="1"/>
  <c r="Z1396" i="1"/>
  <c r="Y1396" i="1"/>
  <c r="Z1395" i="1"/>
  <c r="Y1395" i="1"/>
  <c r="Z1394" i="1"/>
  <c r="Y1394" i="1"/>
  <c r="Z1393" i="1"/>
  <c r="Y1393" i="1"/>
  <c r="AA1393" i="1" s="1"/>
  <c r="Z1392" i="1"/>
  <c r="Y1392" i="1"/>
  <c r="AA1392" i="1" s="1"/>
  <c r="AB1392" i="1" s="1"/>
  <c r="AC1392" i="1" s="1"/>
  <c r="Z1391" i="1"/>
  <c r="Y1391" i="1"/>
  <c r="Z1390" i="1"/>
  <c r="Y1390" i="1"/>
  <c r="Z1389" i="1"/>
  <c r="Y1389" i="1"/>
  <c r="Z1388" i="1"/>
  <c r="Y1388" i="1"/>
  <c r="AA1388" i="1" s="1"/>
  <c r="Z1387" i="1"/>
  <c r="Y1387" i="1"/>
  <c r="AA1387" i="1" s="1"/>
  <c r="AB1387" i="1" s="1"/>
  <c r="Z1386" i="1"/>
  <c r="Y1386" i="1"/>
  <c r="Z1385" i="1"/>
  <c r="Y1385" i="1"/>
  <c r="AA1385" i="1" s="1"/>
  <c r="Z1384" i="1"/>
  <c r="Y1384" i="1"/>
  <c r="AA1384" i="1" s="1"/>
  <c r="Z1383" i="1"/>
  <c r="Y1383" i="1"/>
  <c r="Z1382" i="1"/>
  <c r="Y1382" i="1"/>
  <c r="Z1381" i="1"/>
  <c r="Y1381" i="1"/>
  <c r="Z1380" i="1"/>
  <c r="Y1380" i="1"/>
  <c r="Z1379" i="1"/>
  <c r="Y1379" i="1"/>
  <c r="Z1378" i="1"/>
  <c r="Y1378" i="1"/>
  <c r="Z1377" i="1"/>
  <c r="Y1377" i="1"/>
  <c r="Z1376" i="1"/>
  <c r="Y1376" i="1"/>
  <c r="Z1375" i="1"/>
  <c r="Y1375" i="1"/>
  <c r="AA1375" i="1" s="1"/>
  <c r="AB1375" i="1" s="1"/>
  <c r="Z1374" i="1"/>
  <c r="Y1374" i="1"/>
  <c r="AA1374" i="1" s="1"/>
  <c r="Z1373" i="1"/>
  <c r="Y1373" i="1"/>
  <c r="AA1373" i="1" s="1"/>
  <c r="AB1373" i="1" s="1"/>
  <c r="Z1372" i="1"/>
  <c r="Y1372" i="1"/>
  <c r="AA1372" i="1" s="1"/>
  <c r="Z1371" i="1"/>
  <c r="Y1371" i="1"/>
  <c r="Z1370" i="1"/>
  <c r="Y1370" i="1"/>
  <c r="Z1369" i="1"/>
  <c r="Y1369" i="1"/>
  <c r="Z1368" i="1"/>
  <c r="Y1368" i="1"/>
  <c r="Z1367" i="1"/>
  <c r="Y1367" i="1"/>
  <c r="Z1366" i="1"/>
  <c r="Y1366" i="1"/>
  <c r="AA1366" i="1" s="1"/>
  <c r="Z1365" i="1"/>
  <c r="Y1365" i="1"/>
  <c r="AA1365" i="1" s="1"/>
  <c r="Z1364" i="1"/>
  <c r="Y1364" i="1"/>
  <c r="Z1363" i="1"/>
  <c r="Y1363" i="1"/>
  <c r="AA1363" i="1" s="1"/>
  <c r="AB1363" i="1" s="1"/>
  <c r="Z1362" i="1"/>
  <c r="Y1362" i="1"/>
  <c r="AA1362" i="1" s="1"/>
  <c r="Z1361" i="1"/>
  <c r="Y1361" i="1"/>
  <c r="AA1361" i="1" s="1"/>
  <c r="Z1360" i="1"/>
  <c r="Y1360" i="1"/>
  <c r="Z1359" i="1"/>
  <c r="Y1359" i="1"/>
  <c r="Z1358" i="1"/>
  <c r="Y1358" i="1"/>
  <c r="AA1358" i="1" s="1"/>
  <c r="Z1357" i="1"/>
  <c r="Y1357" i="1"/>
  <c r="AA1357" i="1" s="1"/>
  <c r="AB1357" i="1" s="1"/>
  <c r="Z1356" i="1"/>
  <c r="Y1356" i="1"/>
  <c r="Z1355" i="1"/>
  <c r="Y1355" i="1"/>
  <c r="AA1355" i="1" s="1"/>
  <c r="Z1354" i="1"/>
  <c r="Y1354" i="1"/>
  <c r="Z1353" i="1"/>
  <c r="Y1353" i="1"/>
  <c r="Z1352" i="1"/>
  <c r="Y1352" i="1"/>
  <c r="Z1351" i="1"/>
  <c r="Y1351" i="1"/>
  <c r="Z1350" i="1"/>
  <c r="Y1350" i="1"/>
  <c r="Z1349" i="1"/>
  <c r="Y1349" i="1"/>
  <c r="AA1349" i="1" s="1"/>
  <c r="AB1349" i="1" s="1"/>
  <c r="Z1348" i="1"/>
  <c r="Y1348" i="1"/>
  <c r="Z1347" i="1"/>
  <c r="Y1347" i="1"/>
  <c r="Z1346" i="1"/>
  <c r="Y1346" i="1"/>
  <c r="AA1346" i="1" s="1"/>
  <c r="AB1346" i="1" s="1"/>
  <c r="Z1345" i="1"/>
  <c r="Y1345" i="1"/>
  <c r="AA1345" i="1" s="1"/>
  <c r="Z1344" i="1"/>
  <c r="Y1344" i="1"/>
  <c r="AA1344" i="1" s="1"/>
  <c r="Z1343" i="1"/>
  <c r="Y1343" i="1"/>
  <c r="Z1342" i="1"/>
  <c r="Y1342" i="1"/>
  <c r="AA1342" i="1" s="1"/>
  <c r="Z1341" i="1"/>
  <c r="Y1341" i="1"/>
  <c r="Z1340" i="1"/>
  <c r="Y1340" i="1"/>
  <c r="Z1339" i="1"/>
  <c r="Y1339" i="1"/>
  <c r="Z1338" i="1"/>
  <c r="Y1338" i="1"/>
  <c r="Z1337" i="1"/>
  <c r="Y1337" i="1"/>
  <c r="Z1336" i="1"/>
  <c r="Y1336" i="1"/>
  <c r="Z1335" i="1"/>
  <c r="Y1335" i="1"/>
  <c r="Z1334" i="1"/>
  <c r="Y1334" i="1"/>
  <c r="AA1334" i="1" s="1"/>
  <c r="AB1334" i="1" s="1"/>
  <c r="Z1333" i="1"/>
  <c r="Y1333" i="1"/>
  <c r="AA1333" i="1" s="1"/>
  <c r="Z1332" i="1"/>
  <c r="Y1332" i="1"/>
  <c r="AA1332" i="1" s="1"/>
  <c r="Z1331" i="1"/>
  <c r="Y1331" i="1"/>
  <c r="Z1330" i="1"/>
  <c r="Y1330" i="1"/>
  <c r="AA1330" i="1" s="1"/>
  <c r="AB1330" i="1" s="1"/>
  <c r="Z1329" i="1"/>
  <c r="Y1329" i="1"/>
  <c r="AA1329" i="1" s="1"/>
  <c r="Z1328" i="1"/>
  <c r="Y1328" i="1"/>
  <c r="Z1327" i="1"/>
  <c r="Y1327" i="1"/>
  <c r="Z1326" i="1"/>
  <c r="Y1326" i="1"/>
  <c r="AA1326" i="1" s="1"/>
  <c r="AB1326" i="1" s="1"/>
  <c r="Z1325" i="1"/>
  <c r="Y1325" i="1"/>
  <c r="Z1324" i="1"/>
  <c r="Y1324" i="1"/>
  <c r="AA1324" i="1" s="1"/>
  <c r="Z1323" i="1"/>
  <c r="Y1323" i="1"/>
  <c r="AA1323" i="1" s="1"/>
  <c r="AB1323" i="1" s="1"/>
  <c r="Z1322" i="1"/>
  <c r="Y1322" i="1"/>
  <c r="Z1321" i="1"/>
  <c r="Y1321" i="1"/>
  <c r="Z1320" i="1"/>
  <c r="Y1320" i="1"/>
  <c r="AA1320" i="1" s="1"/>
  <c r="Z1319" i="1"/>
  <c r="Y1319" i="1"/>
  <c r="Z1318" i="1"/>
  <c r="Y1318" i="1"/>
  <c r="Z1317" i="1"/>
  <c r="Y1317" i="1"/>
  <c r="Z1316" i="1"/>
  <c r="Y1316" i="1"/>
  <c r="Z1315" i="1"/>
  <c r="Y1315" i="1"/>
  <c r="AA1315" i="1" s="1"/>
  <c r="AB1315" i="1" s="1"/>
  <c r="Z1314" i="1"/>
  <c r="Y1314" i="1"/>
  <c r="AA1314" i="1" s="1"/>
  <c r="Z1313" i="1"/>
  <c r="Y1313" i="1"/>
  <c r="Z1312" i="1"/>
  <c r="Y1312" i="1"/>
  <c r="AA1312" i="1" s="1"/>
  <c r="Z1311" i="1"/>
  <c r="Y1311" i="1"/>
  <c r="Z1310" i="1"/>
  <c r="Y1310" i="1"/>
  <c r="Z1309" i="1"/>
  <c r="Y1309" i="1"/>
  <c r="Z1308" i="1"/>
  <c r="Y1308" i="1"/>
  <c r="AA1308" i="1" s="1"/>
  <c r="AB1308" i="1" s="1"/>
  <c r="Z1307" i="1"/>
  <c r="Y1307" i="1"/>
  <c r="AA1307" i="1" s="1"/>
  <c r="Z1306" i="1"/>
  <c r="Y1306" i="1"/>
  <c r="Z1305" i="1"/>
  <c r="Y1305" i="1"/>
  <c r="AA1305" i="1" s="1"/>
  <c r="Z1304" i="1"/>
  <c r="Y1304" i="1"/>
  <c r="AA1304" i="1" s="1"/>
  <c r="AB1304" i="1" s="1"/>
  <c r="AC1304" i="1" s="1"/>
  <c r="Z1303" i="1"/>
  <c r="Y1303" i="1"/>
  <c r="Z1302" i="1"/>
  <c r="Y1302" i="1"/>
  <c r="Z1301" i="1"/>
  <c r="Y1301" i="1"/>
  <c r="AA1301" i="1" s="1"/>
  <c r="Z1300" i="1"/>
  <c r="Y1300" i="1"/>
  <c r="Z1299" i="1"/>
  <c r="Y1299" i="1"/>
  <c r="AA1299" i="1" s="1"/>
  <c r="Z1298" i="1"/>
  <c r="Y1298" i="1"/>
  <c r="Z1297" i="1"/>
  <c r="Y1297" i="1"/>
  <c r="Z1296" i="1"/>
  <c r="Y1296" i="1"/>
  <c r="Z1295" i="1"/>
  <c r="Y1295" i="1"/>
  <c r="Z1294" i="1"/>
  <c r="Y1294" i="1"/>
  <c r="Z1293" i="1"/>
  <c r="Y1293" i="1"/>
  <c r="Z1292" i="1"/>
  <c r="Y1292" i="1"/>
  <c r="Z1291" i="1"/>
  <c r="Y1291" i="1"/>
  <c r="Z1290" i="1"/>
  <c r="Y1290" i="1"/>
  <c r="AA1290" i="1" s="1"/>
  <c r="AB1290" i="1" s="1"/>
  <c r="Z1289" i="1"/>
  <c r="Y1289" i="1"/>
  <c r="Z1288" i="1"/>
  <c r="Y1288" i="1"/>
  <c r="Z1287" i="1"/>
  <c r="Y1287" i="1"/>
  <c r="Z1286" i="1"/>
  <c r="Y1286" i="1"/>
  <c r="Z1285" i="1"/>
  <c r="Y1285" i="1"/>
  <c r="Z1284" i="1"/>
  <c r="Y1284" i="1"/>
  <c r="Z1283" i="1"/>
  <c r="Y1283" i="1"/>
  <c r="Z1282" i="1"/>
  <c r="Y1282" i="1"/>
  <c r="Z1281" i="1"/>
  <c r="Y1281" i="1"/>
  <c r="Z1280" i="1"/>
  <c r="Y1280" i="1"/>
  <c r="AA1280" i="1" s="1"/>
  <c r="AB1280" i="1" s="1"/>
  <c r="Z1279" i="1"/>
  <c r="Y1279" i="1"/>
  <c r="Z1278" i="1"/>
  <c r="Y1278" i="1"/>
  <c r="Z1277" i="1"/>
  <c r="Y1277" i="1"/>
  <c r="Z1276" i="1"/>
  <c r="Y1276" i="1"/>
  <c r="Z1275" i="1"/>
  <c r="Y1275" i="1"/>
  <c r="Z1274" i="1"/>
  <c r="Y1274" i="1"/>
  <c r="Z1273" i="1"/>
  <c r="Y1273" i="1"/>
  <c r="Z1272" i="1"/>
  <c r="Y1272" i="1"/>
  <c r="AA1272" i="1" s="1"/>
  <c r="AB1272" i="1" s="1"/>
  <c r="Z1271" i="1"/>
  <c r="Y1271" i="1"/>
  <c r="Z1270" i="1"/>
  <c r="Y1270" i="1"/>
  <c r="Z1269" i="1"/>
  <c r="Y1269" i="1"/>
  <c r="AA1269" i="1" s="1"/>
  <c r="Z1268" i="1"/>
  <c r="Y1268" i="1"/>
  <c r="Z1267" i="1"/>
  <c r="Y1267" i="1"/>
  <c r="AA1267" i="1" s="1"/>
  <c r="Z1266" i="1"/>
  <c r="Y1266" i="1"/>
  <c r="Z1265" i="1"/>
  <c r="Y1265" i="1"/>
  <c r="AA1265" i="1" s="1"/>
  <c r="AB1265" i="1" s="1"/>
  <c r="Z1264" i="1"/>
  <c r="Y1264" i="1"/>
  <c r="AA1264" i="1" s="1"/>
  <c r="AB1264" i="1" s="1"/>
  <c r="Z1263" i="1"/>
  <c r="Y1263" i="1"/>
  <c r="Z1262" i="1"/>
  <c r="Y1262" i="1"/>
  <c r="AA1262" i="1" s="1"/>
  <c r="Z1261" i="1"/>
  <c r="Y1261" i="1"/>
  <c r="AA1261" i="1" s="1"/>
  <c r="AB1261" i="1" s="1"/>
  <c r="Z1260" i="1"/>
  <c r="Y1260" i="1"/>
  <c r="Z1259" i="1"/>
  <c r="Y1259" i="1"/>
  <c r="AA1259" i="1" s="1"/>
  <c r="AB1259" i="1" s="1"/>
  <c r="Z1258" i="1"/>
  <c r="Y1258" i="1"/>
  <c r="AA1258" i="1" s="1"/>
  <c r="AB1258" i="1" s="1"/>
  <c r="Z1257" i="1"/>
  <c r="Y1257" i="1"/>
  <c r="Z1256" i="1"/>
  <c r="Y1256" i="1"/>
  <c r="Z1255" i="1"/>
  <c r="Y1255" i="1"/>
  <c r="AA1255" i="1" s="1"/>
  <c r="AB1255" i="1" s="1"/>
  <c r="Z1254" i="1"/>
  <c r="Y1254" i="1"/>
  <c r="Z1253" i="1"/>
  <c r="Y1253" i="1"/>
  <c r="AA1253" i="1" s="1"/>
  <c r="AB1253" i="1" s="1"/>
  <c r="Z1252" i="1"/>
  <c r="Y1252" i="1"/>
  <c r="AA1252" i="1" s="1"/>
  <c r="AB1252" i="1" s="1"/>
  <c r="Z1251" i="1"/>
  <c r="Y1251" i="1"/>
  <c r="AA1251" i="1" s="1"/>
  <c r="AB1251" i="1" s="1"/>
  <c r="Z1250" i="1"/>
  <c r="Y1250" i="1"/>
  <c r="Z1249" i="1"/>
  <c r="Y1249" i="1"/>
  <c r="AA1249" i="1" s="1"/>
  <c r="AB1249" i="1" s="1"/>
  <c r="Z1248" i="1"/>
  <c r="Y1248" i="1"/>
  <c r="AA1248" i="1" s="1"/>
  <c r="Z1247" i="1"/>
  <c r="Y1247" i="1"/>
  <c r="Z1246" i="1"/>
  <c r="Y1246" i="1"/>
  <c r="AA1246" i="1" s="1"/>
  <c r="AB1246" i="1" s="1"/>
  <c r="Z1245" i="1"/>
  <c r="Y1245" i="1"/>
  <c r="AA1245" i="1" s="1"/>
  <c r="AB1245" i="1" s="1"/>
  <c r="Z1244" i="1"/>
  <c r="Y1244" i="1"/>
  <c r="AA1244" i="1" s="1"/>
  <c r="AB1244" i="1" s="1"/>
  <c r="Z1243" i="1"/>
  <c r="Y1243" i="1"/>
  <c r="Z1242" i="1"/>
  <c r="Y1242" i="1"/>
  <c r="AA1242" i="1" s="1"/>
  <c r="AB1242" i="1" s="1"/>
  <c r="Z1241" i="1"/>
  <c r="Y1241" i="1"/>
  <c r="AA1241" i="1" s="1"/>
  <c r="Z1240" i="1"/>
  <c r="Y1240" i="1"/>
  <c r="Z1239" i="1"/>
  <c r="Y1239" i="1"/>
  <c r="AA1239" i="1" s="1"/>
  <c r="Z1238" i="1"/>
  <c r="Y1238" i="1"/>
  <c r="AA1238" i="1" s="1"/>
  <c r="AB1238" i="1" s="1"/>
  <c r="Z1237" i="1"/>
  <c r="Y1237" i="1"/>
  <c r="Z1236" i="1"/>
  <c r="Y1236" i="1"/>
  <c r="AA1236" i="1" s="1"/>
  <c r="AB1236" i="1" s="1"/>
  <c r="Z1235" i="1"/>
  <c r="Y1235" i="1"/>
  <c r="AA1235" i="1" s="1"/>
  <c r="Z1234" i="1"/>
  <c r="Y1234" i="1"/>
  <c r="Z1233" i="1"/>
  <c r="Y1233" i="1"/>
  <c r="Z1232" i="1"/>
  <c r="Y1232" i="1"/>
  <c r="Z1231" i="1"/>
  <c r="Y1231" i="1"/>
  <c r="AA1231" i="1" s="1"/>
  <c r="AB1231" i="1" s="1"/>
  <c r="Z1230" i="1"/>
  <c r="Y1230" i="1"/>
  <c r="Z1229" i="1"/>
  <c r="Y1229" i="1"/>
  <c r="AA1229" i="1" s="1"/>
  <c r="AB1229" i="1" s="1"/>
  <c r="Z1228" i="1"/>
  <c r="Y1228" i="1"/>
  <c r="Z1227" i="1"/>
  <c r="Y1227" i="1"/>
  <c r="Z1226" i="1"/>
  <c r="Y1226" i="1"/>
  <c r="Z1225" i="1"/>
  <c r="Y1225" i="1"/>
  <c r="Z1224" i="1"/>
  <c r="Y1224" i="1"/>
  <c r="AA1224" i="1" s="1"/>
  <c r="AB1224" i="1" s="1"/>
  <c r="Z1223" i="1"/>
  <c r="Y1223" i="1"/>
  <c r="Z1222" i="1"/>
  <c r="Y1222" i="1"/>
  <c r="Z1221" i="1"/>
  <c r="Y1221" i="1"/>
  <c r="Z1220" i="1"/>
  <c r="Y1220" i="1"/>
  <c r="Z1219" i="1"/>
  <c r="Y1219" i="1"/>
  <c r="Z1218" i="1"/>
  <c r="Y1218" i="1"/>
  <c r="Z1217" i="1"/>
  <c r="Y1217" i="1"/>
  <c r="AA1217" i="1" s="1"/>
  <c r="AB1217" i="1" s="1"/>
  <c r="Z1216" i="1"/>
  <c r="Y1216" i="1"/>
  <c r="AA1216" i="1" s="1"/>
  <c r="Z1215" i="1"/>
  <c r="Y1215" i="1"/>
  <c r="Z1214" i="1"/>
  <c r="Y1214" i="1"/>
  <c r="Z1213" i="1"/>
  <c r="Y1213" i="1"/>
  <c r="AA1213" i="1" s="1"/>
  <c r="AB1213" i="1" s="1"/>
  <c r="Z1212" i="1"/>
  <c r="Y1212" i="1"/>
  <c r="Z1211" i="1"/>
  <c r="Y1211" i="1"/>
  <c r="Z1210" i="1"/>
  <c r="Y1210" i="1"/>
  <c r="AA1210" i="1" s="1"/>
  <c r="AB1210" i="1" s="1"/>
  <c r="Z1209" i="1"/>
  <c r="Y1209" i="1"/>
  <c r="Z1208" i="1"/>
  <c r="Y1208" i="1"/>
  <c r="Z1207" i="1"/>
  <c r="Y1207" i="1"/>
  <c r="Z1206" i="1"/>
  <c r="Y1206" i="1"/>
  <c r="AA1206" i="1" s="1"/>
  <c r="AB1206" i="1" s="1"/>
  <c r="Z1205" i="1"/>
  <c r="Y1205" i="1"/>
  <c r="Z1204" i="1"/>
  <c r="Y1204" i="1"/>
  <c r="Z1203" i="1"/>
  <c r="Y1203" i="1"/>
  <c r="AA1203" i="1" s="1"/>
  <c r="Z1202" i="1"/>
  <c r="Y1202" i="1"/>
  <c r="Z1201" i="1"/>
  <c r="Y1201" i="1"/>
  <c r="Z1200" i="1"/>
  <c r="Y1200" i="1"/>
  <c r="Z1199" i="1"/>
  <c r="Y1199" i="1"/>
  <c r="AA1199" i="1" s="1"/>
  <c r="AB1199" i="1" s="1"/>
  <c r="Z1198" i="1"/>
  <c r="Y1198" i="1"/>
  <c r="Z1197" i="1"/>
  <c r="Y1197" i="1"/>
  <c r="AA1197" i="1" s="1"/>
  <c r="AB1197" i="1" s="1"/>
  <c r="Z1196" i="1"/>
  <c r="Y1196" i="1"/>
  <c r="Z1195" i="1"/>
  <c r="Y1195" i="1"/>
  <c r="Z1194" i="1"/>
  <c r="Y1194" i="1"/>
  <c r="Z1193" i="1"/>
  <c r="Y1193" i="1"/>
  <c r="AA1193" i="1" s="1"/>
  <c r="Z1192" i="1"/>
  <c r="Y1192" i="1"/>
  <c r="Z1191" i="1"/>
  <c r="Y1191" i="1"/>
  <c r="Z1190" i="1"/>
  <c r="Y1190" i="1"/>
  <c r="Z1189" i="1"/>
  <c r="Y1189" i="1"/>
  <c r="AA1189" i="1" s="1"/>
  <c r="Z1188" i="1"/>
  <c r="Y1188" i="1"/>
  <c r="Z1187" i="1"/>
  <c r="Y1187" i="1"/>
  <c r="Z1186" i="1"/>
  <c r="Y1186" i="1"/>
  <c r="AA1186" i="1" s="1"/>
  <c r="Z1185" i="1"/>
  <c r="Y1185" i="1"/>
  <c r="AA1185" i="1" s="1"/>
  <c r="AB1185" i="1" s="1"/>
  <c r="Z1184" i="1"/>
  <c r="Y1184" i="1"/>
  <c r="AA1184" i="1" s="1"/>
  <c r="Z1183" i="1"/>
  <c r="Y1183" i="1"/>
  <c r="Z1182" i="1"/>
  <c r="Y1182" i="1"/>
  <c r="Z1181" i="1"/>
  <c r="Y1181" i="1"/>
  <c r="AA1181" i="1" s="1"/>
  <c r="AB1181" i="1" s="1"/>
  <c r="Z1180" i="1"/>
  <c r="Y1180" i="1"/>
  <c r="Z1179" i="1"/>
  <c r="Y1179" i="1"/>
  <c r="Z1178" i="1"/>
  <c r="Y1178" i="1"/>
  <c r="AA1178" i="1" s="1"/>
  <c r="Z1177" i="1"/>
  <c r="Y1177" i="1"/>
  <c r="Z1176" i="1"/>
  <c r="Y1176" i="1"/>
  <c r="Z1175" i="1"/>
  <c r="Y1175" i="1"/>
  <c r="AA1175" i="1" s="1"/>
  <c r="AB1175" i="1" s="1"/>
  <c r="Z1174" i="1"/>
  <c r="Y1174" i="1"/>
  <c r="Z1173" i="1"/>
  <c r="Y1173" i="1"/>
  <c r="Z1172" i="1"/>
  <c r="Y1172" i="1"/>
  <c r="Z1171" i="1"/>
  <c r="Y1171" i="1"/>
  <c r="AA1171" i="1" s="1"/>
  <c r="Z1170" i="1"/>
  <c r="Y1170" i="1"/>
  <c r="Z1169" i="1"/>
  <c r="Y1169" i="1"/>
  <c r="AA1169" i="1" s="1"/>
  <c r="Z1168" i="1"/>
  <c r="Y1168" i="1"/>
  <c r="AA1168" i="1" s="1"/>
  <c r="AB1168" i="1" s="1"/>
  <c r="Z1167" i="1"/>
  <c r="Y1167" i="1"/>
  <c r="AA1167" i="1" s="1"/>
  <c r="Z1166" i="1"/>
  <c r="Y1166" i="1"/>
  <c r="Z1165" i="1"/>
  <c r="Y1165" i="1"/>
  <c r="AA1165" i="1" s="1"/>
  <c r="AB1165" i="1" s="1"/>
  <c r="Z1164" i="1"/>
  <c r="Y1164" i="1"/>
  <c r="AA1164" i="1" s="1"/>
  <c r="Z1163" i="1"/>
  <c r="Y1163" i="1"/>
  <c r="Z1162" i="1"/>
  <c r="Y1162" i="1"/>
  <c r="AA1162" i="1" s="1"/>
  <c r="AB1162" i="1" s="1"/>
  <c r="Z1161" i="1"/>
  <c r="Y1161" i="1"/>
  <c r="AA1161" i="1" s="1"/>
  <c r="AB1161" i="1" s="1"/>
  <c r="Z1160" i="1"/>
  <c r="Y1160" i="1"/>
  <c r="AA1160" i="1" s="1"/>
  <c r="Z1159" i="1"/>
  <c r="Y1159" i="1"/>
  <c r="AA1159" i="1" s="1"/>
  <c r="AB1159" i="1" s="1"/>
  <c r="Z1158" i="1"/>
  <c r="Y1158" i="1"/>
  <c r="Z1157" i="1"/>
  <c r="Y1157" i="1"/>
  <c r="Z1156" i="1"/>
  <c r="Y1156" i="1"/>
  <c r="Z1155" i="1"/>
  <c r="Y1155" i="1"/>
  <c r="Z1154" i="1"/>
  <c r="Y1154" i="1"/>
  <c r="AA1154" i="1" s="1"/>
  <c r="Z1153" i="1"/>
  <c r="Y1153" i="1"/>
  <c r="AA1153" i="1" s="1"/>
  <c r="Z1152" i="1"/>
  <c r="Y1152" i="1"/>
  <c r="AA1152" i="1" s="1"/>
  <c r="Z1151" i="1"/>
  <c r="Y1151" i="1"/>
  <c r="Z1150" i="1"/>
  <c r="Y1150" i="1"/>
  <c r="AA1150" i="1" s="1"/>
  <c r="Z1149" i="1"/>
  <c r="Y1149" i="1"/>
  <c r="Z1148" i="1"/>
  <c r="Y1148" i="1"/>
  <c r="Z1147" i="1"/>
  <c r="Y1147" i="1"/>
  <c r="AA1147" i="1" s="1"/>
  <c r="AB1147" i="1" s="1"/>
  <c r="AC1147" i="1" s="1"/>
  <c r="Z1146" i="1"/>
  <c r="Y1146" i="1"/>
  <c r="Z1145" i="1"/>
  <c r="Y1145" i="1"/>
  <c r="Z1144" i="1"/>
  <c r="Y1144" i="1"/>
  <c r="Z1143" i="1"/>
  <c r="Y1143" i="1"/>
  <c r="AA1143" i="1" s="1"/>
  <c r="AB1143" i="1" s="1"/>
  <c r="Z1142" i="1"/>
  <c r="Y1142" i="1"/>
  <c r="Z1141" i="1"/>
  <c r="Y1141" i="1"/>
  <c r="Z1140" i="1"/>
  <c r="Y1140" i="1"/>
  <c r="Z1139" i="1"/>
  <c r="Y1139" i="1"/>
  <c r="Z1138" i="1"/>
  <c r="Y1138" i="1"/>
  <c r="Z1137" i="1"/>
  <c r="Y1137" i="1"/>
  <c r="AA1137" i="1" s="1"/>
  <c r="AB1137" i="1" s="1"/>
  <c r="Z1136" i="1"/>
  <c r="Y1136" i="1"/>
  <c r="AA1136" i="1" s="1"/>
  <c r="Z1135" i="1"/>
  <c r="Y1135" i="1"/>
  <c r="Z1134" i="1"/>
  <c r="Y1134" i="1"/>
  <c r="Z1133" i="1"/>
  <c r="Y1133" i="1"/>
  <c r="AA1133" i="1" s="1"/>
  <c r="AB1133" i="1" s="1"/>
  <c r="Z1132" i="1"/>
  <c r="Y1132" i="1"/>
  <c r="Z1131" i="1"/>
  <c r="Y1131" i="1"/>
  <c r="Z1130" i="1"/>
  <c r="Y1130" i="1"/>
  <c r="Z1129" i="1"/>
  <c r="Y1129" i="1"/>
  <c r="Z1128" i="1"/>
  <c r="Y1128" i="1"/>
  <c r="AA1128" i="1" s="1"/>
  <c r="AB1128" i="1" s="1"/>
  <c r="Z1127" i="1"/>
  <c r="Y1127" i="1"/>
  <c r="Z1126" i="1"/>
  <c r="Y1126" i="1"/>
  <c r="Z1125" i="1"/>
  <c r="Y1125" i="1"/>
  <c r="Z1124" i="1"/>
  <c r="Y1124" i="1"/>
  <c r="AA1124" i="1" s="1"/>
  <c r="Z1123" i="1"/>
  <c r="Y1123" i="1"/>
  <c r="Z1122" i="1"/>
  <c r="Y1122" i="1"/>
  <c r="Z1121" i="1"/>
  <c r="Y1121" i="1"/>
  <c r="Z1120" i="1"/>
  <c r="Y1120" i="1"/>
  <c r="AA1120" i="1" s="1"/>
  <c r="AB1120" i="1" s="1"/>
  <c r="Z1119" i="1"/>
  <c r="Y1119" i="1"/>
  <c r="Z1118" i="1"/>
  <c r="Y1118" i="1"/>
  <c r="Z1117" i="1"/>
  <c r="Y1117" i="1"/>
  <c r="Z1116" i="1"/>
  <c r="Y1116" i="1"/>
  <c r="AA1116" i="1" s="1"/>
  <c r="Z1115" i="1"/>
  <c r="Y1115" i="1"/>
  <c r="Z1114" i="1"/>
  <c r="Y1114" i="1"/>
  <c r="Z1113" i="1"/>
  <c r="Y1113" i="1"/>
  <c r="AA1113" i="1" s="1"/>
  <c r="Z1112" i="1"/>
  <c r="Y1112" i="1"/>
  <c r="AA1112" i="1" s="1"/>
  <c r="Z1111" i="1"/>
  <c r="Y1111" i="1"/>
  <c r="AA1111" i="1" s="1"/>
  <c r="AB1111" i="1" s="1"/>
  <c r="Z1110" i="1"/>
  <c r="Y1110" i="1"/>
  <c r="Z1109" i="1"/>
  <c r="Y1109" i="1"/>
  <c r="AA1109" i="1" s="1"/>
  <c r="Z1108" i="1"/>
  <c r="Y1108" i="1"/>
  <c r="Z1107" i="1"/>
  <c r="Y1107" i="1"/>
  <c r="AA1107" i="1" s="1"/>
  <c r="Z1106" i="1"/>
  <c r="Y1106" i="1"/>
  <c r="AA1106" i="1" s="1"/>
  <c r="AB1106" i="1" s="1"/>
  <c r="Z1105" i="1"/>
  <c r="Y1105" i="1"/>
  <c r="AA1105" i="1" s="1"/>
  <c r="Z1104" i="1"/>
  <c r="Y1104" i="1"/>
  <c r="Z1103" i="1"/>
  <c r="Y1103" i="1"/>
  <c r="Z1102" i="1"/>
  <c r="Y1102" i="1"/>
  <c r="Z1101" i="1"/>
  <c r="Y1101" i="1"/>
  <c r="AA1101" i="1" s="1"/>
  <c r="AB1101" i="1" s="1"/>
  <c r="Z1100" i="1"/>
  <c r="Y1100" i="1"/>
  <c r="AA1100" i="1" s="1"/>
  <c r="Z1099" i="1"/>
  <c r="Y1099" i="1"/>
  <c r="Z1098" i="1"/>
  <c r="Y1098" i="1"/>
  <c r="Z1097" i="1"/>
  <c r="Y1097" i="1"/>
  <c r="Z1096" i="1"/>
  <c r="Y1096" i="1"/>
  <c r="AA1096" i="1" s="1"/>
  <c r="Z1095" i="1"/>
  <c r="Y1095" i="1"/>
  <c r="Z1094" i="1"/>
  <c r="Y1094" i="1"/>
  <c r="Z1093" i="1"/>
  <c r="Y1093" i="1"/>
  <c r="Z1092" i="1"/>
  <c r="Y1092" i="1"/>
  <c r="Z1091" i="1"/>
  <c r="Y1091" i="1"/>
  <c r="AA1091" i="1" s="1"/>
  <c r="Z1090" i="1"/>
  <c r="Y1090" i="1"/>
  <c r="Z1089" i="1"/>
  <c r="Y1089" i="1"/>
  <c r="AA1089" i="1" s="1"/>
  <c r="AB1089" i="1" s="1"/>
  <c r="Z1088" i="1"/>
  <c r="Y1088" i="1"/>
  <c r="Z1087" i="1"/>
  <c r="Y1087" i="1"/>
  <c r="AA1087" i="1" s="1"/>
  <c r="Z1086" i="1"/>
  <c r="Y1086" i="1"/>
  <c r="Z1085" i="1"/>
  <c r="Y1085" i="1"/>
  <c r="Z1084" i="1"/>
  <c r="Y1084" i="1"/>
  <c r="Z1083" i="1"/>
  <c r="Y1083" i="1"/>
  <c r="Z1082" i="1"/>
  <c r="Y1082" i="1"/>
  <c r="AA1082" i="1" s="1"/>
  <c r="Z1081" i="1"/>
  <c r="Y1081" i="1"/>
  <c r="Z1080" i="1"/>
  <c r="Y1080" i="1"/>
  <c r="AA1080" i="1" s="1"/>
  <c r="Z1079" i="1"/>
  <c r="Y1079" i="1"/>
  <c r="AA1079" i="1" s="1"/>
  <c r="AB1079" i="1" s="1"/>
  <c r="Z1078" i="1"/>
  <c r="Y1078" i="1"/>
  <c r="AA1078" i="1" s="1"/>
  <c r="Z1077" i="1"/>
  <c r="Y1077" i="1"/>
  <c r="Z1076" i="1"/>
  <c r="Y1076" i="1"/>
  <c r="Z1075" i="1"/>
  <c r="Y1075" i="1"/>
  <c r="AA1075" i="1" s="1"/>
  <c r="Z1074" i="1"/>
  <c r="Y1074" i="1"/>
  <c r="Z1073" i="1"/>
  <c r="Y1073" i="1"/>
  <c r="Z1072" i="1"/>
  <c r="Y1072" i="1"/>
  <c r="AA1072" i="1" s="1"/>
  <c r="AB1072" i="1" s="1"/>
  <c r="AC1072" i="1" s="1"/>
  <c r="Z1071" i="1"/>
  <c r="Y1071" i="1"/>
  <c r="Z1070" i="1"/>
  <c r="Y1070" i="1"/>
  <c r="Z1069" i="1"/>
  <c r="Y1069" i="1"/>
  <c r="Z1068" i="1"/>
  <c r="Y1068" i="1"/>
  <c r="AA1068" i="1" s="1"/>
  <c r="Z1067" i="1"/>
  <c r="Y1067" i="1"/>
  <c r="Z1066" i="1"/>
  <c r="Y1066" i="1"/>
  <c r="Z1065" i="1"/>
  <c r="Y1065" i="1"/>
  <c r="Z1064" i="1"/>
  <c r="Y1064" i="1"/>
  <c r="Z1063" i="1"/>
  <c r="Y1063" i="1"/>
  <c r="AA1063" i="1" s="1"/>
  <c r="Z1062" i="1"/>
  <c r="Y1062" i="1"/>
  <c r="Z1061" i="1"/>
  <c r="Y1061" i="1"/>
  <c r="Z1060" i="1"/>
  <c r="Y1060" i="1"/>
  <c r="Z1059" i="1"/>
  <c r="Y1059" i="1"/>
  <c r="AA1059" i="1" s="1"/>
  <c r="AB1059" i="1" s="1"/>
  <c r="Z1058" i="1"/>
  <c r="Y1058" i="1"/>
  <c r="Z1057" i="1"/>
  <c r="Y1057" i="1"/>
  <c r="Z1056" i="1"/>
  <c r="Y1056" i="1"/>
  <c r="AA1056" i="1" s="1"/>
  <c r="Z1055" i="1"/>
  <c r="Y1055" i="1"/>
  <c r="AA1055" i="1" s="1"/>
  <c r="Z1054" i="1"/>
  <c r="Y1054" i="1"/>
  <c r="Z1053" i="1"/>
  <c r="Y1053" i="1"/>
  <c r="Z1052" i="1"/>
  <c r="Y1052" i="1"/>
  <c r="AA1052" i="1" s="1"/>
  <c r="Z1051" i="1"/>
  <c r="Y1051" i="1"/>
  <c r="AA1051" i="1" s="1"/>
  <c r="Z1050" i="1"/>
  <c r="Y1050" i="1"/>
  <c r="Z1049" i="1"/>
  <c r="Y1049" i="1"/>
  <c r="Z1048" i="1"/>
  <c r="Y1048" i="1"/>
  <c r="AA1048" i="1" s="1"/>
  <c r="Z1047" i="1"/>
  <c r="Y1047" i="1"/>
  <c r="Z1046" i="1"/>
  <c r="Y1046" i="1"/>
  <c r="AA1046" i="1" s="1"/>
  <c r="Z1045" i="1"/>
  <c r="Y1045" i="1"/>
  <c r="AA1045" i="1" s="1"/>
  <c r="Z1044" i="1"/>
  <c r="Y1044" i="1"/>
  <c r="Z1043" i="1"/>
  <c r="Y1043" i="1"/>
  <c r="AA1043" i="1" s="1"/>
  <c r="Z1042" i="1"/>
  <c r="Y1042" i="1"/>
  <c r="Z1041" i="1"/>
  <c r="Y1041" i="1"/>
  <c r="AA1041" i="1" s="1"/>
  <c r="Z1040" i="1"/>
  <c r="Y1040" i="1"/>
  <c r="Z1039" i="1"/>
  <c r="Y1039" i="1"/>
  <c r="AA1039" i="1" s="1"/>
  <c r="Z1038" i="1"/>
  <c r="Y1038" i="1"/>
  <c r="Z1037" i="1"/>
  <c r="Y1037" i="1"/>
  <c r="Z1036" i="1"/>
  <c r="Y1036" i="1"/>
  <c r="AA1036" i="1" s="1"/>
  <c r="Z1035" i="1"/>
  <c r="Y1035" i="1"/>
  <c r="Z1034" i="1"/>
  <c r="Y1034" i="1"/>
  <c r="Z1033" i="1"/>
  <c r="Y1033" i="1"/>
  <c r="Z1032" i="1"/>
  <c r="Y1032" i="1"/>
  <c r="Z1031" i="1"/>
  <c r="Y1031" i="1"/>
  <c r="Z1030" i="1"/>
  <c r="Y1030" i="1"/>
  <c r="Z1029" i="1"/>
  <c r="Y1029" i="1"/>
  <c r="Z1028" i="1"/>
  <c r="Y1028" i="1"/>
  <c r="Z1027" i="1"/>
  <c r="Y1027" i="1"/>
  <c r="Z1026" i="1"/>
  <c r="Y1026" i="1"/>
  <c r="AA1026" i="1" s="1"/>
  <c r="AB1026" i="1" s="1"/>
  <c r="Z1025" i="1"/>
  <c r="Y1025" i="1"/>
  <c r="AA1025" i="1" s="1"/>
  <c r="AB1025" i="1" s="1"/>
  <c r="Z1024" i="1"/>
  <c r="Y1024" i="1"/>
  <c r="AA1024" i="1" s="1"/>
  <c r="Z1023" i="1"/>
  <c r="Y1023" i="1"/>
  <c r="AA1023" i="1" s="1"/>
  <c r="Z1022" i="1"/>
  <c r="Y1022" i="1"/>
  <c r="AA1022" i="1" s="1"/>
  <c r="Z1021" i="1"/>
  <c r="Y1021" i="1"/>
  <c r="AA1021" i="1" s="1"/>
  <c r="Z1020" i="1"/>
  <c r="Y1020" i="1"/>
  <c r="Z1019" i="1"/>
  <c r="Y1019" i="1"/>
  <c r="Z1018" i="1"/>
  <c r="Y1018" i="1"/>
  <c r="Z1017" i="1"/>
  <c r="Y1017" i="1"/>
  <c r="Z1016" i="1"/>
  <c r="Y1016" i="1"/>
  <c r="Z1015" i="1"/>
  <c r="Y1015" i="1"/>
  <c r="AA1015" i="1" s="1"/>
  <c r="Z1014" i="1"/>
  <c r="Y1014" i="1"/>
  <c r="AA1014" i="1" s="1"/>
  <c r="Z1013" i="1"/>
  <c r="Y1013" i="1"/>
  <c r="Z1012" i="1"/>
  <c r="Y1012" i="1"/>
  <c r="Z1011" i="1"/>
  <c r="Y1011" i="1"/>
  <c r="AA1011" i="1" s="1"/>
  <c r="Z1010" i="1"/>
  <c r="Y1010" i="1"/>
  <c r="Z1009" i="1"/>
  <c r="Y1009" i="1"/>
  <c r="Z1008" i="1"/>
  <c r="Y1008" i="1"/>
  <c r="AA1008" i="1" s="1"/>
  <c r="AB1008" i="1" s="1"/>
  <c r="Z1007" i="1"/>
  <c r="Y1007" i="1"/>
  <c r="Z1006" i="1"/>
  <c r="Y1006" i="1"/>
  <c r="Z1005" i="1"/>
  <c r="Y1005" i="1"/>
  <c r="Z1004" i="1"/>
  <c r="Y1004" i="1"/>
  <c r="AA1004" i="1" s="1"/>
  <c r="Z1003" i="1"/>
  <c r="Y1003" i="1"/>
  <c r="Z1002" i="1"/>
  <c r="Y1002" i="1"/>
  <c r="Z1001" i="1"/>
  <c r="Y1001" i="1"/>
  <c r="Z1000" i="1"/>
  <c r="Y1000" i="1"/>
  <c r="Z999" i="1"/>
  <c r="Y999" i="1"/>
  <c r="AA999" i="1" s="1"/>
  <c r="Z998" i="1"/>
  <c r="Y998" i="1"/>
  <c r="Z997" i="1"/>
  <c r="Y997" i="1"/>
  <c r="AA997" i="1" s="1"/>
  <c r="Z996" i="1"/>
  <c r="Y996" i="1"/>
  <c r="AA996" i="1" s="1"/>
  <c r="Z995" i="1"/>
  <c r="Y995" i="1"/>
  <c r="Z994" i="1"/>
  <c r="Y994" i="1"/>
  <c r="Z993" i="1"/>
  <c r="Y993" i="1"/>
  <c r="Z992" i="1"/>
  <c r="Y992" i="1"/>
  <c r="AA992" i="1" s="1"/>
  <c r="AB992" i="1" s="1"/>
  <c r="Z991" i="1"/>
  <c r="Y991" i="1"/>
  <c r="Z990" i="1"/>
  <c r="Y990" i="1"/>
  <c r="Z989" i="1"/>
  <c r="Y989" i="1"/>
  <c r="Z988" i="1"/>
  <c r="Y988" i="1"/>
  <c r="Z987" i="1"/>
  <c r="Y987" i="1"/>
  <c r="AA987" i="1" s="1"/>
  <c r="Z986" i="1"/>
  <c r="Y986" i="1"/>
  <c r="Z985" i="1"/>
  <c r="Y985" i="1"/>
  <c r="Z984" i="1"/>
  <c r="Y984" i="1"/>
  <c r="AA984" i="1" s="1"/>
  <c r="Z983" i="1"/>
  <c r="Y983" i="1"/>
  <c r="Z982" i="1"/>
  <c r="Y982" i="1"/>
  <c r="Z981" i="1"/>
  <c r="Y981" i="1"/>
  <c r="Z980" i="1"/>
  <c r="Y980" i="1"/>
  <c r="Z979" i="1"/>
  <c r="Y979" i="1"/>
  <c r="AA979" i="1" s="1"/>
  <c r="Z978" i="1"/>
  <c r="Y978" i="1"/>
  <c r="Z977" i="1"/>
  <c r="Y977" i="1"/>
  <c r="AA977" i="1" s="1"/>
  <c r="Z976" i="1"/>
  <c r="Y976" i="1"/>
  <c r="Z975" i="1"/>
  <c r="Y975" i="1"/>
  <c r="AA975" i="1" s="1"/>
  <c r="AB975" i="1" s="1"/>
  <c r="Z974" i="1"/>
  <c r="Y974" i="1"/>
  <c r="Z973" i="1"/>
  <c r="Y973" i="1"/>
  <c r="AA973" i="1" s="1"/>
  <c r="AB973" i="1" s="1"/>
  <c r="Z972" i="1"/>
  <c r="Y972" i="1"/>
  <c r="AA972" i="1" s="1"/>
  <c r="Z971" i="1"/>
  <c r="Y971" i="1"/>
  <c r="Z970" i="1"/>
  <c r="Y970" i="1"/>
  <c r="AA970" i="1" s="1"/>
  <c r="AB970" i="1" s="1"/>
  <c r="Z969" i="1"/>
  <c r="Y969" i="1"/>
  <c r="AA969" i="1" s="1"/>
  <c r="Z968" i="1"/>
  <c r="Y968" i="1"/>
  <c r="AA968" i="1" s="1"/>
  <c r="Z967" i="1"/>
  <c r="Y967" i="1"/>
  <c r="AA967" i="1" s="1"/>
  <c r="AB967" i="1" s="1"/>
  <c r="Z966" i="1"/>
  <c r="Y966" i="1"/>
  <c r="Z965" i="1"/>
  <c r="Y965" i="1"/>
  <c r="Z964" i="1"/>
  <c r="Y964" i="1"/>
  <c r="Z963" i="1"/>
  <c r="Y963" i="1"/>
  <c r="Z962" i="1"/>
  <c r="Y962" i="1"/>
  <c r="AA962" i="1" s="1"/>
  <c r="AB962" i="1" s="1"/>
  <c r="Z961" i="1"/>
  <c r="Y961" i="1"/>
  <c r="Z960" i="1"/>
  <c r="Y960" i="1"/>
  <c r="Z959" i="1"/>
  <c r="Y959" i="1"/>
  <c r="Z958" i="1"/>
  <c r="Y958" i="1"/>
  <c r="Z957" i="1"/>
  <c r="Y957" i="1"/>
  <c r="Z956" i="1"/>
  <c r="Y956" i="1"/>
  <c r="AA956" i="1" s="1"/>
  <c r="Z955" i="1"/>
  <c r="Y955" i="1"/>
  <c r="AA955" i="1" s="1"/>
  <c r="Z954" i="1"/>
  <c r="Y954" i="1"/>
  <c r="Z953" i="1"/>
  <c r="Y953" i="1"/>
  <c r="AA953" i="1" s="1"/>
  <c r="Z952" i="1"/>
  <c r="Y952" i="1"/>
  <c r="Z951" i="1"/>
  <c r="Y951" i="1"/>
  <c r="AA951" i="1" s="1"/>
  <c r="AB951" i="1" s="1"/>
  <c r="Z950" i="1"/>
  <c r="Y950" i="1"/>
  <c r="Z949" i="1"/>
  <c r="Y949" i="1"/>
  <c r="Z948" i="1"/>
  <c r="Y948" i="1"/>
  <c r="AA948" i="1" s="1"/>
  <c r="Z947" i="1"/>
  <c r="Y947" i="1"/>
  <c r="AA947" i="1" s="1"/>
  <c r="Z946" i="1"/>
  <c r="Y946" i="1"/>
  <c r="AA946" i="1" s="1"/>
  <c r="AB946" i="1" s="1"/>
  <c r="Z945" i="1"/>
  <c r="Y945" i="1"/>
  <c r="Z944" i="1"/>
  <c r="Y944" i="1"/>
  <c r="Z943" i="1"/>
  <c r="Y943" i="1"/>
  <c r="AA943" i="1" s="1"/>
  <c r="Z942" i="1"/>
  <c r="Y942" i="1"/>
  <c r="Z941" i="1"/>
  <c r="Y941" i="1"/>
  <c r="AA941" i="1" s="1"/>
  <c r="AB941" i="1" s="1"/>
  <c r="Z940" i="1"/>
  <c r="Y940" i="1"/>
  <c r="AA940" i="1" s="1"/>
  <c r="Z939" i="1"/>
  <c r="Y939" i="1"/>
  <c r="Z938" i="1"/>
  <c r="Y938" i="1"/>
  <c r="Z937" i="1"/>
  <c r="Y937" i="1"/>
  <c r="Z936" i="1"/>
  <c r="Y936" i="1"/>
  <c r="Z935" i="1"/>
  <c r="Y935" i="1"/>
  <c r="Z934" i="1"/>
  <c r="Y934" i="1"/>
  <c r="Z933" i="1"/>
  <c r="Y933" i="1"/>
  <c r="AA933" i="1" s="1"/>
  <c r="Z932" i="1"/>
  <c r="Y932" i="1"/>
  <c r="Z931" i="1"/>
  <c r="Y931" i="1"/>
  <c r="Z930" i="1"/>
  <c r="Y930" i="1"/>
  <c r="Z929" i="1"/>
  <c r="Y929" i="1"/>
  <c r="Z928" i="1"/>
  <c r="Y928" i="1"/>
  <c r="Z927" i="1"/>
  <c r="Y927" i="1"/>
  <c r="Z926" i="1"/>
  <c r="Y926" i="1"/>
  <c r="AA926" i="1" s="1"/>
  <c r="AB926" i="1" s="1"/>
  <c r="Z925" i="1"/>
  <c r="Y925" i="1"/>
  <c r="Z924" i="1"/>
  <c r="Y924" i="1"/>
  <c r="AA924" i="1" s="1"/>
  <c r="AB924" i="1" s="1"/>
  <c r="Z923" i="1"/>
  <c r="Y923" i="1"/>
  <c r="Z922" i="1"/>
  <c r="Y922" i="1"/>
  <c r="Z921" i="1"/>
  <c r="Y921" i="1"/>
  <c r="Z920" i="1"/>
  <c r="Y920" i="1"/>
  <c r="Z919" i="1"/>
  <c r="Y919" i="1"/>
  <c r="AA919" i="1" s="1"/>
  <c r="Z918" i="1"/>
  <c r="Y918" i="1"/>
  <c r="AA918" i="1" s="1"/>
  <c r="Z917" i="1"/>
  <c r="Y917" i="1"/>
  <c r="AA917" i="1" s="1"/>
  <c r="AB917" i="1" s="1"/>
  <c r="Z916" i="1"/>
  <c r="Y916" i="1"/>
  <c r="AA916" i="1" s="1"/>
  <c r="Z915" i="1"/>
  <c r="Y915" i="1"/>
  <c r="AA915" i="1" s="1"/>
  <c r="Z914" i="1"/>
  <c r="Y914" i="1"/>
  <c r="Z913" i="1"/>
  <c r="Y913" i="1"/>
  <c r="AA913" i="1" s="1"/>
  <c r="AB913" i="1" s="1"/>
  <c r="Z912" i="1"/>
  <c r="Y912" i="1"/>
  <c r="Z911" i="1"/>
  <c r="Y911" i="1"/>
  <c r="Z910" i="1"/>
  <c r="Y910" i="1"/>
  <c r="AA910" i="1" s="1"/>
  <c r="Z909" i="1"/>
  <c r="Y909" i="1"/>
  <c r="AA909" i="1" s="1"/>
  <c r="Z908" i="1"/>
  <c r="Y908" i="1"/>
  <c r="AA908" i="1" s="1"/>
  <c r="AB908" i="1" s="1"/>
  <c r="Z907" i="1"/>
  <c r="Y907" i="1"/>
  <c r="Z906" i="1"/>
  <c r="Y906" i="1"/>
  <c r="Z905" i="1"/>
  <c r="Y905" i="1"/>
  <c r="Z904" i="1"/>
  <c r="Y904" i="1"/>
  <c r="Z903" i="1"/>
  <c r="Y903" i="1"/>
  <c r="Z902" i="1"/>
  <c r="Y902" i="1"/>
  <c r="Z901" i="1"/>
  <c r="Y901" i="1"/>
  <c r="Z900" i="1"/>
  <c r="Y900" i="1"/>
  <c r="Z899" i="1"/>
  <c r="Y899" i="1"/>
  <c r="Z898" i="1"/>
  <c r="Y898" i="1"/>
  <c r="Z897" i="1"/>
  <c r="Y897" i="1"/>
  <c r="AA897" i="1" s="1"/>
  <c r="Z896" i="1"/>
  <c r="Y896" i="1"/>
  <c r="AA896" i="1" s="1"/>
  <c r="Z895" i="1"/>
  <c r="Y895" i="1"/>
  <c r="AA895" i="1" s="1"/>
  <c r="Z894" i="1"/>
  <c r="Y894" i="1"/>
  <c r="Z893" i="1"/>
  <c r="Y893" i="1"/>
  <c r="Z892" i="1"/>
  <c r="Y892" i="1"/>
  <c r="AA892" i="1" s="1"/>
  <c r="Z891" i="1"/>
  <c r="Y891" i="1"/>
  <c r="Z890" i="1"/>
  <c r="Y890" i="1"/>
  <c r="Z889" i="1"/>
  <c r="Y889" i="1"/>
  <c r="Z888" i="1"/>
  <c r="Y888" i="1"/>
  <c r="Z887" i="1"/>
  <c r="Y887" i="1"/>
  <c r="Z886" i="1"/>
  <c r="Y886" i="1"/>
  <c r="Z885" i="1"/>
  <c r="Y885" i="1"/>
  <c r="Z884" i="1"/>
  <c r="Y884" i="1"/>
  <c r="Z883" i="1"/>
  <c r="Y883" i="1"/>
  <c r="AA883" i="1" s="1"/>
  <c r="Z882" i="1"/>
  <c r="Y882" i="1"/>
  <c r="AA882" i="1" s="1"/>
  <c r="Z881" i="1"/>
  <c r="Y881" i="1"/>
  <c r="AA881" i="1" s="1"/>
  <c r="AB881" i="1" s="1"/>
  <c r="Z880" i="1"/>
  <c r="Y880" i="1"/>
  <c r="Z879" i="1"/>
  <c r="Y879" i="1"/>
  <c r="Z878" i="1"/>
  <c r="Y878" i="1"/>
  <c r="Z877" i="1"/>
  <c r="Y877" i="1"/>
  <c r="AA877" i="1" s="1"/>
  <c r="AB877" i="1" s="1"/>
  <c r="Z876" i="1"/>
  <c r="Y876" i="1"/>
  <c r="AA876" i="1" s="1"/>
  <c r="Z875" i="1"/>
  <c r="Y875" i="1"/>
  <c r="Z874" i="1"/>
  <c r="Y874" i="1"/>
  <c r="AA874" i="1" s="1"/>
  <c r="AB874" i="1" s="1"/>
  <c r="Z873" i="1"/>
  <c r="Y873" i="1"/>
  <c r="AA873" i="1" s="1"/>
  <c r="Z872" i="1"/>
  <c r="Y872" i="1"/>
  <c r="Z871" i="1"/>
  <c r="Y871" i="1"/>
  <c r="Z870" i="1"/>
  <c r="Y870" i="1"/>
  <c r="Z869" i="1"/>
  <c r="Y869" i="1"/>
  <c r="Z868" i="1"/>
  <c r="Y868" i="1"/>
  <c r="AA868" i="1" s="1"/>
  <c r="Z867" i="1"/>
  <c r="Y867" i="1"/>
  <c r="AA867" i="1" s="1"/>
  <c r="AB867" i="1" s="1"/>
  <c r="Z866" i="1"/>
  <c r="Y866" i="1"/>
  <c r="Z865" i="1"/>
  <c r="Y865" i="1"/>
  <c r="AA865" i="1" s="1"/>
  <c r="AB865" i="1" s="1"/>
  <c r="AC865" i="1" s="1"/>
  <c r="Z864" i="1"/>
  <c r="Y864" i="1"/>
  <c r="AA864" i="1" s="1"/>
  <c r="Z863" i="1"/>
  <c r="Y863" i="1"/>
  <c r="AA863" i="1" s="1"/>
  <c r="Z862" i="1"/>
  <c r="Y862" i="1"/>
  <c r="Z861" i="1"/>
  <c r="Y861" i="1"/>
  <c r="Z860" i="1"/>
  <c r="Y860" i="1"/>
  <c r="Z859" i="1"/>
  <c r="Y859" i="1"/>
  <c r="Z858" i="1"/>
  <c r="Y858" i="1"/>
  <c r="Z857" i="1"/>
  <c r="Y857" i="1"/>
  <c r="Z856" i="1"/>
  <c r="Y856" i="1"/>
  <c r="Z855" i="1"/>
  <c r="Y855" i="1"/>
  <c r="Z854" i="1"/>
  <c r="Y854" i="1"/>
  <c r="Z853" i="1"/>
  <c r="Y853" i="1"/>
  <c r="Z852" i="1"/>
  <c r="Y852" i="1"/>
  <c r="AA852" i="1" s="1"/>
  <c r="AB852" i="1" s="1"/>
  <c r="Z851" i="1"/>
  <c r="Y851" i="1"/>
  <c r="AA851" i="1" s="1"/>
  <c r="Z850" i="1"/>
  <c r="Y850" i="1"/>
  <c r="AA850" i="1" s="1"/>
  <c r="Z849" i="1"/>
  <c r="Y849" i="1"/>
  <c r="Z848" i="1"/>
  <c r="Y848" i="1"/>
  <c r="Z847" i="1"/>
  <c r="Y847" i="1"/>
  <c r="AA847" i="1" s="1"/>
  <c r="Z846" i="1"/>
  <c r="Y846" i="1"/>
  <c r="AA846" i="1" s="1"/>
  <c r="AB846" i="1" s="1"/>
  <c r="Z845" i="1"/>
  <c r="Y845" i="1"/>
  <c r="AA845" i="1" s="1"/>
  <c r="AB845" i="1" s="1"/>
  <c r="Z844" i="1"/>
  <c r="Y844" i="1"/>
  <c r="AA844" i="1" s="1"/>
  <c r="Z843" i="1"/>
  <c r="Y843" i="1"/>
  <c r="AA843" i="1" s="1"/>
  <c r="AB843" i="1" s="1"/>
  <c r="Z842" i="1"/>
  <c r="Y842" i="1"/>
  <c r="AA842" i="1" s="1"/>
  <c r="AB842" i="1" s="1"/>
  <c r="Z841" i="1"/>
  <c r="Y841" i="1"/>
  <c r="Z840" i="1"/>
  <c r="Y840" i="1"/>
  <c r="Z839" i="1"/>
  <c r="Y839" i="1"/>
  <c r="Z838" i="1"/>
  <c r="Y838" i="1"/>
  <c r="Z837" i="1"/>
  <c r="Y837" i="1"/>
  <c r="Z836" i="1"/>
  <c r="Y836" i="1"/>
  <c r="AA836" i="1" s="1"/>
  <c r="AB836" i="1" s="1"/>
  <c r="Z835" i="1"/>
  <c r="Y835" i="1"/>
  <c r="AA835" i="1" s="1"/>
  <c r="AB835" i="1" s="1"/>
  <c r="Z834" i="1"/>
  <c r="Y834" i="1"/>
  <c r="Z833" i="1"/>
  <c r="Y833" i="1"/>
  <c r="Z832" i="1"/>
  <c r="Y832" i="1"/>
  <c r="Z831" i="1"/>
  <c r="Y831" i="1"/>
  <c r="AA831" i="1" s="1"/>
  <c r="Z830" i="1"/>
  <c r="Y830" i="1"/>
  <c r="Z829" i="1"/>
  <c r="Y829" i="1"/>
  <c r="Z828" i="1"/>
  <c r="Y828" i="1"/>
  <c r="AA828" i="1" s="1"/>
  <c r="Z827" i="1"/>
  <c r="Y827" i="1"/>
  <c r="Z826" i="1"/>
  <c r="Y826" i="1"/>
  <c r="Z825" i="1"/>
  <c r="Y825" i="1"/>
  <c r="Z824" i="1"/>
  <c r="Y824" i="1"/>
  <c r="AA824" i="1" s="1"/>
  <c r="Z823" i="1"/>
  <c r="Y823" i="1"/>
  <c r="Z822" i="1"/>
  <c r="Y822" i="1"/>
  <c r="AA822" i="1" s="1"/>
  <c r="Z821" i="1"/>
  <c r="Y821" i="1"/>
  <c r="Z820" i="1"/>
  <c r="Y820" i="1"/>
  <c r="AA820" i="1" s="1"/>
  <c r="AB820" i="1" s="1"/>
  <c r="Z819" i="1"/>
  <c r="Y819" i="1"/>
  <c r="AA819" i="1" s="1"/>
  <c r="Z818" i="1"/>
  <c r="Y818" i="1"/>
  <c r="Z817" i="1"/>
  <c r="Y817" i="1"/>
  <c r="Z816" i="1"/>
  <c r="Y816" i="1"/>
  <c r="Z815" i="1"/>
  <c r="Y815" i="1"/>
  <c r="AA815" i="1" s="1"/>
  <c r="AB815" i="1" s="1"/>
  <c r="Z814" i="1"/>
  <c r="Y814" i="1"/>
  <c r="AA814" i="1" s="1"/>
  <c r="Z813" i="1"/>
  <c r="Y813" i="1"/>
  <c r="Z812" i="1"/>
  <c r="Y812" i="1"/>
  <c r="Z811" i="1"/>
  <c r="Y811" i="1"/>
  <c r="AA811" i="1" s="1"/>
  <c r="AB811" i="1" s="1"/>
  <c r="Z810" i="1"/>
  <c r="Y810" i="1"/>
  <c r="Z809" i="1"/>
  <c r="Y809" i="1"/>
  <c r="Z808" i="1"/>
  <c r="Y808" i="1"/>
  <c r="Z807" i="1"/>
  <c r="Y807" i="1"/>
  <c r="Z806" i="1"/>
  <c r="Y806" i="1"/>
  <c r="AA806" i="1" s="1"/>
  <c r="Z805" i="1"/>
  <c r="Y805" i="1"/>
  <c r="Z804" i="1"/>
  <c r="Y804" i="1"/>
  <c r="Z803" i="1"/>
  <c r="Y803" i="1"/>
  <c r="Z802" i="1"/>
  <c r="Y802" i="1"/>
  <c r="Z801" i="1"/>
  <c r="Y801" i="1"/>
  <c r="Z800" i="1"/>
  <c r="Y800" i="1"/>
  <c r="Z799" i="1"/>
  <c r="Y799" i="1"/>
  <c r="AA799" i="1" s="1"/>
  <c r="Z798" i="1"/>
  <c r="Y798" i="1"/>
  <c r="Z797" i="1"/>
  <c r="Y797" i="1"/>
  <c r="Z796" i="1"/>
  <c r="Y796" i="1"/>
  <c r="Z795" i="1"/>
  <c r="Y795" i="1"/>
  <c r="Z794" i="1"/>
  <c r="Y794" i="1"/>
  <c r="AA794" i="1" s="1"/>
  <c r="Z793" i="1"/>
  <c r="Y793" i="1"/>
  <c r="Z792" i="1"/>
  <c r="Y792" i="1"/>
  <c r="AA792" i="1" s="1"/>
  <c r="Z791" i="1"/>
  <c r="Y791" i="1"/>
  <c r="Z790" i="1"/>
  <c r="Y790" i="1"/>
  <c r="Z789" i="1"/>
  <c r="Y789" i="1"/>
  <c r="Z788" i="1"/>
  <c r="Y788" i="1"/>
  <c r="Z787" i="1"/>
  <c r="Y787" i="1"/>
  <c r="Z786" i="1"/>
  <c r="Y786" i="1"/>
  <c r="Z785" i="1"/>
  <c r="Y785" i="1"/>
  <c r="AA785" i="1" s="1"/>
  <c r="Z784" i="1"/>
  <c r="Y784" i="1"/>
  <c r="Z783" i="1"/>
  <c r="Y783" i="1"/>
  <c r="Z782" i="1"/>
  <c r="Y782" i="1"/>
  <c r="Z781" i="1"/>
  <c r="Y781" i="1"/>
  <c r="Z780" i="1"/>
  <c r="Y780" i="1"/>
  <c r="Z779" i="1"/>
  <c r="Y779" i="1"/>
  <c r="AA779" i="1" s="1"/>
  <c r="AB779" i="1" s="1"/>
  <c r="Z778" i="1"/>
  <c r="Y778" i="1"/>
  <c r="Z777" i="1"/>
  <c r="Y777" i="1"/>
  <c r="Z776" i="1"/>
  <c r="Y776" i="1"/>
  <c r="Z775" i="1"/>
  <c r="Y775" i="1"/>
  <c r="Z774" i="1"/>
  <c r="Y774" i="1"/>
  <c r="Z773" i="1"/>
  <c r="Y773" i="1"/>
  <c r="Z772" i="1"/>
  <c r="Y772" i="1"/>
  <c r="Z771" i="1"/>
  <c r="Y771" i="1"/>
  <c r="Z770" i="1"/>
  <c r="Y770" i="1"/>
  <c r="Z769" i="1"/>
  <c r="Y769" i="1"/>
  <c r="Z768" i="1"/>
  <c r="Y768" i="1"/>
  <c r="Z767" i="1"/>
  <c r="Y767" i="1"/>
  <c r="Z766" i="1"/>
  <c r="Y766" i="1"/>
  <c r="AA766" i="1" s="1"/>
  <c r="Z765" i="1"/>
  <c r="Y765" i="1"/>
  <c r="Z764" i="1"/>
  <c r="Y764" i="1"/>
  <c r="Z763" i="1"/>
  <c r="Y763" i="1"/>
  <c r="Z762" i="1"/>
  <c r="Y762" i="1"/>
  <c r="Z761" i="1"/>
  <c r="Y761" i="1"/>
  <c r="Z760" i="1"/>
  <c r="Y760" i="1"/>
  <c r="Z759" i="1"/>
  <c r="Y759" i="1"/>
  <c r="Z758" i="1"/>
  <c r="Y758" i="1"/>
  <c r="Z757" i="1"/>
  <c r="Y757" i="1"/>
  <c r="AA757" i="1" s="1"/>
  <c r="Z756" i="1"/>
  <c r="Y756" i="1"/>
  <c r="Z755" i="1"/>
  <c r="Y755" i="1"/>
  <c r="Z754" i="1"/>
  <c r="Y754" i="1"/>
  <c r="Z753" i="1"/>
  <c r="Y753" i="1"/>
  <c r="AA753" i="1" s="1"/>
  <c r="Z752" i="1"/>
  <c r="Y752" i="1"/>
  <c r="Z751" i="1"/>
  <c r="Y751" i="1"/>
  <c r="Z750" i="1"/>
  <c r="Y750" i="1"/>
  <c r="AA750" i="1" s="1"/>
  <c r="AB750" i="1" s="1"/>
  <c r="Z749" i="1"/>
  <c r="Y749" i="1"/>
  <c r="Z748" i="1"/>
  <c r="Y748" i="1"/>
  <c r="Z747" i="1"/>
  <c r="Y747" i="1"/>
  <c r="AA747" i="1" s="1"/>
  <c r="AB747" i="1" s="1"/>
  <c r="Z746" i="1"/>
  <c r="Y746" i="1"/>
  <c r="Z745" i="1"/>
  <c r="Y745" i="1"/>
  <c r="AA745" i="1" s="1"/>
  <c r="AB745" i="1" s="1"/>
  <c r="Z744" i="1"/>
  <c r="Y744" i="1"/>
  <c r="Z743" i="1"/>
  <c r="Y743" i="1"/>
  <c r="Z742" i="1"/>
  <c r="Y742" i="1"/>
  <c r="Z741" i="1"/>
  <c r="Y741" i="1"/>
  <c r="Z740" i="1"/>
  <c r="Y740" i="1"/>
  <c r="Z739" i="1"/>
  <c r="Y739" i="1"/>
  <c r="AA739" i="1" s="1"/>
  <c r="AB739" i="1" s="1"/>
  <c r="Z738" i="1"/>
  <c r="Y738" i="1"/>
  <c r="AA738" i="1" s="1"/>
  <c r="AB738" i="1" s="1"/>
  <c r="Z737" i="1"/>
  <c r="Y737" i="1"/>
  <c r="Z736" i="1"/>
  <c r="Y736" i="1"/>
  <c r="AA736" i="1" s="1"/>
  <c r="Z735" i="1"/>
  <c r="Y735" i="1"/>
  <c r="Z734" i="1"/>
  <c r="Y734" i="1"/>
  <c r="AA734" i="1" s="1"/>
  <c r="Z733" i="1"/>
  <c r="Y733" i="1"/>
  <c r="Z732" i="1"/>
  <c r="Y732" i="1"/>
  <c r="AA732" i="1" s="1"/>
  <c r="AB732" i="1" s="1"/>
  <c r="Z731" i="1"/>
  <c r="Y731" i="1"/>
  <c r="AA731" i="1" s="1"/>
  <c r="AB731" i="1" s="1"/>
  <c r="Z730" i="1"/>
  <c r="Y730" i="1"/>
  <c r="Z729" i="1"/>
  <c r="Y729" i="1"/>
  <c r="Z728" i="1"/>
  <c r="Y728" i="1"/>
  <c r="Z727" i="1"/>
  <c r="Y727" i="1"/>
  <c r="Z726" i="1"/>
  <c r="Y726" i="1"/>
  <c r="Z725" i="1"/>
  <c r="Y725" i="1"/>
  <c r="AA725" i="1" s="1"/>
  <c r="AB725" i="1" s="1"/>
  <c r="Z724" i="1"/>
  <c r="Y724" i="1"/>
  <c r="AA724" i="1" s="1"/>
  <c r="AB724" i="1" s="1"/>
  <c r="Z723" i="1"/>
  <c r="Y723" i="1"/>
  <c r="Z722" i="1"/>
  <c r="Y722" i="1"/>
  <c r="Z721" i="1"/>
  <c r="Y721" i="1"/>
  <c r="AA721" i="1" s="1"/>
  <c r="AB721" i="1" s="1"/>
  <c r="Z720" i="1"/>
  <c r="Y720" i="1"/>
  <c r="Z719" i="1"/>
  <c r="Y719" i="1"/>
  <c r="AA719" i="1" s="1"/>
  <c r="Z718" i="1"/>
  <c r="Y718" i="1"/>
  <c r="AA718" i="1" s="1"/>
  <c r="AB718" i="1" s="1"/>
  <c r="Z717" i="1"/>
  <c r="Y717" i="1"/>
  <c r="AA717" i="1" s="1"/>
  <c r="AB717" i="1" s="1"/>
  <c r="Z716" i="1"/>
  <c r="Y716" i="1"/>
  <c r="Z715" i="1"/>
  <c r="Y715" i="1"/>
  <c r="AA715" i="1" s="1"/>
  <c r="AB715" i="1" s="1"/>
  <c r="Z714" i="1"/>
  <c r="Y714" i="1"/>
  <c r="Z713" i="1"/>
  <c r="Y713" i="1"/>
  <c r="Z712" i="1"/>
  <c r="Y712" i="1"/>
  <c r="Z711" i="1"/>
  <c r="Y711" i="1"/>
  <c r="AA711" i="1" s="1"/>
  <c r="AB711" i="1" s="1"/>
  <c r="Z710" i="1"/>
  <c r="Y710" i="1"/>
  <c r="AA710" i="1" s="1"/>
  <c r="AB710" i="1" s="1"/>
  <c r="Z709" i="1"/>
  <c r="Y709" i="1"/>
  <c r="AA709" i="1" s="1"/>
  <c r="Z708" i="1"/>
  <c r="Y708" i="1"/>
  <c r="Z707" i="1"/>
  <c r="Y707" i="1"/>
  <c r="AA707" i="1" s="1"/>
  <c r="AB707" i="1" s="1"/>
  <c r="Z706" i="1"/>
  <c r="Y706" i="1"/>
  <c r="Z705" i="1"/>
  <c r="Y705" i="1"/>
  <c r="Z704" i="1"/>
  <c r="Y704" i="1"/>
  <c r="AA704" i="1" s="1"/>
  <c r="AB704" i="1" s="1"/>
  <c r="Z703" i="1"/>
  <c r="Y703" i="1"/>
  <c r="Z702" i="1"/>
  <c r="Y702" i="1"/>
  <c r="AA702" i="1" s="1"/>
  <c r="Z701" i="1"/>
  <c r="Y701" i="1"/>
  <c r="Z700" i="1"/>
  <c r="Y700" i="1"/>
  <c r="AA700" i="1" s="1"/>
  <c r="Z699" i="1"/>
  <c r="Y699" i="1"/>
  <c r="Z698" i="1"/>
  <c r="Y698" i="1"/>
  <c r="Z697" i="1"/>
  <c r="Y697" i="1"/>
  <c r="AA697" i="1" s="1"/>
  <c r="AB697" i="1" s="1"/>
  <c r="Z696" i="1"/>
  <c r="Y696" i="1"/>
  <c r="AA696" i="1" s="1"/>
  <c r="AB696" i="1" s="1"/>
  <c r="Z695" i="1"/>
  <c r="Y695" i="1"/>
  <c r="Z694" i="1"/>
  <c r="Y694" i="1"/>
  <c r="Z693" i="1"/>
  <c r="Y693" i="1"/>
  <c r="AA693" i="1" s="1"/>
  <c r="AB693" i="1" s="1"/>
  <c r="Z692" i="1"/>
  <c r="Y692" i="1"/>
  <c r="Z691" i="1"/>
  <c r="Y691" i="1"/>
  <c r="Z690" i="1"/>
  <c r="Y690" i="1"/>
  <c r="AA690" i="1" s="1"/>
  <c r="AB690" i="1" s="1"/>
  <c r="Z689" i="1"/>
  <c r="Y689" i="1"/>
  <c r="AA689" i="1" s="1"/>
  <c r="Z688" i="1"/>
  <c r="Y688" i="1"/>
  <c r="Z687" i="1"/>
  <c r="Y687" i="1"/>
  <c r="Z686" i="1"/>
  <c r="Y686" i="1"/>
  <c r="AA686" i="1" s="1"/>
  <c r="AB686" i="1" s="1"/>
  <c r="Z685" i="1"/>
  <c r="Y685" i="1"/>
  <c r="Z684" i="1"/>
  <c r="Y684" i="1"/>
  <c r="Z683" i="1"/>
  <c r="Y683" i="1"/>
  <c r="AA683" i="1" s="1"/>
  <c r="AB683" i="1" s="1"/>
  <c r="Z682" i="1"/>
  <c r="Y682" i="1"/>
  <c r="Z681" i="1"/>
  <c r="Y681" i="1"/>
  <c r="Z680" i="1"/>
  <c r="Y680" i="1"/>
  <c r="Z679" i="1"/>
  <c r="Y679" i="1"/>
  <c r="AA679" i="1" s="1"/>
  <c r="Z678" i="1"/>
  <c r="Y678" i="1"/>
  <c r="Z677" i="1"/>
  <c r="Y677" i="1"/>
  <c r="Z676" i="1"/>
  <c r="Y676" i="1"/>
  <c r="Z675" i="1"/>
  <c r="Y675" i="1"/>
  <c r="Z674" i="1"/>
  <c r="Y674" i="1"/>
  <c r="Z673" i="1"/>
  <c r="Y673" i="1"/>
  <c r="Z672" i="1"/>
  <c r="Y672" i="1"/>
  <c r="AA672" i="1" s="1"/>
  <c r="AB672" i="1" s="1"/>
  <c r="Z671" i="1"/>
  <c r="Y671" i="1"/>
  <c r="Z670" i="1"/>
  <c r="Y670" i="1"/>
  <c r="AA670" i="1" s="1"/>
  <c r="Z669" i="1"/>
  <c r="Y669" i="1"/>
  <c r="Z668" i="1"/>
  <c r="Y668" i="1"/>
  <c r="Z667" i="1"/>
  <c r="Y667" i="1"/>
  <c r="Z666" i="1"/>
  <c r="Y666" i="1"/>
  <c r="AA666" i="1" s="1"/>
  <c r="Z665" i="1"/>
  <c r="Y665" i="1"/>
  <c r="AA665" i="1" s="1"/>
  <c r="AB665" i="1" s="1"/>
  <c r="Z664" i="1"/>
  <c r="Y664" i="1"/>
  <c r="Z663" i="1"/>
  <c r="Y663" i="1"/>
  <c r="Z662" i="1"/>
  <c r="Y662" i="1"/>
  <c r="Z661" i="1"/>
  <c r="Y661" i="1"/>
  <c r="Z660" i="1"/>
  <c r="Y660" i="1"/>
  <c r="Z659" i="1"/>
  <c r="Y659" i="1"/>
  <c r="Z658" i="1"/>
  <c r="Y658" i="1"/>
  <c r="AA658" i="1" s="1"/>
  <c r="AB658" i="1" s="1"/>
  <c r="Z657" i="1"/>
  <c r="Y657" i="1"/>
  <c r="AA657" i="1" s="1"/>
  <c r="Z656" i="1"/>
  <c r="Y656" i="1"/>
  <c r="AA656" i="1" s="1"/>
  <c r="Z655" i="1"/>
  <c r="Y655" i="1"/>
  <c r="Z654" i="1"/>
  <c r="Y654" i="1"/>
  <c r="Z653" i="1"/>
  <c r="Y653" i="1"/>
  <c r="Z652" i="1"/>
  <c r="Y652" i="1"/>
  <c r="AA652" i="1" s="1"/>
  <c r="Z651" i="1"/>
  <c r="Y651" i="1"/>
  <c r="Z650" i="1"/>
  <c r="Y650" i="1"/>
  <c r="Z649" i="1"/>
  <c r="Y649" i="1"/>
  <c r="Z648" i="1"/>
  <c r="Y648" i="1"/>
  <c r="Z647" i="1"/>
  <c r="Y647" i="1"/>
  <c r="Z646" i="1"/>
  <c r="Y646" i="1"/>
  <c r="Z645" i="1"/>
  <c r="Y645" i="1"/>
  <c r="AA645" i="1" s="1"/>
  <c r="AB645" i="1" s="1"/>
  <c r="Z644" i="1"/>
  <c r="Y644" i="1"/>
  <c r="Z643" i="1"/>
  <c r="Y643" i="1"/>
  <c r="AA643" i="1" s="1"/>
  <c r="AB643" i="1" s="1"/>
  <c r="Z642" i="1"/>
  <c r="Y642" i="1"/>
  <c r="Z641" i="1"/>
  <c r="Y641" i="1"/>
  <c r="Z640" i="1"/>
  <c r="Y640" i="1"/>
  <c r="Z639" i="1"/>
  <c r="Y639" i="1"/>
  <c r="Z638" i="1"/>
  <c r="Y638" i="1"/>
  <c r="AA638" i="1" s="1"/>
  <c r="AB638" i="1" s="1"/>
  <c r="AC638" i="1" s="1"/>
  <c r="Z637" i="1"/>
  <c r="Y637" i="1"/>
  <c r="Z636" i="1"/>
  <c r="Y636" i="1"/>
  <c r="AA636" i="1" s="1"/>
  <c r="Z635" i="1"/>
  <c r="Y635" i="1"/>
  <c r="Z634" i="1"/>
  <c r="Y634" i="1"/>
  <c r="Z633" i="1"/>
  <c r="Y633" i="1"/>
  <c r="Z632" i="1"/>
  <c r="Y632" i="1"/>
  <c r="Z631" i="1"/>
  <c r="Y631" i="1"/>
  <c r="Z630" i="1"/>
  <c r="Y630" i="1"/>
  <c r="AA630" i="1" s="1"/>
  <c r="Z629" i="1"/>
  <c r="Y629" i="1"/>
  <c r="AA629" i="1" s="1"/>
  <c r="Z628" i="1"/>
  <c r="Y628" i="1"/>
  <c r="AA628" i="1" s="1"/>
  <c r="Z627" i="1"/>
  <c r="Y627" i="1"/>
  <c r="Z626" i="1"/>
  <c r="Y626" i="1"/>
  <c r="Z625" i="1"/>
  <c r="Y625" i="1"/>
  <c r="AA625" i="1" s="1"/>
  <c r="Z624" i="1"/>
  <c r="Y624" i="1"/>
  <c r="Z623" i="1"/>
  <c r="Y623" i="1"/>
  <c r="AA623" i="1" s="1"/>
  <c r="Z622" i="1"/>
  <c r="Y622" i="1"/>
  <c r="AA622" i="1" s="1"/>
  <c r="Z621" i="1"/>
  <c r="Y621" i="1"/>
  <c r="Z620" i="1"/>
  <c r="Y620" i="1"/>
  <c r="Z619" i="1"/>
  <c r="Y619" i="1"/>
  <c r="AA619" i="1" s="1"/>
  <c r="AB619" i="1" s="1"/>
  <c r="Z618" i="1"/>
  <c r="Y618" i="1"/>
  <c r="Z617" i="1"/>
  <c r="Y617" i="1"/>
  <c r="Z616" i="1"/>
  <c r="Y616" i="1"/>
  <c r="Z615" i="1"/>
  <c r="Y615" i="1"/>
  <c r="AA615" i="1" s="1"/>
  <c r="Z614" i="1"/>
  <c r="Y614" i="1"/>
  <c r="Z613" i="1"/>
  <c r="Y613" i="1"/>
  <c r="Z612" i="1"/>
  <c r="Y612" i="1"/>
  <c r="Z611" i="1"/>
  <c r="Y611" i="1"/>
  <c r="Z610" i="1"/>
  <c r="Y610" i="1"/>
  <c r="AA610" i="1" s="1"/>
  <c r="AB610" i="1" s="1"/>
  <c r="Z609" i="1"/>
  <c r="Y609" i="1"/>
  <c r="Z608" i="1"/>
  <c r="Y608" i="1"/>
  <c r="AA608" i="1" s="1"/>
  <c r="Z607" i="1"/>
  <c r="Y607" i="1"/>
  <c r="AA607" i="1" s="1"/>
  <c r="Z606" i="1"/>
  <c r="Y606" i="1"/>
  <c r="AA606" i="1" s="1"/>
  <c r="Z605" i="1"/>
  <c r="Y605" i="1"/>
  <c r="Z604" i="1"/>
  <c r="Y604" i="1"/>
  <c r="AA604" i="1" s="1"/>
  <c r="Z603" i="1"/>
  <c r="Y603" i="1"/>
  <c r="AA603" i="1" s="1"/>
  <c r="AB603" i="1" s="1"/>
  <c r="Z602" i="1"/>
  <c r="Y602" i="1"/>
  <c r="Z601" i="1"/>
  <c r="Y601" i="1"/>
  <c r="AA601" i="1" s="1"/>
  <c r="Z600" i="1"/>
  <c r="Y600" i="1"/>
  <c r="AA600" i="1" s="1"/>
  <c r="Z599" i="1"/>
  <c r="Y599" i="1"/>
  <c r="Z598" i="1"/>
  <c r="Y598" i="1"/>
  <c r="AA598" i="1" s="1"/>
  <c r="AB598" i="1" s="1"/>
  <c r="Z597" i="1"/>
  <c r="Y597" i="1"/>
  <c r="Z596" i="1"/>
  <c r="Y596" i="1"/>
  <c r="Z595" i="1"/>
  <c r="Y595" i="1"/>
  <c r="AA595" i="1" s="1"/>
  <c r="Z594" i="1"/>
  <c r="Y594" i="1"/>
  <c r="AA594" i="1" s="1"/>
  <c r="Z593" i="1"/>
  <c r="Y593" i="1"/>
  <c r="AA593" i="1" s="1"/>
  <c r="Z592" i="1"/>
  <c r="Y592" i="1"/>
  <c r="Z591" i="1"/>
  <c r="Y591" i="1"/>
  <c r="AA591" i="1" s="1"/>
  <c r="AB591" i="1" s="1"/>
  <c r="Z590" i="1"/>
  <c r="Y590" i="1"/>
  <c r="AA590" i="1" s="1"/>
  <c r="Z589" i="1"/>
  <c r="Y589" i="1"/>
  <c r="Z588" i="1"/>
  <c r="Y588" i="1"/>
  <c r="Z587" i="1"/>
  <c r="Y587" i="1"/>
  <c r="AA587" i="1" s="1"/>
  <c r="AB587" i="1" s="1"/>
  <c r="AC587" i="1" s="1"/>
  <c r="Z586" i="1"/>
  <c r="Y586" i="1"/>
  <c r="Z585" i="1"/>
  <c r="Y585" i="1"/>
  <c r="Z584" i="1"/>
  <c r="Y584" i="1"/>
  <c r="AA584" i="1" s="1"/>
  <c r="AB584" i="1" s="1"/>
  <c r="Z583" i="1"/>
  <c r="Y583" i="1"/>
  <c r="Z582" i="1"/>
  <c r="Y582" i="1"/>
  <c r="AA582" i="1" s="1"/>
  <c r="Z581" i="1"/>
  <c r="Y581" i="1"/>
  <c r="AA581" i="1" s="1"/>
  <c r="AB581" i="1" s="1"/>
  <c r="Z580" i="1"/>
  <c r="Y580" i="1"/>
  <c r="Z579" i="1"/>
  <c r="Y579" i="1"/>
  <c r="AA579" i="1" s="1"/>
  <c r="AB579" i="1" s="1"/>
  <c r="Z578" i="1"/>
  <c r="Y578" i="1"/>
  <c r="Z577" i="1"/>
  <c r="Y577" i="1"/>
  <c r="AA577" i="1" s="1"/>
  <c r="AB577" i="1" s="1"/>
  <c r="Z576" i="1"/>
  <c r="Y576" i="1"/>
  <c r="AA576" i="1" s="1"/>
  <c r="Z575" i="1"/>
  <c r="Y575" i="1"/>
  <c r="Z574" i="1"/>
  <c r="Y574" i="1"/>
  <c r="AA574" i="1" s="1"/>
  <c r="Z573" i="1"/>
  <c r="Y573" i="1"/>
  <c r="Z572" i="1"/>
  <c r="Y572" i="1"/>
  <c r="AA572" i="1" s="1"/>
  <c r="AB572" i="1" s="1"/>
  <c r="Z571" i="1"/>
  <c r="Y571" i="1"/>
  <c r="Z570" i="1"/>
  <c r="Y570" i="1"/>
  <c r="AA570" i="1" s="1"/>
  <c r="AB570" i="1" s="1"/>
  <c r="Z569" i="1"/>
  <c r="Y569" i="1"/>
  <c r="Z568" i="1"/>
  <c r="Y568" i="1"/>
  <c r="Z567" i="1"/>
  <c r="Y567" i="1"/>
  <c r="Z566" i="1"/>
  <c r="Y566" i="1"/>
  <c r="AA566" i="1" s="1"/>
  <c r="AB566" i="1" s="1"/>
  <c r="Z565" i="1"/>
  <c r="Y565" i="1"/>
  <c r="Z564" i="1"/>
  <c r="Y564" i="1"/>
  <c r="Z563" i="1"/>
  <c r="Y563" i="1"/>
  <c r="AA563" i="1" s="1"/>
  <c r="Z562" i="1"/>
  <c r="Y562" i="1"/>
  <c r="Z561" i="1"/>
  <c r="Y561" i="1"/>
  <c r="AA561" i="1" s="1"/>
  <c r="AB561" i="1" s="1"/>
  <c r="Z560" i="1"/>
  <c r="Y560" i="1"/>
  <c r="Z559" i="1"/>
  <c r="Y559" i="1"/>
  <c r="Z558" i="1"/>
  <c r="Y558" i="1"/>
  <c r="Z557" i="1"/>
  <c r="Y557" i="1"/>
  <c r="Z556" i="1"/>
  <c r="Y556" i="1"/>
  <c r="AA556" i="1" s="1"/>
  <c r="AB556" i="1" s="1"/>
  <c r="Z555" i="1"/>
  <c r="Y555" i="1"/>
  <c r="AA555" i="1" s="1"/>
  <c r="AB555" i="1" s="1"/>
  <c r="Z554" i="1"/>
  <c r="Y554" i="1"/>
  <c r="Z553" i="1"/>
  <c r="Y553" i="1"/>
  <c r="AA553" i="1" s="1"/>
  <c r="Z552" i="1"/>
  <c r="Y552" i="1"/>
  <c r="Z551" i="1"/>
  <c r="Y551" i="1"/>
  <c r="Z550" i="1"/>
  <c r="Y550" i="1"/>
  <c r="Z549" i="1"/>
  <c r="Y549" i="1"/>
  <c r="AA549" i="1" s="1"/>
  <c r="Z548" i="1"/>
  <c r="Y548" i="1"/>
  <c r="Z547" i="1"/>
  <c r="Y547" i="1"/>
  <c r="Z546" i="1"/>
  <c r="Y546" i="1"/>
  <c r="Z545" i="1"/>
  <c r="Y545" i="1"/>
  <c r="Z544" i="1"/>
  <c r="Y544" i="1"/>
  <c r="Z543" i="1"/>
  <c r="Y543" i="1"/>
  <c r="Z542" i="1"/>
  <c r="Y542" i="1"/>
  <c r="Z541" i="1"/>
  <c r="Y541" i="1"/>
  <c r="Z540" i="1"/>
  <c r="Y540" i="1"/>
  <c r="Z539" i="1"/>
  <c r="Y539" i="1"/>
  <c r="Z538" i="1"/>
  <c r="Y538" i="1"/>
  <c r="AA538" i="1" s="1"/>
  <c r="AB538" i="1" s="1"/>
  <c r="Z537" i="1"/>
  <c r="Y537" i="1"/>
  <c r="Z536" i="1"/>
  <c r="Y536" i="1"/>
  <c r="Z535" i="1"/>
  <c r="Y535" i="1"/>
  <c r="Z534" i="1"/>
  <c r="Y534" i="1"/>
  <c r="Z533" i="1"/>
  <c r="Y533" i="1"/>
  <c r="AA533" i="1" s="1"/>
  <c r="Z532" i="1"/>
  <c r="Y532" i="1"/>
  <c r="Z531" i="1"/>
  <c r="Y531" i="1"/>
  <c r="AA531" i="1" s="1"/>
  <c r="Z530" i="1"/>
  <c r="Y530" i="1"/>
  <c r="Z529" i="1"/>
  <c r="Y529" i="1"/>
  <c r="AA529" i="1" s="1"/>
  <c r="Z528" i="1"/>
  <c r="Y528" i="1"/>
  <c r="Z527" i="1"/>
  <c r="Y527" i="1"/>
  <c r="Z526" i="1"/>
  <c r="Y526" i="1"/>
  <c r="AA526" i="1" s="1"/>
  <c r="Z525" i="1"/>
  <c r="Y525" i="1"/>
  <c r="Z524" i="1"/>
  <c r="Y524" i="1"/>
  <c r="Z523" i="1"/>
  <c r="Y523" i="1"/>
  <c r="AA523" i="1" s="1"/>
  <c r="AB523" i="1" s="1"/>
  <c r="Z522" i="1"/>
  <c r="Y522" i="1"/>
  <c r="Z521" i="1"/>
  <c r="Y521" i="1"/>
  <c r="Z520" i="1"/>
  <c r="Y520" i="1"/>
  <c r="Z519" i="1"/>
  <c r="Y519" i="1"/>
  <c r="Z518" i="1"/>
  <c r="Y518" i="1"/>
  <c r="AA518" i="1" s="1"/>
  <c r="Z517" i="1"/>
  <c r="Y517" i="1"/>
  <c r="Z516" i="1"/>
  <c r="Y516" i="1"/>
  <c r="Z515" i="1"/>
  <c r="Y515" i="1"/>
  <c r="Z514" i="1"/>
  <c r="Y514" i="1"/>
  <c r="AA514" i="1" s="1"/>
  <c r="Z513" i="1"/>
  <c r="Y513" i="1"/>
  <c r="Z512" i="1"/>
  <c r="Y512" i="1"/>
  <c r="Z511" i="1"/>
  <c r="Y511" i="1"/>
  <c r="AA511" i="1" s="1"/>
  <c r="Z510" i="1"/>
  <c r="Y510" i="1"/>
  <c r="AA510" i="1" s="1"/>
  <c r="AB510" i="1" s="1"/>
  <c r="AC510" i="1" s="1"/>
  <c r="Z509" i="1"/>
  <c r="Y509" i="1"/>
  <c r="Z508" i="1"/>
  <c r="Y508" i="1"/>
  <c r="Z507" i="1"/>
  <c r="Y507" i="1"/>
  <c r="AA507" i="1" s="1"/>
  <c r="AB507" i="1" s="1"/>
  <c r="Z506" i="1"/>
  <c r="Y506" i="1"/>
  <c r="Z505" i="1"/>
  <c r="Y505" i="1"/>
  <c r="Z504" i="1"/>
  <c r="Y504" i="1"/>
  <c r="Z503" i="1"/>
  <c r="Y503" i="1"/>
  <c r="Z502" i="1"/>
  <c r="Y502" i="1"/>
  <c r="AA502" i="1" s="1"/>
  <c r="AB502" i="1" s="1"/>
  <c r="Z501" i="1"/>
  <c r="Y501" i="1"/>
  <c r="Z500" i="1"/>
  <c r="Y500" i="1"/>
  <c r="AA500" i="1" s="1"/>
  <c r="AB500" i="1" s="1"/>
  <c r="Z499" i="1"/>
  <c r="Y499" i="1"/>
  <c r="Z498" i="1"/>
  <c r="Y498" i="1"/>
  <c r="Z497" i="1"/>
  <c r="Y497" i="1"/>
  <c r="AA497" i="1" s="1"/>
  <c r="Z496" i="1"/>
  <c r="Y496" i="1"/>
  <c r="Z495" i="1"/>
  <c r="Y495" i="1"/>
  <c r="Z494" i="1"/>
  <c r="Y494" i="1"/>
  <c r="Z493" i="1"/>
  <c r="Y493" i="1"/>
  <c r="Z492" i="1"/>
  <c r="Y492" i="1"/>
  <c r="Z491" i="1"/>
  <c r="Y491" i="1"/>
  <c r="AA491" i="1" s="1"/>
  <c r="AB491" i="1" s="1"/>
  <c r="AC491" i="1" s="1"/>
  <c r="Z490" i="1"/>
  <c r="Y490" i="1"/>
  <c r="Z489" i="1"/>
  <c r="Y489" i="1"/>
  <c r="AA489" i="1" s="1"/>
  <c r="Z488" i="1"/>
  <c r="Y488" i="1"/>
  <c r="AA488" i="1" s="1"/>
  <c r="Z487" i="1"/>
  <c r="Y487" i="1"/>
  <c r="Z486" i="1"/>
  <c r="Y486" i="1"/>
  <c r="Z485" i="1"/>
  <c r="Y485" i="1"/>
  <c r="AA485" i="1" s="1"/>
  <c r="AB485" i="1" s="1"/>
  <c r="Z484" i="1"/>
  <c r="Y484" i="1"/>
  <c r="Z483" i="1"/>
  <c r="Y483" i="1"/>
  <c r="AA483" i="1" s="1"/>
  <c r="AB483" i="1" s="1"/>
  <c r="Z482" i="1"/>
  <c r="Y482" i="1"/>
  <c r="AA482" i="1" s="1"/>
  <c r="AB482" i="1" s="1"/>
  <c r="Z481" i="1"/>
  <c r="Y481" i="1"/>
  <c r="Z480" i="1"/>
  <c r="Y480" i="1"/>
  <c r="Z479" i="1"/>
  <c r="Y479" i="1"/>
  <c r="AA479" i="1" s="1"/>
  <c r="AB479" i="1" s="1"/>
  <c r="Z478" i="1"/>
  <c r="Y478" i="1"/>
  <c r="AA478" i="1" s="1"/>
  <c r="Z477" i="1"/>
  <c r="Y477" i="1"/>
  <c r="Z476" i="1"/>
  <c r="Y476" i="1"/>
  <c r="AA476" i="1" s="1"/>
  <c r="Z475" i="1"/>
  <c r="Y475" i="1"/>
  <c r="Z474" i="1"/>
  <c r="Y474" i="1"/>
  <c r="AA474" i="1" s="1"/>
  <c r="Z473" i="1"/>
  <c r="Y473" i="1"/>
  <c r="Z472" i="1"/>
  <c r="Y472" i="1"/>
  <c r="AA472" i="1" s="1"/>
  <c r="AB472" i="1" s="1"/>
  <c r="Z471" i="1"/>
  <c r="Y471" i="1"/>
  <c r="Z470" i="1"/>
  <c r="Y470" i="1"/>
  <c r="Z469" i="1"/>
  <c r="Y469" i="1"/>
  <c r="Z468" i="1"/>
  <c r="Y468" i="1"/>
  <c r="Z467" i="1"/>
  <c r="Y467" i="1"/>
  <c r="Z466" i="1"/>
  <c r="Y466" i="1"/>
  <c r="Z465" i="1"/>
  <c r="Y465" i="1"/>
  <c r="AA465" i="1" s="1"/>
  <c r="Z464" i="1"/>
  <c r="Y464" i="1"/>
  <c r="Z463" i="1"/>
  <c r="Y463" i="1"/>
  <c r="Z462" i="1"/>
  <c r="Y462" i="1"/>
  <c r="Z461" i="1"/>
  <c r="Y461" i="1"/>
  <c r="Z460" i="1"/>
  <c r="Y460" i="1"/>
  <c r="Z459" i="1"/>
  <c r="Y459" i="1"/>
  <c r="AA459" i="1" s="1"/>
  <c r="AB459" i="1" s="1"/>
  <c r="Z458" i="1"/>
  <c r="Y458" i="1"/>
  <c r="Z457" i="1"/>
  <c r="Y457" i="1"/>
  <c r="AA457" i="1" s="1"/>
  <c r="Z456" i="1"/>
  <c r="Y456" i="1"/>
  <c r="Z455" i="1"/>
  <c r="Y455" i="1"/>
  <c r="AA455" i="1" s="1"/>
  <c r="Z454" i="1"/>
  <c r="Y454" i="1"/>
  <c r="Z453" i="1"/>
  <c r="Y453" i="1"/>
  <c r="AA453" i="1" s="1"/>
  <c r="Z452" i="1"/>
  <c r="Y452" i="1"/>
  <c r="Z451" i="1"/>
  <c r="Y451" i="1"/>
  <c r="Z450" i="1"/>
  <c r="Y450" i="1"/>
  <c r="AA450" i="1" s="1"/>
  <c r="AB450" i="1" s="1"/>
  <c r="Z449" i="1"/>
  <c r="Y449" i="1"/>
  <c r="Z448" i="1"/>
  <c r="Y448" i="1"/>
  <c r="Z447" i="1"/>
  <c r="Y447" i="1"/>
  <c r="AA447" i="1" s="1"/>
  <c r="AB447" i="1" s="1"/>
  <c r="Z446" i="1"/>
  <c r="Y446" i="1"/>
  <c r="AA446" i="1" s="1"/>
  <c r="Z445" i="1"/>
  <c r="Y445" i="1"/>
  <c r="Z444" i="1"/>
  <c r="Y444" i="1"/>
  <c r="Z443" i="1"/>
  <c r="Y443" i="1"/>
  <c r="Z442" i="1"/>
  <c r="Y442" i="1"/>
  <c r="AA442" i="1" s="1"/>
  <c r="Z441" i="1"/>
  <c r="Y441" i="1"/>
  <c r="Z440" i="1"/>
  <c r="Y440" i="1"/>
  <c r="AA440" i="1" s="1"/>
  <c r="Z439" i="1"/>
  <c r="Y439" i="1"/>
  <c r="Z438" i="1"/>
  <c r="Y438" i="1"/>
  <c r="Z437" i="1"/>
  <c r="Y437" i="1"/>
  <c r="Z436" i="1"/>
  <c r="Y436" i="1"/>
  <c r="Z435" i="1"/>
  <c r="Y435" i="1"/>
  <c r="AA435" i="1" s="1"/>
  <c r="Z434" i="1"/>
  <c r="Y434" i="1"/>
  <c r="Z433" i="1"/>
  <c r="Y433" i="1"/>
  <c r="AA433" i="1" s="1"/>
  <c r="Z432" i="1"/>
  <c r="Y432" i="1"/>
  <c r="Z431" i="1"/>
  <c r="Y431" i="1"/>
  <c r="Z430" i="1"/>
  <c r="Y430" i="1"/>
  <c r="Z429" i="1"/>
  <c r="Y429" i="1"/>
  <c r="Z428" i="1"/>
  <c r="Y428" i="1"/>
  <c r="AA428" i="1" s="1"/>
  <c r="Z427" i="1"/>
  <c r="Y427" i="1"/>
  <c r="AA427" i="1" s="1"/>
  <c r="AB427" i="1" s="1"/>
  <c r="Z426" i="1"/>
  <c r="Y426" i="1"/>
  <c r="Z425" i="1"/>
  <c r="Y425" i="1"/>
  <c r="Z424" i="1"/>
  <c r="Y424" i="1"/>
  <c r="Z423" i="1"/>
  <c r="Y423" i="1"/>
  <c r="AA423" i="1" s="1"/>
  <c r="AB423" i="1" s="1"/>
  <c r="Z422" i="1"/>
  <c r="Y422" i="1"/>
  <c r="Z421" i="1"/>
  <c r="Y421" i="1"/>
  <c r="AA421" i="1" s="1"/>
  <c r="Z420" i="1"/>
  <c r="Y420" i="1"/>
  <c r="Z419" i="1"/>
  <c r="Y419" i="1"/>
  <c r="Z418" i="1"/>
  <c r="Y418" i="1"/>
  <c r="AA418" i="1" s="1"/>
  <c r="AB418" i="1" s="1"/>
  <c r="Z417" i="1"/>
  <c r="Y417" i="1"/>
  <c r="Z416" i="1"/>
  <c r="Y416" i="1"/>
  <c r="Z415" i="1"/>
  <c r="Y415" i="1"/>
  <c r="Z414" i="1"/>
  <c r="Y414" i="1"/>
  <c r="AA414" i="1" s="1"/>
  <c r="Z413" i="1"/>
  <c r="Y413" i="1"/>
  <c r="Z412" i="1"/>
  <c r="Y412" i="1"/>
  <c r="Z411" i="1"/>
  <c r="Y411" i="1"/>
  <c r="Z410" i="1"/>
  <c r="Y410" i="1"/>
  <c r="Z409" i="1"/>
  <c r="Y409" i="1"/>
  <c r="Z408" i="1"/>
  <c r="Y408" i="1"/>
  <c r="AA408" i="1" s="1"/>
  <c r="AB408" i="1" s="1"/>
  <c r="Z407" i="1"/>
  <c r="Y407" i="1"/>
  <c r="Z406" i="1"/>
  <c r="Y406" i="1"/>
  <c r="Z405" i="1"/>
  <c r="Y405" i="1"/>
  <c r="AA405" i="1" s="1"/>
  <c r="Z404" i="1"/>
  <c r="Y404" i="1"/>
  <c r="AA404" i="1" s="1"/>
  <c r="AB404" i="1" s="1"/>
  <c r="Z403" i="1"/>
  <c r="Y403" i="1"/>
  <c r="Z402" i="1"/>
  <c r="Y402" i="1"/>
  <c r="Z401" i="1"/>
  <c r="Y401" i="1"/>
  <c r="AA401" i="1" s="1"/>
  <c r="Z400" i="1"/>
  <c r="Y400" i="1"/>
  <c r="AA400" i="1" s="1"/>
  <c r="AB400" i="1" s="1"/>
  <c r="Z399" i="1"/>
  <c r="Y399" i="1"/>
  <c r="Z398" i="1"/>
  <c r="Y398" i="1"/>
  <c r="Z397" i="1"/>
  <c r="Y397" i="1"/>
  <c r="AA397" i="1" s="1"/>
  <c r="Z396" i="1"/>
  <c r="Y396" i="1"/>
  <c r="Z395" i="1"/>
  <c r="Y395" i="1"/>
  <c r="AA395" i="1" s="1"/>
  <c r="AB395" i="1" s="1"/>
  <c r="Z394" i="1"/>
  <c r="Y394" i="1"/>
  <c r="Z393" i="1"/>
  <c r="Y393" i="1"/>
  <c r="Z392" i="1"/>
  <c r="Y392" i="1"/>
  <c r="AA392" i="1" s="1"/>
  <c r="Z391" i="1"/>
  <c r="Y391" i="1"/>
  <c r="Z390" i="1"/>
  <c r="Y390" i="1"/>
  <c r="AA390" i="1" s="1"/>
  <c r="Z389" i="1"/>
  <c r="Y389" i="1"/>
  <c r="AA389" i="1" s="1"/>
  <c r="Z388" i="1"/>
  <c r="Y388" i="1"/>
  <c r="Z387" i="1"/>
  <c r="Y387" i="1"/>
  <c r="Z386" i="1"/>
  <c r="Y386" i="1"/>
  <c r="Z385" i="1"/>
  <c r="Y385" i="1"/>
  <c r="AA385" i="1" s="1"/>
  <c r="AB385" i="1" s="1"/>
  <c r="Z384" i="1"/>
  <c r="Y384" i="1"/>
  <c r="Z383" i="1"/>
  <c r="Y383" i="1"/>
  <c r="Z382" i="1"/>
  <c r="Y382" i="1"/>
  <c r="Z381" i="1"/>
  <c r="Y381" i="1"/>
  <c r="AA381" i="1" s="1"/>
  <c r="Z380" i="1"/>
  <c r="Y380" i="1"/>
  <c r="AA380" i="1" s="1"/>
  <c r="AB380" i="1" s="1"/>
  <c r="Z379" i="1"/>
  <c r="Y379" i="1"/>
  <c r="Z378" i="1"/>
  <c r="Y378" i="1"/>
  <c r="Z377" i="1"/>
  <c r="Y377" i="1"/>
  <c r="Z376" i="1"/>
  <c r="Y376" i="1"/>
  <c r="Z375" i="1"/>
  <c r="Y375" i="1"/>
  <c r="Z374" i="1"/>
  <c r="Y374" i="1"/>
  <c r="AA374" i="1" s="1"/>
  <c r="Z373" i="1"/>
  <c r="Y373" i="1"/>
  <c r="Z372" i="1"/>
  <c r="Y372" i="1"/>
  <c r="Z371" i="1"/>
  <c r="Y371" i="1"/>
  <c r="Z370" i="1"/>
  <c r="Y370" i="1"/>
  <c r="AA370" i="1" s="1"/>
  <c r="AB370" i="1" s="1"/>
  <c r="Z369" i="1"/>
  <c r="Y369" i="1"/>
  <c r="AA369" i="1" s="1"/>
  <c r="Z368" i="1"/>
  <c r="Y368" i="1"/>
  <c r="Z367" i="1"/>
  <c r="Y367" i="1"/>
  <c r="Z366" i="1"/>
  <c r="Y366" i="1"/>
  <c r="Z365" i="1"/>
  <c r="Y365" i="1"/>
  <c r="AA365" i="1" s="1"/>
  <c r="AB365" i="1" s="1"/>
  <c r="Z364" i="1"/>
  <c r="Y364" i="1"/>
  <c r="Z363" i="1"/>
  <c r="Y363" i="1"/>
  <c r="AA363" i="1" s="1"/>
  <c r="Z362" i="1"/>
  <c r="Y362" i="1"/>
  <c r="AA362" i="1" s="1"/>
  <c r="Z361" i="1"/>
  <c r="Y361" i="1"/>
  <c r="Z360" i="1"/>
  <c r="Y360" i="1"/>
  <c r="AA360" i="1" s="1"/>
  <c r="Z359" i="1"/>
  <c r="Y359" i="1"/>
  <c r="AA359" i="1" s="1"/>
  <c r="AB359" i="1" s="1"/>
  <c r="Z358" i="1"/>
  <c r="Y358" i="1"/>
  <c r="AA358" i="1" s="1"/>
  <c r="Z357" i="1"/>
  <c r="Y357" i="1"/>
  <c r="Z356" i="1"/>
  <c r="Y356" i="1"/>
  <c r="Z355" i="1"/>
  <c r="Y355" i="1"/>
  <c r="Z354" i="1"/>
  <c r="Y354" i="1"/>
  <c r="AA354" i="1" s="1"/>
  <c r="Z353" i="1"/>
  <c r="Y353" i="1"/>
  <c r="Z352" i="1"/>
  <c r="Y352" i="1"/>
  <c r="AA352" i="1" s="1"/>
  <c r="Z351" i="1"/>
  <c r="Y351" i="1"/>
  <c r="Z350" i="1"/>
  <c r="Y350" i="1"/>
  <c r="AA350" i="1" s="1"/>
  <c r="Z349" i="1"/>
  <c r="Y349" i="1"/>
  <c r="AA349" i="1" s="1"/>
  <c r="Z348" i="1"/>
  <c r="Y348" i="1"/>
  <c r="Z347" i="1"/>
  <c r="Y347" i="1"/>
  <c r="Z346" i="1"/>
  <c r="Y346" i="1"/>
  <c r="Z345" i="1"/>
  <c r="Y345" i="1"/>
  <c r="AA345" i="1" s="1"/>
  <c r="Z344" i="1"/>
  <c r="Y344" i="1"/>
  <c r="AA344" i="1" s="1"/>
  <c r="Z343" i="1"/>
  <c r="Y343" i="1"/>
  <c r="AA343" i="1" s="1"/>
  <c r="Z342" i="1"/>
  <c r="Y342" i="1"/>
  <c r="AA342" i="1" s="1"/>
  <c r="Z341" i="1"/>
  <c r="Y341" i="1"/>
  <c r="Z340" i="1"/>
  <c r="Y340" i="1"/>
  <c r="AA340" i="1" s="1"/>
  <c r="Z339" i="1"/>
  <c r="Y339" i="1"/>
  <c r="Z338" i="1"/>
  <c r="Y338" i="1"/>
  <c r="AA338" i="1" s="1"/>
  <c r="Z337" i="1"/>
  <c r="Y337" i="1"/>
  <c r="AA337" i="1" s="1"/>
  <c r="Z336" i="1"/>
  <c r="Y336" i="1"/>
  <c r="Z335" i="1"/>
  <c r="Y335" i="1"/>
  <c r="Z334" i="1"/>
  <c r="Y334" i="1"/>
  <c r="Z333" i="1"/>
  <c r="Y333" i="1"/>
  <c r="AA333" i="1" s="1"/>
  <c r="AB333" i="1" s="1"/>
  <c r="Z332" i="1"/>
  <c r="Y332" i="1"/>
  <c r="AA332" i="1" s="1"/>
  <c r="Z331" i="1"/>
  <c r="Y331" i="1"/>
  <c r="AA331" i="1" s="1"/>
  <c r="AB331" i="1" s="1"/>
  <c r="Z330" i="1"/>
  <c r="Y330" i="1"/>
  <c r="AA330" i="1" s="1"/>
  <c r="Z329" i="1"/>
  <c r="Y329" i="1"/>
  <c r="Z328" i="1"/>
  <c r="Y328" i="1"/>
  <c r="Z327" i="1"/>
  <c r="Y327" i="1"/>
  <c r="AA327" i="1" s="1"/>
  <c r="Z326" i="1"/>
  <c r="Y326" i="1"/>
  <c r="AA326" i="1" s="1"/>
  <c r="AB326" i="1" s="1"/>
  <c r="Z325" i="1"/>
  <c r="Y325" i="1"/>
  <c r="AA325" i="1" s="1"/>
  <c r="Z324" i="1"/>
  <c r="Y324" i="1"/>
  <c r="Z323" i="1"/>
  <c r="Y323" i="1"/>
  <c r="Z322" i="1"/>
  <c r="Y322" i="1"/>
  <c r="Z321" i="1"/>
  <c r="Y321" i="1"/>
  <c r="Z320" i="1"/>
  <c r="Y320" i="1"/>
  <c r="Z319" i="1"/>
  <c r="Y319" i="1"/>
  <c r="Z318" i="1"/>
  <c r="Y318" i="1"/>
  <c r="AA318" i="1" s="1"/>
  <c r="Z317" i="1"/>
  <c r="Y317" i="1"/>
  <c r="Z316" i="1"/>
  <c r="Y316" i="1"/>
  <c r="AA316" i="1" s="1"/>
  <c r="AB316" i="1" s="1"/>
  <c r="Z315" i="1"/>
  <c r="Y315" i="1"/>
  <c r="AA315" i="1" s="1"/>
  <c r="Z314" i="1"/>
  <c r="Y314" i="1"/>
  <c r="AA314" i="1" s="1"/>
  <c r="Z313" i="1"/>
  <c r="Y313" i="1"/>
  <c r="AA313" i="1" s="1"/>
  <c r="AB313" i="1" s="1"/>
  <c r="Z312" i="1"/>
  <c r="Y312" i="1"/>
  <c r="Z311" i="1"/>
  <c r="Y311" i="1"/>
  <c r="Z310" i="1"/>
  <c r="Y310" i="1"/>
  <c r="AA310" i="1" s="1"/>
  <c r="Z309" i="1"/>
  <c r="Y309" i="1"/>
  <c r="Z308" i="1"/>
  <c r="Y308" i="1"/>
  <c r="Z307" i="1"/>
  <c r="Y307" i="1"/>
  <c r="Z306" i="1"/>
  <c r="Y306" i="1"/>
  <c r="Z305" i="1"/>
  <c r="Y305" i="1"/>
  <c r="AA305" i="1" s="1"/>
  <c r="Z304" i="1"/>
  <c r="Y304" i="1"/>
  <c r="Z303" i="1"/>
  <c r="Y303" i="1"/>
  <c r="AA303" i="1" s="1"/>
  <c r="AB303" i="1" s="1"/>
  <c r="Z302" i="1"/>
  <c r="Y302" i="1"/>
  <c r="Z301" i="1"/>
  <c r="Y301" i="1"/>
  <c r="Z300" i="1"/>
  <c r="Y300" i="1"/>
  <c r="Z299" i="1"/>
  <c r="Y299" i="1"/>
  <c r="Z298" i="1"/>
  <c r="Y298" i="1"/>
  <c r="AA298" i="1" s="1"/>
  <c r="Z297" i="1"/>
  <c r="Y297" i="1"/>
  <c r="Z296" i="1"/>
  <c r="Y296" i="1"/>
  <c r="Z295" i="1"/>
  <c r="Y295" i="1"/>
  <c r="Z294" i="1"/>
  <c r="Y294" i="1"/>
  <c r="Z293" i="1"/>
  <c r="Y293" i="1"/>
  <c r="Z292" i="1"/>
  <c r="Y292" i="1"/>
  <c r="Z291" i="1"/>
  <c r="Y291" i="1"/>
  <c r="Z290" i="1"/>
  <c r="Y290" i="1"/>
  <c r="Z289" i="1"/>
  <c r="Y289" i="1"/>
  <c r="Z288" i="1"/>
  <c r="Y288" i="1"/>
  <c r="AA288" i="1" s="1"/>
  <c r="AB288" i="1" s="1"/>
  <c r="Z287" i="1"/>
  <c r="Y287" i="1"/>
  <c r="Z286" i="1"/>
  <c r="Y286" i="1"/>
  <c r="AA286" i="1" s="1"/>
  <c r="Z285" i="1"/>
  <c r="Y285" i="1"/>
  <c r="AA285" i="1" s="1"/>
  <c r="Z284" i="1"/>
  <c r="Y284" i="1"/>
  <c r="Z283" i="1"/>
  <c r="Y283" i="1"/>
  <c r="Z282" i="1"/>
  <c r="Y282" i="1"/>
  <c r="Z281" i="1"/>
  <c r="Y281" i="1"/>
  <c r="Z280" i="1"/>
  <c r="Y280" i="1"/>
  <c r="AA280" i="1" s="1"/>
  <c r="AB280" i="1" s="1"/>
  <c r="Z279" i="1"/>
  <c r="Y279" i="1"/>
  <c r="Z278" i="1"/>
  <c r="Y278" i="1"/>
  <c r="Z277" i="1"/>
  <c r="Y277" i="1"/>
  <c r="AA277" i="1" s="1"/>
  <c r="AB277" i="1" s="1"/>
  <c r="Z276" i="1"/>
  <c r="Y276" i="1"/>
  <c r="Z275" i="1"/>
  <c r="Y275" i="1"/>
  <c r="Z274" i="1"/>
  <c r="Y274" i="1"/>
  <c r="Z273" i="1"/>
  <c r="Y273" i="1"/>
  <c r="AA273" i="1" s="1"/>
  <c r="Z272" i="1"/>
  <c r="Y272" i="1"/>
  <c r="AA272" i="1" s="1"/>
  <c r="AB272" i="1" s="1"/>
  <c r="Z271" i="1"/>
  <c r="Y271" i="1"/>
  <c r="Z270" i="1"/>
  <c r="Y270" i="1"/>
  <c r="Z269" i="1"/>
  <c r="Y269" i="1"/>
  <c r="Z268" i="1"/>
  <c r="Y268" i="1"/>
  <c r="AA268" i="1" s="1"/>
  <c r="AB268" i="1" s="1"/>
  <c r="Z267" i="1"/>
  <c r="Y267" i="1"/>
  <c r="AA267" i="1" s="1"/>
  <c r="AB267" i="1" s="1"/>
  <c r="Z266" i="1"/>
  <c r="Y266" i="1"/>
  <c r="AA266" i="1" s="1"/>
  <c r="Z265" i="1"/>
  <c r="Y265" i="1"/>
  <c r="AA265" i="1" s="1"/>
  <c r="AB265" i="1" s="1"/>
  <c r="Z264" i="1"/>
  <c r="Y264" i="1"/>
  <c r="Z263" i="1"/>
  <c r="Y263" i="1"/>
  <c r="Z262" i="1"/>
  <c r="Y262" i="1"/>
  <c r="Z261" i="1"/>
  <c r="Y261" i="1"/>
  <c r="AA261" i="1" s="1"/>
  <c r="AB261" i="1" s="1"/>
  <c r="Z260" i="1"/>
  <c r="Y260" i="1"/>
  <c r="Z259" i="1"/>
  <c r="Y259" i="1"/>
  <c r="Z258" i="1"/>
  <c r="Y258" i="1"/>
  <c r="AA258" i="1" s="1"/>
  <c r="Z257" i="1"/>
  <c r="Y257" i="1"/>
  <c r="Z256" i="1"/>
  <c r="Y256" i="1"/>
  <c r="Z255" i="1"/>
  <c r="Y255" i="1"/>
  <c r="Z254" i="1"/>
  <c r="Y254" i="1"/>
  <c r="Z253" i="1"/>
  <c r="Y253" i="1"/>
  <c r="Z252" i="1"/>
  <c r="Y252" i="1"/>
  <c r="Z251" i="1"/>
  <c r="Y251" i="1"/>
  <c r="AA251" i="1" s="1"/>
  <c r="Z250" i="1"/>
  <c r="Y250" i="1"/>
  <c r="Z249" i="1"/>
  <c r="Y249" i="1"/>
  <c r="Z248" i="1"/>
  <c r="Y248" i="1"/>
  <c r="Z247" i="1"/>
  <c r="Y247" i="1"/>
  <c r="Z246" i="1"/>
  <c r="Y246" i="1"/>
  <c r="Z245" i="1"/>
  <c r="Y245" i="1"/>
  <c r="Z244" i="1"/>
  <c r="Y244" i="1"/>
  <c r="AA244" i="1" s="1"/>
  <c r="Z243" i="1"/>
  <c r="Y243" i="1"/>
  <c r="Z242" i="1"/>
  <c r="Y242" i="1"/>
  <c r="Z241" i="1"/>
  <c r="Y241" i="1"/>
  <c r="AA241" i="1" s="1"/>
  <c r="Z240" i="1"/>
  <c r="Y240" i="1"/>
  <c r="Z239" i="1"/>
  <c r="Y239" i="1"/>
  <c r="Z238" i="1"/>
  <c r="Y238" i="1"/>
  <c r="AA238" i="1" s="1"/>
  <c r="Z237" i="1"/>
  <c r="Y237" i="1"/>
  <c r="AA237" i="1" s="1"/>
  <c r="Z236" i="1"/>
  <c r="Y236" i="1"/>
  <c r="Z235" i="1"/>
  <c r="Y235" i="1"/>
  <c r="Z234" i="1"/>
  <c r="Y234" i="1"/>
  <c r="Z233" i="1"/>
  <c r="Y233" i="1"/>
  <c r="Z232" i="1"/>
  <c r="Y232" i="1"/>
  <c r="Z231" i="1"/>
  <c r="Y231" i="1"/>
  <c r="Z230" i="1"/>
  <c r="Y230" i="1"/>
  <c r="AA230" i="1" s="1"/>
  <c r="Z229" i="1"/>
  <c r="Y229" i="1"/>
  <c r="Z228" i="1"/>
  <c r="Y228" i="1"/>
  <c r="Z227" i="1"/>
  <c r="Y227" i="1"/>
  <c r="Z226" i="1"/>
  <c r="Y226" i="1"/>
  <c r="AA226" i="1" s="1"/>
  <c r="Z225" i="1"/>
  <c r="Y225" i="1"/>
  <c r="Z224" i="1"/>
  <c r="Y224" i="1"/>
  <c r="Z223" i="1"/>
  <c r="Y223" i="1"/>
  <c r="AA223" i="1" s="1"/>
  <c r="Z222" i="1"/>
  <c r="Y222" i="1"/>
  <c r="Z221" i="1"/>
  <c r="Y221" i="1"/>
  <c r="Z220" i="1"/>
  <c r="Y220" i="1"/>
  <c r="Z219" i="1"/>
  <c r="Y219" i="1"/>
  <c r="AA219" i="1" s="1"/>
  <c r="Z218" i="1"/>
  <c r="Y218" i="1"/>
  <c r="Z217" i="1"/>
  <c r="Y217" i="1"/>
  <c r="AA217" i="1" s="1"/>
  <c r="Z216" i="1"/>
  <c r="Y216" i="1"/>
  <c r="AA216" i="1" s="1"/>
  <c r="Z215" i="1"/>
  <c r="Y215" i="1"/>
  <c r="AA215" i="1" s="1"/>
  <c r="Z214" i="1"/>
  <c r="Y214" i="1"/>
  <c r="Z213" i="1"/>
  <c r="Y213" i="1"/>
  <c r="Z212" i="1"/>
  <c r="Y212" i="1"/>
  <c r="AA212" i="1" s="1"/>
  <c r="Z211" i="1"/>
  <c r="Y211" i="1"/>
  <c r="Z210" i="1"/>
  <c r="Y210" i="1"/>
  <c r="Z209" i="1"/>
  <c r="Y209" i="1"/>
  <c r="AA209" i="1" s="1"/>
  <c r="AB209" i="1" s="1"/>
  <c r="Z208" i="1"/>
  <c r="Y208" i="1"/>
  <c r="Z207" i="1"/>
  <c r="Y207" i="1"/>
  <c r="Z206" i="1"/>
  <c r="Y206" i="1"/>
  <c r="Z205" i="1"/>
  <c r="Y205" i="1"/>
  <c r="AA205" i="1" s="1"/>
  <c r="AB205" i="1" s="1"/>
  <c r="Z204" i="1"/>
  <c r="Y204" i="1"/>
  <c r="Z203" i="1"/>
  <c r="Y203" i="1"/>
  <c r="Z202" i="1"/>
  <c r="Y202" i="1"/>
  <c r="Z201" i="1"/>
  <c r="Y201" i="1"/>
  <c r="AA201" i="1" s="1"/>
  <c r="AB201" i="1" s="1"/>
  <c r="Z200" i="1"/>
  <c r="Y200" i="1"/>
  <c r="Z199" i="1"/>
  <c r="Y199" i="1"/>
  <c r="Z198" i="1"/>
  <c r="Y198" i="1"/>
  <c r="AA198" i="1" s="1"/>
  <c r="AB198" i="1" s="1"/>
  <c r="Z197" i="1"/>
  <c r="Y197" i="1"/>
  <c r="Z196" i="1"/>
  <c r="Y196" i="1"/>
  <c r="AA196" i="1" s="1"/>
  <c r="Z195" i="1"/>
  <c r="Y195" i="1"/>
  <c r="Z194" i="1"/>
  <c r="Y194" i="1"/>
  <c r="Z193" i="1"/>
  <c r="Y193" i="1"/>
  <c r="Z192" i="1"/>
  <c r="Y192" i="1"/>
  <c r="Z191" i="1"/>
  <c r="Y191" i="1"/>
  <c r="AA191" i="1" s="1"/>
  <c r="Z190" i="1"/>
  <c r="Y190" i="1"/>
  <c r="Z189" i="1"/>
  <c r="Y189" i="1"/>
  <c r="Z188" i="1"/>
  <c r="Y188" i="1"/>
  <c r="Z187" i="1"/>
  <c r="Y187" i="1"/>
  <c r="AA187" i="1" s="1"/>
  <c r="Z186" i="1"/>
  <c r="Y186" i="1"/>
  <c r="Z185" i="1"/>
  <c r="Y185" i="1"/>
  <c r="Z184" i="1"/>
  <c r="Y184" i="1"/>
  <c r="AA184" i="1" s="1"/>
  <c r="Z183" i="1"/>
  <c r="Y183" i="1"/>
  <c r="AA183" i="1" s="1"/>
  <c r="AB183" i="1" s="1"/>
  <c r="Z182" i="1"/>
  <c r="Y182" i="1"/>
  <c r="Z181" i="1"/>
  <c r="Y181" i="1"/>
  <c r="Z180" i="1"/>
  <c r="Y180" i="1"/>
  <c r="AA180" i="1" s="1"/>
  <c r="Z179" i="1"/>
  <c r="Y179" i="1"/>
  <c r="Z178" i="1"/>
  <c r="Y178" i="1"/>
  <c r="Z177" i="1"/>
  <c r="Y177" i="1"/>
  <c r="Z176" i="1"/>
  <c r="Y176" i="1"/>
  <c r="Z175" i="1"/>
  <c r="Y175" i="1"/>
  <c r="AA175" i="1" s="1"/>
  <c r="Z174" i="1"/>
  <c r="Y174" i="1"/>
  <c r="AA174" i="1" s="1"/>
  <c r="AB174" i="1" s="1"/>
  <c r="AC174" i="1" s="1"/>
  <c r="Z173" i="1"/>
  <c r="Y173" i="1"/>
  <c r="AA173" i="1" s="1"/>
  <c r="Z172" i="1"/>
  <c r="Y172" i="1"/>
  <c r="Z171" i="1"/>
  <c r="Y171" i="1"/>
  <c r="Z170" i="1"/>
  <c r="Y170" i="1"/>
  <c r="Z169" i="1"/>
  <c r="Y169" i="1"/>
  <c r="AA169" i="1" s="1"/>
  <c r="Z168" i="1"/>
  <c r="Y168" i="1"/>
  <c r="Z167" i="1"/>
  <c r="Y167" i="1"/>
  <c r="Z166" i="1"/>
  <c r="Y166" i="1"/>
  <c r="AA166" i="1" s="1"/>
  <c r="Z165" i="1"/>
  <c r="Y165" i="1"/>
  <c r="Z164" i="1"/>
  <c r="Y164" i="1"/>
  <c r="AA164" i="1" s="1"/>
  <c r="Z163" i="1"/>
  <c r="Y163" i="1"/>
  <c r="Z162" i="1"/>
  <c r="Y162" i="1"/>
  <c r="AA162" i="1" s="1"/>
  <c r="Z161" i="1"/>
  <c r="Y161" i="1"/>
  <c r="AA161" i="1" s="1"/>
  <c r="Z160" i="1"/>
  <c r="Y160" i="1"/>
  <c r="Z159" i="1"/>
  <c r="Y159" i="1"/>
  <c r="AA159" i="1" s="1"/>
  <c r="Z158" i="1"/>
  <c r="Y158" i="1"/>
  <c r="Z157" i="1"/>
  <c r="Y157" i="1"/>
  <c r="Z156" i="1"/>
  <c r="Y156" i="1"/>
  <c r="Z155" i="1"/>
  <c r="Y155" i="1"/>
  <c r="AA155" i="1" s="1"/>
  <c r="Z154" i="1"/>
  <c r="Y154" i="1"/>
  <c r="Z153" i="1"/>
  <c r="Y153" i="1"/>
  <c r="Z152" i="1"/>
  <c r="Y152" i="1"/>
  <c r="AA152" i="1" s="1"/>
  <c r="Z151" i="1"/>
  <c r="Y151" i="1"/>
  <c r="AA151" i="1" s="1"/>
  <c r="Z150" i="1"/>
  <c r="Y150" i="1"/>
  <c r="AA150" i="1" s="1"/>
  <c r="Z149" i="1"/>
  <c r="Y149" i="1"/>
  <c r="AA149" i="1" s="1"/>
  <c r="AB149" i="1" s="1"/>
  <c r="Z148" i="1"/>
  <c r="Y148" i="1"/>
  <c r="AA148" i="1" s="1"/>
  <c r="Z147" i="1"/>
  <c r="Y147" i="1"/>
  <c r="Z146" i="1"/>
  <c r="Y146" i="1"/>
  <c r="Z145" i="1"/>
  <c r="Y145" i="1"/>
  <c r="AA145" i="1" s="1"/>
  <c r="Z144" i="1"/>
  <c r="Y144" i="1"/>
  <c r="Z143" i="1"/>
  <c r="Y143" i="1"/>
  <c r="Z142" i="1"/>
  <c r="Y142" i="1"/>
  <c r="Z141" i="1"/>
  <c r="Y141" i="1"/>
  <c r="AA141" i="1" s="1"/>
  <c r="Z140" i="1"/>
  <c r="Y140" i="1"/>
  <c r="Z139" i="1"/>
  <c r="Y139" i="1"/>
  <c r="Z138" i="1"/>
  <c r="Y138" i="1"/>
  <c r="Z137" i="1"/>
  <c r="Y137" i="1"/>
  <c r="Z136" i="1"/>
  <c r="Y136" i="1"/>
  <c r="Z135" i="1"/>
  <c r="Y135" i="1"/>
  <c r="Z134" i="1"/>
  <c r="Y134" i="1"/>
  <c r="Z133" i="1"/>
  <c r="Y133" i="1"/>
  <c r="AA133" i="1" s="1"/>
  <c r="Z132" i="1"/>
  <c r="Y132" i="1"/>
  <c r="AA132" i="1" s="1"/>
  <c r="Z131" i="1"/>
  <c r="Y131" i="1"/>
  <c r="Z130" i="1"/>
  <c r="Y130" i="1"/>
  <c r="Z129" i="1"/>
  <c r="Y129" i="1"/>
  <c r="Z128" i="1"/>
  <c r="Y128" i="1"/>
  <c r="Z127" i="1"/>
  <c r="Y127" i="1"/>
  <c r="Z126" i="1"/>
  <c r="Y126" i="1"/>
  <c r="Z125" i="1"/>
  <c r="Y125" i="1"/>
  <c r="AA125" i="1" s="1"/>
  <c r="Z124" i="1"/>
  <c r="Y124" i="1"/>
  <c r="AA124" i="1" s="1"/>
  <c r="Z123" i="1"/>
  <c r="Y123" i="1"/>
  <c r="Z122" i="1"/>
  <c r="Y122" i="1"/>
  <c r="Z121" i="1"/>
  <c r="Y121" i="1"/>
  <c r="AA121" i="1" s="1"/>
  <c r="AB121" i="1" s="1"/>
  <c r="Z120" i="1"/>
  <c r="Y120" i="1"/>
  <c r="AA120" i="1" s="1"/>
  <c r="AB120" i="1" s="1"/>
  <c r="Z119" i="1"/>
  <c r="Y119" i="1"/>
  <c r="AA119" i="1" s="1"/>
  <c r="Z118" i="1"/>
  <c r="Y118" i="1"/>
  <c r="Z117" i="1"/>
  <c r="Y117" i="1"/>
  <c r="AA117" i="1" s="1"/>
  <c r="Z116" i="1"/>
  <c r="Y116" i="1"/>
  <c r="Z115" i="1"/>
  <c r="Y115" i="1"/>
  <c r="AA115" i="1" s="1"/>
  <c r="Z114" i="1"/>
  <c r="Y114" i="1"/>
  <c r="AA114" i="1" s="1"/>
  <c r="AB114" i="1" s="1"/>
  <c r="Z113" i="1"/>
  <c r="Y113" i="1"/>
  <c r="AA113" i="1" s="1"/>
  <c r="AB113" i="1" s="1"/>
  <c r="Z112" i="1"/>
  <c r="Y112" i="1"/>
  <c r="Z111" i="1"/>
  <c r="Y111" i="1"/>
  <c r="AA111" i="1" s="1"/>
  <c r="Z110" i="1"/>
  <c r="Y110" i="1"/>
  <c r="AA110" i="1" s="1"/>
  <c r="Z109" i="1"/>
  <c r="Y109" i="1"/>
  <c r="Z108" i="1"/>
  <c r="Y108" i="1"/>
  <c r="AA108" i="1" s="1"/>
  <c r="Z107" i="1"/>
  <c r="Y107" i="1"/>
  <c r="AA107" i="1" s="1"/>
  <c r="AB107" i="1" s="1"/>
  <c r="Z106" i="1"/>
  <c r="Y106" i="1"/>
  <c r="Z105" i="1"/>
  <c r="Y105" i="1"/>
  <c r="Z104" i="1"/>
  <c r="Y104" i="1"/>
  <c r="Z103" i="1"/>
  <c r="Y103" i="1"/>
  <c r="AA103" i="1" s="1"/>
  <c r="Z102" i="1"/>
  <c r="Y102" i="1"/>
  <c r="Z101" i="1"/>
  <c r="Y101" i="1"/>
  <c r="AA101" i="1" s="1"/>
  <c r="Z100" i="1"/>
  <c r="Y100" i="1"/>
  <c r="AA100" i="1" s="1"/>
  <c r="AB100" i="1" s="1"/>
  <c r="Z99" i="1"/>
  <c r="Y99" i="1"/>
  <c r="Z98" i="1"/>
  <c r="Y98" i="1"/>
  <c r="Z97" i="1"/>
  <c r="Y97" i="1"/>
  <c r="Z96" i="1"/>
  <c r="Y96" i="1"/>
  <c r="AA96" i="1" s="1"/>
  <c r="Z95" i="1"/>
  <c r="Y95" i="1"/>
  <c r="Z94" i="1"/>
  <c r="Y94" i="1"/>
  <c r="Z93" i="1"/>
  <c r="Y93" i="1"/>
  <c r="Z92" i="1"/>
  <c r="Y92" i="1"/>
  <c r="Z91" i="1"/>
  <c r="Y91" i="1"/>
  <c r="Z90" i="1"/>
  <c r="Y90" i="1"/>
  <c r="AA90" i="1" s="1"/>
  <c r="Z89" i="1"/>
  <c r="Y89" i="1"/>
  <c r="AA89" i="1" s="1"/>
  <c r="Z88" i="1"/>
  <c r="Y88" i="1"/>
  <c r="Z87" i="1"/>
  <c r="Y87" i="1"/>
  <c r="AA87" i="1" s="1"/>
  <c r="AB87" i="1" s="1"/>
  <c r="Z86" i="1"/>
  <c r="Y86" i="1"/>
  <c r="Z85" i="1"/>
  <c r="Y85" i="1"/>
  <c r="Z84" i="1"/>
  <c r="Y84" i="1"/>
  <c r="Z83" i="1"/>
  <c r="Y83" i="1"/>
  <c r="Z82" i="1"/>
  <c r="Y82" i="1"/>
  <c r="AA82" i="1" s="1"/>
  <c r="Z81" i="1"/>
  <c r="Y81" i="1"/>
  <c r="Z80" i="1"/>
  <c r="Y80" i="1"/>
  <c r="Z79" i="1"/>
  <c r="Y79" i="1"/>
  <c r="Z78" i="1"/>
  <c r="Y78" i="1"/>
  <c r="AA78" i="1" s="1"/>
  <c r="Z77" i="1"/>
  <c r="Y77" i="1"/>
  <c r="Z76" i="1"/>
  <c r="Y76" i="1"/>
  <c r="AA76" i="1" s="1"/>
  <c r="AB76" i="1" s="1"/>
  <c r="Z75" i="1"/>
  <c r="Y75" i="1"/>
  <c r="AA75" i="1" s="1"/>
  <c r="AB75" i="1" s="1"/>
  <c r="AC75" i="1" s="1"/>
  <c r="Z74" i="1"/>
  <c r="Y74" i="1"/>
  <c r="Z73" i="1"/>
  <c r="Y73" i="1"/>
  <c r="Z72" i="1"/>
  <c r="Y72" i="1"/>
  <c r="Z71" i="1"/>
  <c r="Y71" i="1"/>
  <c r="Z70" i="1"/>
  <c r="Y70" i="1"/>
  <c r="Z69" i="1"/>
  <c r="Y69" i="1"/>
  <c r="Z68" i="1"/>
  <c r="Y68" i="1"/>
  <c r="Z67" i="1"/>
  <c r="Y67" i="1"/>
  <c r="Z66" i="1"/>
  <c r="Y66" i="1"/>
  <c r="Z65" i="1"/>
  <c r="Y65" i="1"/>
  <c r="Z64" i="1"/>
  <c r="Y64" i="1"/>
  <c r="AA64" i="1" s="1"/>
  <c r="Z63" i="1"/>
  <c r="Y63" i="1"/>
  <c r="Z62" i="1"/>
  <c r="Y62" i="1"/>
  <c r="Z61" i="1"/>
  <c r="Y61" i="1"/>
  <c r="Z60" i="1"/>
  <c r="Y60" i="1"/>
  <c r="Z59" i="1"/>
  <c r="Y59" i="1"/>
  <c r="Z58" i="1"/>
  <c r="Y58" i="1"/>
  <c r="Z57" i="1"/>
  <c r="Y57" i="1"/>
  <c r="AA57" i="1" s="1"/>
  <c r="Z56" i="1"/>
  <c r="Y56" i="1"/>
  <c r="Z55" i="1"/>
  <c r="Y55" i="1"/>
  <c r="AA55" i="1" s="1"/>
  <c r="Z54" i="1"/>
  <c r="Y54" i="1"/>
  <c r="Z53" i="1"/>
  <c r="Y53" i="1"/>
  <c r="AA53" i="1" s="1"/>
  <c r="Z52" i="1"/>
  <c r="Y52" i="1"/>
  <c r="Z51" i="1"/>
  <c r="Y51" i="1"/>
  <c r="Z50" i="1"/>
  <c r="Y50" i="1"/>
  <c r="AA50" i="1" s="1"/>
  <c r="Z49" i="1"/>
  <c r="Y49" i="1"/>
  <c r="Z48" i="1"/>
  <c r="Y48" i="1"/>
  <c r="Z47" i="1"/>
  <c r="Y47" i="1"/>
  <c r="Z46" i="1"/>
  <c r="Y46" i="1"/>
  <c r="AA46" i="1" s="1"/>
  <c r="Z45" i="1"/>
  <c r="Y45" i="1"/>
  <c r="Z44" i="1"/>
  <c r="Y44" i="1"/>
  <c r="Z43" i="1"/>
  <c r="Y43" i="1"/>
  <c r="AA43" i="1" s="1"/>
  <c r="Z42" i="1"/>
  <c r="Y42" i="1"/>
  <c r="Z41" i="1"/>
  <c r="Y41" i="1"/>
  <c r="AA41" i="1" s="1"/>
  <c r="Z40" i="1"/>
  <c r="Y40" i="1"/>
  <c r="Z39" i="1"/>
  <c r="Y39" i="1"/>
  <c r="AA39" i="1" s="1"/>
  <c r="AB39" i="1" s="1"/>
  <c r="Z38" i="1"/>
  <c r="Y38" i="1"/>
  <c r="Z37" i="1"/>
  <c r="Y37" i="1"/>
  <c r="Z36" i="1"/>
  <c r="Y36" i="1"/>
  <c r="Z35" i="1"/>
  <c r="Y35" i="1"/>
  <c r="Z34" i="1"/>
  <c r="Y34" i="1"/>
  <c r="Z33" i="1"/>
  <c r="Y33" i="1"/>
  <c r="AA33" i="1" s="1"/>
  <c r="AB33" i="1" s="1"/>
  <c r="Z32" i="1"/>
  <c r="Y32" i="1"/>
  <c r="AA32" i="1" s="1"/>
  <c r="AB32" i="1" s="1"/>
  <c r="Z31" i="1"/>
  <c r="Y31" i="1"/>
  <c r="Z30" i="1"/>
  <c r="Y30" i="1"/>
  <c r="Z29" i="1"/>
  <c r="Y29" i="1"/>
  <c r="Z28" i="1"/>
  <c r="Y28" i="1"/>
  <c r="Z27" i="1"/>
  <c r="Y27" i="1"/>
  <c r="Z26" i="1"/>
  <c r="Y26" i="1"/>
  <c r="Z25" i="1"/>
  <c r="Y25" i="1"/>
  <c r="AA25" i="1" s="1"/>
  <c r="Z24" i="1"/>
  <c r="Y24" i="1"/>
  <c r="Z23" i="1"/>
  <c r="Y23" i="1"/>
  <c r="AA23" i="1" s="1"/>
  <c r="Z22" i="1"/>
  <c r="Y22" i="1"/>
  <c r="AA22" i="1" s="1"/>
  <c r="Z21" i="1"/>
  <c r="Y21" i="1"/>
  <c r="Z20" i="1"/>
  <c r="Y20" i="1"/>
  <c r="Z19" i="1"/>
  <c r="Y19" i="1"/>
  <c r="AA19" i="1" s="1"/>
  <c r="AB19" i="1" s="1"/>
  <c r="Z18" i="1"/>
  <c r="Y18" i="1"/>
  <c r="AA18" i="1" s="1"/>
  <c r="Z17" i="1"/>
  <c r="Y17" i="1"/>
  <c r="Z16" i="1"/>
  <c r="Y16" i="1"/>
  <c r="Z15" i="1"/>
  <c r="Y15" i="1"/>
  <c r="AA15" i="1" s="1"/>
  <c r="AB15" i="1" s="1"/>
  <c r="Z14" i="1"/>
  <c r="Y14" i="1"/>
  <c r="AA14" i="1" s="1"/>
  <c r="Z13" i="1"/>
  <c r="Y13" i="1"/>
  <c r="Z12" i="1"/>
  <c r="Y12" i="1"/>
  <c r="AA12" i="1" s="1"/>
  <c r="Z11" i="1"/>
  <c r="Y11" i="1"/>
  <c r="AA11" i="1" s="1"/>
  <c r="Z10" i="1"/>
  <c r="Y10" i="1"/>
  <c r="Z9" i="1"/>
  <c r="Y9" i="1"/>
  <c r="AA9" i="1" s="1"/>
  <c r="AB9" i="1" s="1"/>
  <c r="Z8" i="1"/>
  <c r="Y8" i="1"/>
  <c r="AA8" i="1" s="1"/>
  <c r="AB8" i="1" s="1"/>
  <c r="Z7" i="1"/>
  <c r="Y7" i="1"/>
  <c r="Z6" i="1"/>
  <c r="Y6" i="1"/>
  <c r="AA6" i="1" s="1"/>
  <c r="Z5" i="1"/>
  <c r="Y5" i="1"/>
  <c r="Z4" i="1"/>
  <c r="Y4" i="1"/>
  <c r="AA4" i="1" s="1"/>
  <c r="Z3" i="1"/>
  <c r="Y3" i="1"/>
  <c r="Z2" i="1"/>
  <c r="Y2" i="1"/>
  <c r="AA2" i="1" s="1"/>
  <c r="AC277" i="1" l="1"/>
  <c r="AC2456" i="1"/>
  <c r="AC2665" i="1"/>
  <c r="AC1255" i="1"/>
  <c r="AC1592" i="1"/>
  <c r="AC1579" i="1"/>
  <c r="AC1133" i="1"/>
  <c r="AC835" i="1"/>
  <c r="AC1972" i="1"/>
  <c r="AC1479" i="1"/>
  <c r="AC2169" i="1"/>
  <c r="AC1921" i="1"/>
  <c r="AC87" i="1"/>
  <c r="AC183" i="1"/>
  <c r="AC359" i="1"/>
  <c r="AC2293" i="1"/>
  <c r="AC926" i="1"/>
  <c r="AC1625" i="1"/>
  <c r="AB2631" i="1"/>
  <c r="AC1697" i="1"/>
  <c r="AC941" i="1"/>
  <c r="AC1799" i="1"/>
  <c r="AC1175" i="1"/>
  <c r="AC1869" i="1"/>
  <c r="AC2059" i="1"/>
  <c r="AC874" i="1"/>
  <c r="AC2442" i="1"/>
  <c r="AC2888" i="1"/>
  <c r="AC1966" i="1"/>
  <c r="AC2443" i="1"/>
  <c r="AC1290" i="1"/>
  <c r="AC2699" i="1"/>
  <c r="AA262" i="1"/>
  <c r="AB262" i="1" s="1"/>
  <c r="AC262" i="1" s="1"/>
  <c r="AC721" i="1"/>
  <c r="AC1717" i="1"/>
  <c r="AC485" i="1"/>
  <c r="AB2686" i="1"/>
  <c r="AC2686" i="1" s="1"/>
  <c r="AC107" i="1"/>
  <c r="AB266" i="1"/>
  <c r="AC266" i="1" s="1"/>
  <c r="AB1723" i="1"/>
  <c r="AC1723" i="1" s="1"/>
  <c r="AB2070" i="1"/>
  <c r="AC2070" i="1" s="1"/>
  <c r="AC715" i="1"/>
  <c r="AC1899" i="1"/>
  <c r="AC2041" i="1"/>
  <c r="AC1079" i="1"/>
  <c r="AC1111" i="1"/>
  <c r="AC2232" i="1"/>
  <c r="AC2520" i="1"/>
  <c r="AB899" i="1"/>
  <c r="AC899" i="1" s="1"/>
  <c r="AC619" i="1"/>
  <c r="AC917" i="1"/>
  <c r="AC1859" i="1"/>
  <c r="AB1934" i="1"/>
  <c r="AC1934" i="1" s="1"/>
  <c r="AC2763" i="1"/>
  <c r="AB397" i="1"/>
  <c r="AC397" i="1" s="1"/>
  <c r="AC1161" i="1"/>
  <c r="AC2239" i="1"/>
  <c r="AB298" i="1"/>
  <c r="AA848" i="1"/>
  <c r="AA994" i="1"/>
  <c r="AB994" i="1" s="1"/>
  <c r="AC994" i="1" s="1"/>
  <c r="AA1294" i="1"/>
  <c r="AB1294" i="1" s="1"/>
  <c r="AC1294" i="1" s="1"/>
  <c r="AA1322" i="1"/>
  <c r="AB1322" i="1" s="1"/>
  <c r="AC1322" i="1" s="1"/>
  <c r="AA1997" i="1"/>
  <c r="AB1997" i="1" s="1"/>
  <c r="AC385" i="1"/>
  <c r="AA255" i="1"/>
  <c r="AB255" i="1" s="1"/>
  <c r="AC255" i="1" s="1"/>
  <c r="AB82" i="1"/>
  <c r="AC82" i="1" s="1"/>
  <c r="AC877" i="1"/>
  <c r="AA1192" i="1"/>
  <c r="AB1192" i="1" s="1"/>
  <c r="AC1192" i="1" s="1"/>
  <c r="AC1206" i="1"/>
  <c r="AC2226" i="1"/>
  <c r="AC2735" i="1"/>
  <c r="AC836" i="1"/>
  <c r="AB1578" i="1"/>
  <c r="AC1578" i="1" s="1"/>
  <c r="AA1711" i="1"/>
  <c r="AB1711" i="1" s="1"/>
  <c r="AC1711" i="1" s="1"/>
  <c r="AC2458" i="1"/>
  <c r="AC2598" i="1"/>
  <c r="AB315" i="1"/>
  <c r="AC315" i="1" s="1"/>
  <c r="AC745" i="1"/>
  <c r="AA1337" i="1"/>
  <c r="AB1337" i="1" s="1"/>
  <c r="AC1337" i="1" s="1"/>
  <c r="AA1832" i="1"/>
  <c r="AC2090" i="1"/>
  <c r="AA329" i="1"/>
  <c r="AB329" i="1" s="1"/>
  <c r="AB1164" i="1"/>
  <c r="AC1164" i="1" s="1"/>
  <c r="AA1352" i="1"/>
  <c r="AB1352" i="1" s="1"/>
  <c r="AC1352" i="1" s="1"/>
  <c r="AC2396" i="1"/>
  <c r="AA2489" i="1"/>
  <c r="AC198" i="1"/>
  <c r="AA1283" i="1"/>
  <c r="AB1283" i="1" s="1"/>
  <c r="AC1283" i="1" s="1"/>
  <c r="AA2288" i="1"/>
  <c r="AA2121" i="1"/>
  <c r="AB2121" i="1" s="1"/>
  <c r="AC2121" i="1" s="1"/>
  <c r="AB2428" i="1"/>
  <c r="AC2428" i="1" s="1"/>
  <c r="AA142" i="1"/>
  <c r="AB142" i="1" s="1"/>
  <c r="AC142" i="1" s="1"/>
  <c r="AA1381" i="1"/>
  <c r="AB1381" i="1" s="1"/>
  <c r="AC1381" i="1" s="1"/>
  <c r="AB1473" i="1"/>
  <c r="AA1502" i="1"/>
  <c r="AB1502" i="1" s="1"/>
  <c r="AC1502" i="1" s="1"/>
  <c r="AB2846" i="1"/>
  <c r="AC2846" i="1" s="1"/>
  <c r="AA71" i="1"/>
  <c r="AB71" i="1" s="1"/>
  <c r="AC71" i="1" s="1"/>
  <c r="AA156" i="1"/>
  <c r="AB156" i="1" s="1"/>
  <c r="AB318" i="1"/>
  <c r="AC318" i="1" s="1"/>
  <c r="AA506" i="1"/>
  <c r="AA1368" i="1"/>
  <c r="AB1368" i="1" s="1"/>
  <c r="AC2275" i="1"/>
  <c r="AA2600" i="1"/>
  <c r="AC288" i="1"/>
  <c r="AA880" i="1"/>
  <c r="AB880" i="1" s="1"/>
  <c r="AC880" i="1" s="1"/>
  <c r="AA1473" i="1"/>
  <c r="AB230" i="1"/>
  <c r="AC230" i="1" s="1"/>
  <c r="AB273" i="1"/>
  <c r="AC273" i="1" s="1"/>
  <c r="AC404" i="1"/>
  <c r="AB1136" i="1"/>
  <c r="AB1866" i="1"/>
  <c r="AC1866" i="1" s="1"/>
  <c r="AA143" i="1"/>
  <c r="AB143" i="1" s="1"/>
  <c r="AC143" i="1" s="1"/>
  <c r="AB390" i="1"/>
  <c r="AB689" i="1"/>
  <c r="AC689" i="1" s="1"/>
  <c r="AC1428" i="1"/>
  <c r="AC1881" i="1"/>
  <c r="AC1927" i="1"/>
  <c r="AC690" i="1"/>
  <c r="AC750" i="1"/>
  <c r="AC1197" i="1"/>
  <c r="AB103" i="1"/>
  <c r="AC103" i="1" s="1"/>
  <c r="AA1287" i="1"/>
  <c r="AB1287" i="1" s="1"/>
  <c r="AC1287" i="1" s="1"/>
  <c r="AB465" i="1"/>
  <c r="AC465" i="1" s="1"/>
  <c r="AC2034" i="1"/>
  <c r="AB2541" i="1"/>
  <c r="AC2541" i="1" s="1"/>
  <c r="AB89" i="1"/>
  <c r="AC89" i="1" s="1"/>
  <c r="AA248" i="1"/>
  <c r="AB248" i="1" s="1"/>
  <c r="AC645" i="1"/>
  <c r="AB883" i="1"/>
  <c r="AC883" i="1" s="1"/>
  <c r="AB1506" i="1"/>
  <c r="AC1506" i="1" s="1"/>
  <c r="AC1854" i="1"/>
  <c r="AA60" i="1"/>
  <c r="AB60" i="1" s="1"/>
  <c r="AC60" i="1" s="1"/>
  <c r="AC555" i="1"/>
  <c r="AA393" i="1"/>
  <c r="AB393" i="1" s="1"/>
  <c r="AC393" i="1" s="1"/>
  <c r="AA322" i="1"/>
  <c r="AB322" i="1" s="1"/>
  <c r="AC322" i="1" s="1"/>
  <c r="AA872" i="1"/>
  <c r="AB872" i="1" s="1"/>
  <c r="AC872" i="1" s="1"/>
  <c r="AA899" i="1"/>
  <c r="AC1373" i="1"/>
  <c r="AC205" i="1"/>
  <c r="AB497" i="1"/>
  <c r="AC497" i="1" s="1"/>
  <c r="AB1171" i="1"/>
  <c r="AC1171" i="1" s="1"/>
  <c r="AC1615" i="1"/>
  <c r="AA542" i="1"/>
  <c r="AB542" i="1" s="1"/>
  <c r="AC542" i="1" s="1"/>
  <c r="AA1319" i="1"/>
  <c r="AB1319" i="1" s="1"/>
  <c r="AC1319" i="1" s="1"/>
  <c r="AA2606" i="1"/>
  <c r="AB2606" i="1" s="1"/>
  <c r="AC2606" i="1" s="1"/>
  <c r="AA2776" i="1"/>
  <c r="AB2776" i="1" s="1"/>
  <c r="AC2776" i="1" s="1"/>
  <c r="AC33" i="1"/>
  <c r="AB337" i="1"/>
  <c r="AC337" i="1" s="1"/>
  <c r="AC1246" i="1"/>
  <c r="AC121" i="1"/>
  <c r="AA366" i="1"/>
  <c r="AB366" i="1" s="1"/>
  <c r="AC366" i="1" s="1"/>
  <c r="AB604" i="1"/>
  <c r="AC604" i="1" s="1"/>
  <c r="AC1217" i="1"/>
  <c r="AC1375" i="1"/>
  <c r="AB1588" i="1"/>
  <c r="AC1588" i="1" s="1"/>
  <c r="AB1933" i="1"/>
  <c r="AC1933" i="1" s="1"/>
  <c r="AB2839" i="1"/>
  <c r="AC502" i="1"/>
  <c r="AB1725" i="1"/>
  <c r="AC1725" i="1" s="1"/>
  <c r="AB2104" i="1"/>
  <c r="AC2104" i="1" s="1"/>
  <c r="AC2379" i="1"/>
  <c r="AB563" i="1"/>
  <c r="AC563" i="1" s="1"/>
  <c r="AB2475" i="1"/>
  <c r="AC2475" i="1" s="1"/>
  <c r="AB1045" i="1"/>
  <c r="AC1045" i="1" s="1"/>
  <c r="AC507" i="1"/>
  <c r="AB1184" i="1"/>
  <c r="AC1184" i="1" s="1"/>
  <c r="AB2281" i="1"/>
  <c r="AC2281" i="1" s="1"/>
  <c r="AC100" i="1"/>
  <c r="AB184" i="1"/>
  <c r="AC184" i="1" s="1"/>
  <c r="AC261" i="1"/>
  <c r="AB344" i="1"/>
  <c r="AC344" i="1" s="1"/>
  <c r="AB943" i="1"/>
  <c r="AB996" i="1"/>
  <c r="AC996" i="1" s="1"/>
  <c r="AC1008" i="1"/>
  <c r="AC1136" i="1"/>
  <c r="AC1185" i="1"/>
  <c r="AB1239" i="1"/>
  <c r="AC1239" i="1" s="1"/>
  <c r="AC1280" i="1"/>
  <c r="AB1305" i="1"/>
  <c r="AC1305" i="1" s="1"/>
  <c r="AB1461" i="1"/>
  <c r="AC1461" i="1" s="1"/>
  <c r="AC1780" i="1"/>
  <c r="AB1806" i="1"/>
  <c r="AC1806" i="1" s="1"/>
  <c r="AB2139" i="1"/>
  <c r="AC2139" i="1" s="1"/>
  <c r="AB2152" i="1"/>
  <c r="AC2152" i="1" s="1"/>
  <c r="AB2164" i="1"/>
  <c r="AC2164" i="1" s="1"/>
  <c r="AB2201" i="1"/>
  <c r="AC2201" i="1" s="1"/>
  <c r="AC2250" i="1"/>
  <c r="AB2594" i="1"/>
  <c r="AC2594" i="1" s="1"/>
  <c r="AB2701" i="1"/>
  <c r="AC2701" i="1" s="1"/>
  <c r="AA136" i="1"/>
  <c r="AB136" i="1" s="1"/>
  <c r="AC136" i="1" s="1"/>
  <c r="AC209" i="1"/>
  <c r="AC370" i="1"/>
  <c r="AA460" i="1"/>
  <c r="AB460" i="1" s="1"/>
  <c r="AC472" i="1"/>
  <c r="AA495" i="1"/>
  <c r="AB495" i="1" s="1"/>
  <c r="AC495" i="1" s="1"/>
  <c r="AB607" i="1"/>
  <c r="AC607" i="1" s="1"/>
  <c r="AA903" i="1"/>
  <c r="AB903" i="1" s="1"/>
  <c r="AC903" i="1" s="1"/>
  <c r="AA929" i="1"/>
  <c r="AB929" i="1" s="1"/>
  <c r="AC929" i="1" s="1"/>
  <c r="AA982" i="1"/>
  <c r="AB982" i="1" s="1"/>
  <c r="AC982" i="1" s="1"/>
  <c r="AC1059" i="1"/>
  <c r="AB1096" i="1"/>
  <c r="AC1096" i="1" s="1"/>
  <c r="AA1293" i="1"/>
  <c r="AC1330" i="1"/>
  <c r="AB1692" i="1"/>
  <c r="AA1705" i="1"/>
  <c r="AB1705" i="1" s="1"/>
  <c r="AA1741" i="1"/>
  <c r="AB1741" i="1" s="1"/>
  <c r="AA2015" i="1"/>
  <c r="AB2015" i="1" s="1"/>
  <c r="AC2015" i="1" s="1"/>
  <c r="AA2053" i="1"/>
  <c r="AB2053" i="1" s="1"/>
  <c r="AB2126" i="1"/>
  <c r="AB2435" i="1"/>
  <c r="AC2435" i="1" s="1"/>
  <c r="AC15" i="1"/>
  <c r="AB345" i="1"/>
  <c r="AC345" i="1" s="1"/>
  <c r="AC1162" i="1"/>
  <c r="AC2176" i="1"/>
  <c r="AC2840" i="1"/>
  <c r="AC114" i="1"/>
  <c r="AC149" i="1"/>
  <c r="AC333" i="1"/>
  <c r="AB358" i="1"/>
  <c r="AC358" i="1" s="1"/>
  <c r="AC867" i="1"/>
  <c r="AA957" i="1"/>
  <c r="AB997" i="1"/>
  <c r="AC997" i="1" s="1"/>
  <c r="AB1021" i="1"/>
  <c r="AC1021" i="1" s="1"/>
  <c r="AA1085" i="1"/>
  <c r="AB1085" i="1" s="1"/>
  <c r="AC1085" i="1" s="1"/>
  <c r="AA1110" i="1"/>
  <c r="AB1110" i="1" s="1"/>
  <c r="AC1110" i="1" s="1"/>
  <c r="AB1124" i="1"/>
  <c r="AC1124" i="1" s="1"/>
  <c r="AA1174" i="1"/>
  <c r="AB1174" i="1" s="1"/>
  <c r="AC1174" i="1" s="1"/>
  <c r="AB1397" i="1"/>
  <c r="AA1409" i="1"/>
  <c r="AB1409" i="1" s="1"/>
  <c r="AC1409" i="1" s="1"/>
  <c r="AA1526" i="1"/>
  <c r="AA1668" i="1"/>
  <c r="AB1668" i="1" s="1"/>
  <c r="AC1680" i="1"/>
  <c r="AA1718" i="1"/>
  <c r="AB1718" i="1" s="1"/>
  <c r="AA1730" i="1"/>
  <c r="AA1820" i="1"/>
  <c r="AB1820" i="1" s="1"/>
  <c r="AC1820" i="1" s="1"/>
  <c r="AA1847" i="1"/>
  <c r="AB1847" i="1" s="1"/>
  <c r="AA1925" i="1"/>
  <c r="AB1925" i="1" s="1"/>
  <c r="AC1925" i="1" s="1"/>
  <c r="AA2214" i="1"/>
  <c r="AB2214" i="1" s="1"/>
  <c r="AC2214" i="1" s="1"/>
  <c r="AA2240" i="1"/>
  <c r="AB2240" i="1" s="1"/>
  <c r="AA2369" i="1"/>
  <c r="AB2369" i="1" s="1"/>
  <c r="AC2369" i="1" s="1"/>
  <c r="AA2581" i="1"/>
  <c r="AA2731" i="1"/>
  <c r="AB2731" i="1" s="1"/>
  <c r="AC2731" i="1" s="1"/>
  <c r="AA1630" i="1"/>
  <c r="AB1630" i="1" s="1"/>
  <c r="AC1630" i="1" s="1"/>
  <c r="AB1694" i="1"/>
  <c r="AA1706" i="1"/>
  <c r="AB1706" i="1" s="1"/>
  <c r="AC1706" i="1" s="1"/>
  <c r="AA1795" i="1"/>
  <c r="AB1795" i="1" s="1"/>
  <c r="AA1886" i="1"/>
  <c r="AB1886" i="1" s="1"/>
  <c r="AC1886" i="1" s="1"/>
  <c r="AC2264" i="1"/>
  <c r="AA2411" i="1"/>
  <c r="AB2411" i="1" s="1"/>
  <c r="AC2411" i="1" s="1"/>
  <c r="AB2450" i="1"/>
  <c r="AC2450" i="1" s="1"/>
  <c r="AA2620" i="1"/>
  <c r="AB2620" i="1" s="1"/>
  <c r="AB2717" i="1"/>
  <c r="AB78" i="1"/>
  <c r="AC78" i="1" s="1"/>
  <c r="AB162" i="1"/>
  <c r="AC162" i="1" s="1"/>
  <c r="AC450" i="1"/>
  <c r="AC570" i="1"/>
  <c r="AA583" i="1"/>
  <c r="AB583" i="1" s="1"/>
  <c r="AB868" i="1"/>
  <c r="AC868" i="1" s="1"/>
  <c r="AB1241" i="1"/>
  <c r="AC1241" i="1" s="1"/>
  <c r="AB1307" i="1"/>
  <c r="AC1307" i="1" s="1"/>
  <c r="AB1358" i="1"/>
  <c r="AC1358" i="1" s="1"/>
  <c r="AC1410" i="1"/>
  <c r="AB1594" i="1"/>
  <c r="AC1594" i="1" s="1"/>
  <c r="AA2029" i="1"/>
  <c r="AB2029" i="1" s="1"/>
  <c r="AC2029" i="1" s="1"/>
  <c r="AC2054" i="1"/>
  <c r="AA2066" i="1"/>
  <c r="AB2066" i="1" s="1"/>
  <c r="AC2066" i="1" s="1"/>
  <c r="AB2079" i="1"/>
  <c r="AC2079" i="1" s="1"/>
  <c r="AA2165" i="1"/>
  <c r="AB2165" i="1" s="1"/>
  <c r="AC2165" i="1" s="1"/>
  <c r="AA2202" i="1"/>
  <c r="AB2202" i="1" s="1"/>
  <c r="AC2202" i="1" s="1"/>
  <c r="AB2228" i="1"/>
  <c r="AC2228" i="1" s="1"/>
  <c r="AC2290" i="1"/>
  <c r="AB2302" i="1"/>
  <c r="AC2302" i="1" s="1"/>
  <c r="AA2503" i="1"/>
  <c r="AB2503" i="1" s="1"/>
  <c r="AC2799" i="1"/>
  <c r="AA28" i="1"/>
  <c r="AB28" i="1" s="1"/>
  <c r="AC28" i="1" s="1"/>
  <c r="AA68" i="1"/>
  <c r="AA299" i="1"/>
  <c r="AB299" i="1" s="1"/>
  <c r="AA411" i="1"/>
  <c r="AB411" i="1" s="1"/>
  <c r="AA436" i="1"/>
  <c r="AA557" i="1"/>
  <c r="AB557" i="1" s="1"/>
  <c r="AC557" i="1" s="1"/>
  <c r="AB608" i="1"/>
  <c r="AC608" i="1" s="1"/>
  <c r="AA816" i="1"/>
  <c r="AB816" i="1" s="1"/>
  <c r="AA893" i="1"/>
  <c r="AB893" i="1" s="1"/>
  <c r="AC893" i="1" s="1"/>
  <c r="AA1010" i="1"/>
  <c r="AB1010" i="1" s="1"/>
  <c r="AC1010" i="1" s="1"/>
  <c r="AA1086" i="1"/>
  <c r="AB1086" i="1" s="1"/>
  <c r="AB1320" i="1"/>
  <c r="AC1320" i="1" s="1"/>
  <c r="AA1490" i="1"/>
  <c r="AB1490" i="1" s="1"/>
  <c r="AC1490" i="1" s="1"/>
  <c r="AA1769" i="1"/>
  <c r="AB1769" i="1" s="1"/>
  <c r="AC1769" i="1" s="1"/>
  <c r="AA2042" i="1"/>
  <c r="AB2042" i="1" s="1"/>
  <c r="AC2042" i="1" s="1"/>
  <c r="AB2092" i="1"/>
  <c r="AC2092" i="1" s="1"/>
  <c r="AA2177" i="1"/>
  <c r="AB2177" i="1" s="1"/>
  <c r="AC2177" i="1" s="1"/>
  <c r="AA2370" i="1"/>
  <c r="AB2370" i="1" s="1"/>
  <c r="AA2465" i="1"/>
  <c r="AB2465" i="1" s="1"/>
  <c r="AC2648" i="1"/>
  <c r="AB2855" i="1"/>
  <c r="AC2855" i="1" s="1"/>
  <c r="AB2410" i="1"/>
  <c r="AB1731" i="1"/>
  <c r="AC1731" i="1" s="1"/>
  <c r="AC1980" i="1"/>
  <c r="AA1993" i="1"/>
  <c r="AB1993" i="1" s="1"/>
  <c r="AC1993" i="1" s="1"/>
  <c r="AA2017" i="1"/>
  <c r="AB2017" i="1" s="1"/>
  <c r="AA2241" i="1"/>
  <c r="AB2241" i="1" s="1"/>
  <c r="AC2241" i="1" s="1"/>
  <c r="AA2491" i="1"/>
  <c r="AB2491" i="1" s="1"/>
  <c r="AC2621" i="1"/>
  <c r="AA2732" i="1"/>
  <c r="AB2732" i="1" s="1"/>
  <c r="AC2732" i="1" s="1"/>
  <c r="AA128" i="1"/>
  <c r="AB128" i="1" s="1"/>
  <c r="AA451" i="1"/>
  <c r="AA462" i="1"/>
  <c r="AB462" i="1" s="1"/>
  <c r="AC462" i="1" s="1"/>
  <c r="AA520" i="1"/>
  <c r="AB520" i="1" s="1"/>
  <c r="AC520" i="1" s="1"/>
  <c r="AA597" i="1"/>
  <c r="AB597" i="1" s="1"/>
  <c r="AC597" i="1" s="1"/>
  <c r="AA635" i="1"/>
  <c r="AB635" i="1" s="1"/>
  <c r="AC635" i="1" s="1"/>
  <c r="AC718" i="1"/>
  <c r="AC999" i="1"/>
  <c r="AA1099" i="1"/>
  <c r="AC1619" i="1"/>
  <c r="AC2030" i="1"/>
  <c r="AC2043" i="1"/>
  <c r="AC2190" i="1"/>
  <c r="AA2265" i="1"/>
  <c r="AB2265" i="1" s="1"/>
  <c r="AA2358" i="1"/>
  <c r="AA2438" i="1"/>
  <c r="AB2438" i="1" s="1"/>
  <c r="AC2438" i="1" s="1"/>
  <c r="AA2635" i="1"/>
  <c r="AB2635" i="1" s="1"/>
  <c r="AA2676" i="1"/>
  <c r="AB2676" i="1" s="1"/>
  <c r="AC2676" i="1" s="1"/>
  <c r="AC2745" i="1"/>
  <c r="AC2815" i="1"/>
  <c r="AC2829" i="1"/>
  <c r="AC2856" i="1"/>
  <c r="AA2868" i="1"/>
  <c r="AB2909" i="1"/>
  <c r="AB125" i="1"/>
  <c r="AC125" i="1" s="1"/>
  <c r="AA17" i="1"/>
  <c r="AA276" i="1"/>
  <c r="AB276" i="1" s="1"/>
  <c r="AC276" i="1" s="1"/>
  <c r="AA347" i="1"/>
  <c r="AA437" i="1"/>
  <c r="AB437" i="1" s="1"/>
  <c r="AC437" i="1" s="1"/>
  <c r="AA609" i="1"/>
  <c r="AB609" i="1" s="1"/>
  <c r="AC609" i="1" s="1"/>
  <c r="AA621" i="1"/>
  <c r="AB621" i="1" s="1"/>
  <c r="AA649" i="1"/>
  <c r="AB649" i="1" s="1"/>
  <c r="AC649" i="1" s="1"/>
  <c r="AB1011" i="1"/>
  <c r="AC1011" i="1" s="1"/>
  <c r="AA1411" i="1"/>
  <c r="AB1411" i="1" s="1"/>
  <c r="AC1411" i="1" s="1"/>
  <c r="AA1645" i="1"/>
  <c r="AB1645" i="1" s="1"/>
  <c r="AA1670" i="1"/>
  <c r="AB1670" i="1" s="1"/>
  <c r="AA1809" i="1"/>
  <c r="AB1809" i="1" s="1"/>
  <c r="AC1809" i="1" s="1"/>
  <c r="AA1849" i="1"/>
  <c r="AB1849" i="1" s="1"/>
  <c r="AC1849" i="1" s="1"/>
  <c r="AA1862" i="1"/>
  <c r="AB1862" i="1" s="1"/>
  <c r="AC2006" i="1"/>
  <c r="AA2203" i="1"/>
  <c r="AB2203" i="1" s="1"/>
  <c r="AC2203" i="1" s="1"/>
  <c r="AA2253" i="1"/>
  <c r="AB2253" i="1" s="1"/>
  <c r="AC2253" i="1" s="1"/>
  <c r="AA2544" i="1"/>
  <c r="AB2544" i="1" s="1"/>
  <c r="AC2544" i="1" s="1"/>
  <c r="AB2558" i="1"/>
  <c r="AC2558" i="1" s="1"/>
  <c r="AB117" i="1"/>
  <c r="AC117" i="1" s="1"/>
  <c r="AA412" i="1"/>
  <c r="AB412" i="1" s="1"/>
  <c r="AC412" i="1" s="1"/>
  <c r="AA498" i="1"/>
  <c r="AB498" i="1" s="1"/>
  <c r="AC498" i="1" s="1"/>
  <c r="AC572" i="1"/>
  <c r="AB719" i="1"/>
  <c r="AA832" i="1"/>
  <c r="AB832" i="1" s="1"/>
  <c r="AA960" i="1"/>
  <c r="AB972" i="1"/>
  <c r="AC972" i="1" s="1"/>
  <c r="AB999" i="1"/>
  <c r="AA1037" i="1"/>
  <c r="AB1037" i="1" s="1"/>
  <c r="AC1037" i="1" s="1"/>
  <c r="AA1230" i="1"/>
  <c r="AB1230" i="1" s="1"/>
  <c r="AC1230" i="1" s="1"/>
  <c r="AA1359" i="1"/>
  <c r="AB1359" i="1" s="1"/>
  <c r="AC1359" i="1" s="1"/>
  <c r="AA1732" i="1"/>
  <c r="AB1732" i="1" s="1"/>
  <c r="AC1732" i="1" s="1"/>
  <c r="AC1745" i="1"/>
  <c r="AA1876" i="1"/>
  <c r="AB1876" i="1" s="1"/>
  <c r="AC1876" i="1" s="1"/>
  <c r="AB1994" i="1"/>
  <c r="AC1994" i="1" s="1"/>
  <c r="AA2081" i="1"/>
  <c r="AA2318" i="1"/>
  <c r="AB2318" i="1" s="1"/>
  <c r="AB2345" i="1"/>
  <c r="AC2345" i="1" s="1"/>
  <c r="AC2505" i="1"/>
  <c r="AC2584" i="1"/>
  <c r="AA69" i="1"/>
  <c r="AB69" i="1" s="1"/>
  <c r="AC69" i="1" s="1"/>
  <c r="AA92" i="1"/>
  <c r="AB92" i="1" s="1"/>
  <c r="AB141" i="1"/>
  <c r="AC141" i="1" s="1"/>
  <c r="AA228" i="1"/>
  <c r="AB228" i="1" s="1"/>
  <c r="AA254" i="1"/>
  <c r="AA300" i="1"/>
  <c r="AB1153" i="1"/>
  <c r="AC1153" i="1" s="1"/>
  <c r="AA1177" i="1"/>
  <c r="AB1177" i="1" s="1"/>
  <c r="AC1177" i="1" s="1"/>
  <c r="AB1203" i="1"/>
  <c r="AC1203" i="1" s="1"/>
  <c r="AC1272" i="1"/>
  <c r="AB1425" i="1"/>
  <c r="AC1425" i="1" s="1"/>
  <c r="AC1439" i="1"/>
  <c r="AA1466" i="1"/>
  <c r="AA1517" i="1"/>
  <c r="AB1517" i="1" s="1"/>
  <c r="AA1659" i="1"/>
  <c r="AB1659" i="1" s="1"/>
  <c r="AA1902" i="1"/>
  <c r="AA2093" i="1"/>
  <c r="AB2093" i="1" s="1"/>
  <c r="AA2217" i="1"/>
  <c r="AB2217" i="1" s="1"/>
  <c r="AC2217" i="1" s="1"/>
  <c r="AB2531" i="1"/>
  <c r="AC2531" i="1" s="1"/>
  <c r="AA2571" i="1"/>
  <c r="AB2571" i="1" s="1"/>
  <c r="AC2571" i="1" s="1"/>
  <c r="AB2910" i="1"/>
  <c r="AC2910" i="1" s="1"/>
  <c r="AA129" i="1"/>
  <c r="AB129" i="1" s="1"/>
  <c r="AC129" i="1" s="1"/>
  <c r="AA521" i="1"/>
  <c r="AB521" i="1" s="1"/>
  <c r="AC521" i="1" s="1"/>
  <c r="AA1050" i="1"/>
  <c r="AB1050" i="1" s="1"/>
  <c r="AC1050" i="1" s="1"/>
  <c r="AA1141" i="1"/>
  <c r="AB1141" i="1" s="1"/>
  <c r="AC1141" i="1" s="1"/>
  <c r="AC1334" i="1"/>
  <c r="AA1620" i="1"/>
  <c r="AB1620" i="1" s="1"/>
  <c r="AC1620" i="1" s="1"/>
  <c r="AB1836" i="1"/>
  <c r="AC1836" i="1" s="1"/>
  <c r="AC1941" i="1"/>
  <c r="AC1995" i="1"/>
  <c r="AC2131" i="1"/>
  <c r="AC2157" i="1"/>
  <c r="AA2179" i="1"/>
  <c r="AB2179" i="1" s="1"/>
  <c r="AC2179" i="1" s="1"/>
  <c r="AA2243" i="1"/>
  <c r="AB2243" i="1" s="1"/>
  <c r="AC2243" i="1" s="1"/>
  <c r="AA2292" i="1"/>
  <c r="AB2292" i="1" s="1"/>
  <c r="AC2292" i="1" s="1"/>
  <c r="AA2332" i="1"/>
  <c r="AB2332" i="1" s="1"/>
  <c r="AC2332" i="1" s="1"/>
  <c r="AB2414" i="1"/>
  <c r="AC2414" i="1" s="1"/>
  <c r="AA2734" i="1"/>
  <c r="AB2734" i="1" s="1"/>
  <c r="AC2734" i="1" s="1"/>
  <c r="AA2746" i="1"/>
  <c r="AB2746" i="1" s="1"/>
  <c r="AC2746" i="1" s="1"/>
  <c r="AA2775" i="1"/>
  <c r="AB2775" i="1" s="1"/>
  <c r="AB2787" i="1"/>
  <c r="AA81" i="1"/>
  <c r="AA177" i="1"/>
  <c r="AB177" i="1" s="1"/>
  <c r="AC177" i="1" s="1"/>
  <c r="AA499" i="1"/>
  <c r="AB499" i="1" s="1"/>
  <c r="AC499" i="1" s="1"/>
  <c r="AA534" i="1"/>
  <c r="AB534" i="1" s="1"/>
  <c r="AC534" i="1" s="1"/>
  <c r="AC665" i="1"/>
  <c r="AC693" i="1"/>
  <c r="AA1076" i="1"/>
  <c r="AB1076" i="1" s="1"/>
  <c r="AA1088" i="1"/>
  <c r="AB1088" i="1" s="1"/>
  <c r="AA1297" i="1"/>
  <c r="AC1493" i="1"/>
  <c r="AA1571" i="1"/>
  <c r="AB1571" i="1" s="1"/>
  <c r="AC1571" i="1" s="1"/>
  <c r="AB1621" i="1"/>
  <c r="AC1647" i="1"/>
  <c r="AC1983" i="1"/>
  <c r="AA2007" i="1"/>
  <c r="AB2007" i="1" s="1"/>
  <c r="AC2007" i="1" s="1"/>
  <c r="AB2020" i="1"/>
  <c r="AC2020" i="1" s="1"/>
  <c r="AB2082" i="1"/>
  <c r="AC2082" i="1" s="1"/>
  <c r="AA2106" i="1"/>
  <c r="AB2106" i="1" s="1"/>
  <c r="AA2168" i="1"/>
  <c r="AC2267" i="1"/>
  <c r="AB2319" i="1"/>
  <c r="AC2319" i="1" s="1"/>
  <c r="AC2360" i="1"/>
  <c r="AB2415" i="1"/>
  <c r="AC2415" i="1" s="1"/>
  <c r="AB2518" i="1"/>
  <c r="AA2559" i="1"/>
  <c r="AC2693" i="1"/>
  <c r="AA2844" i="1"/>
  <c r="AB2844" i="1" s="1"/>
  <c r="AC2844" i="1" s="1"/>
  <c r="AB148" i="1"/>
  <c r="AC148" i="1" s="1"/>
  <c r="AB489" i="1"/>
  <c r="AC489" i="1" s="1"/>
  <c r="AC561" i="1"/>
  <c r="AB600" i="1"/>
  <c r="AC600" i="1" s="1"/>
  <c r="AA651" i="1"/>
  <c r="AC846" i="1"/>
  <c r="AA1273" i="1"/>
  <c r="AB1273" i="1" s="1"/>
  <c r="AC1387" i="1"/>
  <c r="AC1455" i="1"/>
  <c r="AC1545" i="1"/>
  <c r="AB1772" i="1"/>
  <c r="AC1772" i="1" s="1"/>
  <c r="AA1890" i="1"/>
  <c r="AB1890" i="1" s="1"/>
  <c r="AC1890" i="1" s="1"/>
  <c r="AA1917" i="1"/>
  <c r="AB1917" i="1" s="1"/>
  <c r="AC1917" i="1" s="1"/>
  <c r="AA1955" i="1"/>
  <c r="AB1955" i="1" s="1"/>
  <c r="AC1955" i="1" s="1"/>
  <c r="AB2046" i="1"/>
  <c r="AB2132" i="1"/>
  <c r="AC2132" i="1" s="1"/>
  <c r="AB2157" i="1"/>
  <c r="AC19" i="1"/>
  <c r="AC390" i="1"/>
  <c r="AB453" i="1"/>
  <c r="AC453" i="1" s="1"/>
  <c r="AA611" i="1"/>
  <c r="AB847" i="1"/>
  <c r="AC847" i="1" s="1"/>
  <c r="AB1402" i="1"/>
  <c r="AC1402" i="1" s="1"/>
  <c r="AB1648" i="1"/>
  <c r="AB2483" i="1"/>
  <c r="AC2483" i="1" s="1"/>
  <c r="AB2804" i="1"/>
  <c r="AB327" i="1"/>
  <c r="AC327" i="1" s="1"/>
  <c r="AB897" i="1"/>
  <c r="AC897" i="1" s="1"/>
  <c r="AC1089" i="1"/>
  <c r="AC1143" i="1"/>
  <c r="AC1323" i="1"/>
  <c r="AC1661" i="1"/>
  <c r="AB1699" i="1"/>
  <c r="AC1699" i="1" s="1"/>
  <c r="AC1931" i="1"/>
  <c r="AC2613" i="1"/>
  <c r="AC1026" i="1"/>
  <c r="AC2680" i="1"/>
  <c r="AB155" i="1"/>
  <c r="AC155" i="1" s="1"/>
  <c r="AB191" i="1"/>
  <c r="AC191" i="1" s="1"/>
  <c r="AC267" i="1"/>
  <c r="AC303" i="1"/>
  <c r="AC316" i="1"/>
  <c r="AB873" i="1"/>
  <c r="AC873" i="1" s="1"/>
  <c r="AC951" i="1"/>
  <c r="AC1168" i="1"/>
  <c r="AB1193" i="1"/>
  <c r="AC1193" i="1" s="1"/>
  <c r="AB1324" i="1"/>
  <c r="AB1598" i="1"/>
  <c r="AC1598" i="1" s="1"/>
  <c r="AC1762" i="1"/>
  <c r="AB1774" i="1"/>
  <c r="AC1774" i="1" s="1"/>
  <c r="AB2107" i="1"/>
  <c r="AC2107" i="1" s="1"/>
  <c r="AC2159" i="1"/>
  <c r="AC2872" i="1"/>
  <c r="AC479" i="1"/>
  <c r="AA588" i="1"/>
  <c r="AB601" i="1"/>
  <c r="AC601" i="1" s="1"/>
  <c r="AA861" i="1"/>
  <c r="AA884" i="1"/>
  <c r="AB1116" i="1"/>
  <c r="AC1116" i="1" s="1"/>
  <c r="AC1403" i="1"/>
  <c r="AA1957" i="1"/>
  <c r="AB1957" i="1" s="1"/>
  <c r="AC1957" i="1" s="1"/>
  <c r="AB1985" i="1"/>
  <c r="AC1985" i="1" s="1"/>
  <c r="AB2245" i="1"/>
  <c r="AC2335" i="1"/>
  <c r="AB2416" i="1"/>
  <c r="AC2416" i="1" s="1"/>
  <c r="AB2507" i="1"/>
  <c r="AC2507" i="1" s="1"/>
  <c r="AA2574" i="1"/>
  <c r="AB2574" i="1" s="1"/>
  <c r="AC2574" i="1" s="1"/>
  <c r="AC1363" i="1"/>
  <c r="AC1814" i="1"/>
  <c r="AB2535" i="1"/>
  <c r="AC2535" i="1" s="1"/>
  <c r="AA2588" i="1"/>
  <c r="AA2860" i="1"/>
  <c r="AB2860" i="1" s="1"/>
  <c r="AA21" i="1"/>
  <c r="AC268" i="1"/>
  <c r="AA328" i="1"/>
  <c r="AA429" i="1"/>
  <c r="AB429" i="1" s="1"/>
  <c r="AA467" i="1"/>
  <c r="AC710" i="1"/>
  <c r="AA938" i="1"/>
  <c r="AB1004" i="1"/>
  <c r="AA1157" i="1"/>
  <c r="AB1157" i="1" s="1"/>
  <c r="AC1157" i="1" s="1"/>
  <c r="AA1276" i="1"/>
  <c r="AB1276" i="1" s="1"/>
  <c r="AB1457" i="1"/>
  <c r="AC1457" i="1" s="1"/>
  <c r="AA1470" i="1"/>
  <c r="AB1470" i="1" s="1"/>
  <c r="AA1547" i="1"/>
  <c r="AB1547" i="1" s="1"/>
  <c r="AC1547" i="1" s="1"/>
  <c r="AA1561" i="1"/>
  <c r="AA1725" i="1"/>
  <c r="AC1737" i="1"/>
  <c r="AC2183" i="1"/>
  <c r="AB2208" i="1"/>
  <c r="AC2208" i="1" s="1"/>
  <c r="AC2405" i="1"/>
  <c r="AB2471" i="1"/>
  <c r="AC2471" i="1" s="1"/>
  <c r="AB96" i="1"/>
  <c r="AC96" i="1" s="1"/>
  <c r="AB169" i="1"/>
  <c r="AB457" i="1"/>
  <c r="AC457" i="1" s="1"/>
  <c r="AA513" i="1"/>
  <c r="AB513" i="1" s="1"/>
  <c r="AC513" i="1" s="1"/>
  <c r="AC538" i="1"/>
  <c r="AC577" i="1"/>
  <c r="AB590" i="1"/>
  <c r="AC590" i="1" s="1"/>
  <c r="AA614" i="1"/>
  <c r="AB614" i="1" s="1"/>
  <c r="AC614" i="1" s="1"/>
  <c r="AB628" i="1"/>
  <c r="AC628" i="1" s="1"/>
  <c r="AC697" i="1"/>
  <c r="AC811" i="1"/>
  <c r="AA964" i="1"/>
  <c r="AB964" i="1" s="1"/>
  <c r="AC964" i="1" s="1"/>
  <c r="AA1042" i="1"/>
  <c r="AA1145" i="1"/>
  <c r="AB1145" i="1" s="1"/>
  <c r="AC1145" i="1" s="1"/>
  <c r="AB1235" i="1"/>
  <c r="AC1235" i="1" s="1"/>
  <c r="AB1314" i="1"/>
  <c r="AC1314" i="1" s="1"/>
  <c r="AA1417" i="1"/>
  <c r="AB1417" i="1" s="1"/>
  <c r="AC1417" i="1" s="1"/>
  <c r="AB1509" i="1"/>
  <c r="AC1509" i="1" s="1"/>
  <c r="AB1521" i="1"/>
  <c r="AC1521" i="1" s="1"/>
  <c r="AC1675" i="1"/>
  <c r="AA1713" i="1"/>
  <c r="AA1828" i="1"/>
  <c r="AB1828" i="1" s="1"/>
  <c r="AC1828" i="1" s="1"/>
  <c r="AA1920" i="1"/>
  <c r="AB1920" i="1" s="1"/>
  <c r="AC1920" i="1" s="1"/>
  <c r="AC1945" i="1"/>
  <c r="AA1986" i="1"/>
  <c r="AB1986" i="1" s="1"/>
  <c r="AC1986" i="1" s="1"/>
  <c r="AB2086" i="1"/>
  <c r="AC2086" i="1" s="1"/>
  <c r="AB2323" i="1"/>
  <c r="AC2323" i="1" s="1"/>
  <c r="AA2615" i="1"/>
  <c r="AB2615" i="1" s="1"/>
  <c r="AC2615" i="1" s="1"/>
  <c r="AC711" i="1"/>
  <c r="AC1638" i="1"/>
  <c r="AC1764" i="1"/>
  <c r="AC1815" i="1"/>
  <c r="AA2061" i="1"/>
  <c r="AB2061" i="1" s="1"/>
  <c r="AC2061" i="1" s="1"/>
  <c r="AA2135" i="1"/>
  <c r="AA2160" i="1"/>
  <c r="AB2160" i="1" s="1"/>
  <c r="AC2160" i="1" s="1"/>
  <c r="AA2171" i="1"/>
  <c r="AB2171" i="1" s="1"/>
  <c r="AC2171" i="1" s="1"/>
  <c r="AA2296" i="1"/>
  <c r="AB2296" i="1" s="1"/>
  <c r="AC2296" i="1" s="1"/>
  <c r="AA2778" i="1"/>
  <c r="AB2778" i="1" s="1"/>
  <c r="AC2778" i="1" s="1"/>
  <c r="AA85" i="1"/>
  <c r="AB85" i="1" s="1"/>
  <c r="AB110" i="1"/>
  <c r="AC110" i="1" s="1"/>
  <c r="AA122" i="1"/>
  <c r="AB122" i="1" s="1"/>
  <c r="AA1005" i="1"/>
  <c r="AC1236" i="1"/>
  <c r="AB1301" i="1"/>
  <c r="AC1301" i="1" s="1"/>
  <c r="AC1326" i="1"/>
  <c r="AB2109" i="1"/>
  <c r="AC2109" i="1" s="1"/>
  <c r="AA2209" i="1"/>
  <c r="AB2351" i="1"/>
  <c r="AA2418" i="1"/>
  <c r="AB2418" i="1" s="1"/>
  <c r="AC2418" i="1" s="1"/>
  <c r="AC2432" i="1"/>
  <c r="AA2459" i="1"/>
  <c r="AB2459" i="1" s="1"/>
  <c r="AC2459" i="1" s="1"/>
  <c r="AA2642" i="1"/>
  <c r="AB2642" i="1" s="1"/>
  <c r="AA2669" i="1"/>
  <c r="AC2752" i="1"/>
  <c r="AB2766" i="1"/>
  <c r="AC2766" i="1" s="1"/>
  <c r="AA36" i="1"/>
  <c r="AB36" i="1" s="1"/>
  <c r="AA233" i="1"/>
  <c r="AA295" i="1"/>
  <c r="AB295" i="1" s="1"/>
  <c r="AC295" i="1" s="1"/>
  <c r="AA306" i="1"/>
  <c r="AB306" i="1" s="1"/>
  <c r="AC306" i="1" s="1"/>
  <c r="AB342" i="1"/>
  <c r="AC342" i="1" s="1"/>
  <c r="AA481" i="1"/>
  <c r="AA492" i="1"/>
  <c r="AB492" i="1" s="1"/>
  <c r="AC492" i="1" s="1"/>
  <c r="AA642" i="1"/>
  <c r="AC725" i="1"/>
  <c r="AA798" i="1"/>
  <c r="AB798" i="1" s="1"/>
  <c r="AA1018" i="1"/>
  <c r="AB1018" i="1" s="1"/>
  <c r="AC1018" i="1" s="1"/>
  <c r="AB1043" i="1"/>
  <c r="AC1043" i="1" s="1"/>
  <c r="AA1069" i="1"/>
  <c r="AB1069" i="1" s="1"/>
  <c r="AA1209" i="1"/>
  <c r="AB1209" i="1" s="1"/>
  <c r="AC1209" i="1" s="1"/>
  <c r="AA1223" i="1"/>
  <c r="AB1223" i="1" s="1"/>
  <c r="AC1223" i="1" s="1"/>
  <c r="AA1510" i="1"/>
  <c r="AB1510" i="1" s="1"/>
  <c r="AC1510" i="1" s="1"/>
  <c r="AA1576" i="1"/>
  <c r="AB1576" i="1" s="1"/>
  <c r="AA1726" i="1"/>
  <c r="AB1726" i="1" s="1"/>
  <c r="AA1738" i="1"/>
  <c r="AB1738" i="1" s="1"/>
  <c r="AC1960" i="1"/>
  <c r="AA2012" i="1"/>
  <c r="AA2037" i="1"/>
  <c r="AB2037" i="1" s="1"/>
  <c r="AC2037" i="1" s="1"/>
  <c r="AA2074" i="1"/>
  <c r="AB2074" i="1" s="1"/>
  <c r="AC2074" i="1" s="1"/>
  <c r="AA2184" i="1"/>
  <c r="AB2184" i="1" s="1"/>
  <c r="AB2223" i="1"/>
  <c r="AC2223" i="1" s="1"/>
  <c r="AA2247" i="1"/>
  <c r="AB2247" i="1" s="1"/>
  <c r="AB2285" i="1"/>
  <c r="AC2285" i="1" s="1"/>
  <c r="AA2378" i="1"/>
  <c r="AB2378" i="1" s="1"/>
  <c r="AC2378" i="1" s="1"/>
  <c r="AA2499" i="1"/>
  <c r="AC2616" i="1"/>
  <c r="AC2808" i="1"/>
  <c r="AA49" i="1"/>
  <c r="AB49" i="1" s="1"/>
  <c r="AA134" i="1"/>
  <c r="AB134" i="1" s="1"/>
  <c r="AC134" i="1" s="1"/>
  <c r="AA194" i="1"/>
  <c r="AB194" i="1" s="1"/>
  <c r="AC194" i="1" s="1"/>
  <c r="AA353" i="1"/>
  <c r="AB353" i="1" s="1"/>
  <c r="AC353" i="1" s="1"/>
  <c r="AA914" i="1"/>
  <c r="AB940" i="1"/>
  <c r="AC1315" i="1"/>
  <c r="AA1339" i="1"/>
  <c r="AB1339" i="1" s="1"/>
  <c r="AC1339" i="1" s="1"/>
  <c r="AA1486" i="1"/>
  <c r="AB1486" i="1" s="1"/>
  <c r="AA1536" i="1"/>
  <c r="AB1536" i="1" s="1"/>
  <c r="AA1665" i="1"/>
  <c r="AC1715" i="1"/>
  <c r="AC2552" i="1"/>
  <c r="AB2779" i="1"/>
  <c r="AC2779" i="1" s="1"/>
  <c r="AC2850" i="1"/>
  <c r="AA2917" i="1"/>
  <c r="AB2917" i="1" s="1"/>
  <c r="AC2917" i="1" s="1"/>
  <c r="AA527" i="1"/>
  <c r="AA539" i="1"/>
  <c r="AB539" i="1" s="1"/>
  <c r="AC539" i="1" s="1"/>
  <c r="AA712" i="1"/>
  <c r="AB712" i="1" s="1"/>
  <c r="AC712" i="1" s="1"/>
  <c r="AC1224" i="1"/>
  <c r="AA1250" i="1"/>
  <c r="AB1250" i="1" s="1"/>
  <c r="AC1250" i="1" s="1"/>
  <c r="AA1406" i="1"/>
  <c r="AB1406" i="1" s="1"/>
  <c r="AC1406" i="1" s="1"/>
  <c r="AB1601" i="1"/>
  <c r="AC1601" i="1" s="1"/>
  <c r="AC1677" i="1"/>
  <c r="AB1765" i="1"/>
  <c r="AC1765" i="1" s="1"/>
  <c r="AA1856" i="1"/>
  <c r="AB1856" i="1" s="1"/>
  <c r="AC1856" i="1" s="1"/>
  <c r="AC2199" i="1"/>
  <c r="AA2338" i="1"/>
  <c r="AB2338" i="1" s="1"/>
  <c r="AC2338" i="1" s="1"/>
  <c r="AB2352" i="1"/>
  <c r="AB2366" i="1"/>
  <c r="AC2366" i="1" s="1"/>
  <c r="AB2460" i="1"/>
  <c r="AC2460" i="1" s="1"/>
  <c r="AB2591" i="1"/>
  <c r="AC2591" i="1" s="1"/>
  <c r="AC2904" i="1"/>
  <c r="AA284" i="1"/>
  <c r="AB284" i="1" s="1"/>
  <c r="AA307" i="1"/>
  <c r="AB307" i="1" s="1"/>
  <c r="AC307" i="1" s="1"/>
  <c r="AC459" i="1"/>
  <c r="AC566" i="1"/>
  <c r="AC686" i="1"/>
  <c r="AB785" i="1"/>
  <c r="AC785" i="1" s="1"/>
  <c r="AC967" i="1"/>
  <c r="AA1237" i="1"/>
  <c r="AB1237" i="1" s="1"/>
  <c r="AC1237" i="1" s="1"/>
  <c r="AA1419" i="1"/>
  <c r="AB1419" i="1" s="1"/>
  <c r="AA1499" i="1"/>
  <c r="AA1792" i="1"/>
  <c r="AB1792" i="1" s="1"/>
  <c r="AC1792" i="1" s="1"/>
  <c r="AA1830" i="1"/>
  <c r="AB1830" i="1" s="1"/>
  <c r="AC1830" i="1" s="1"/>
  <c r="AC1896" i="1"/>
  <c r="AA2150" i="1"/>
  <c r="AC2274" i="1"/>
  <c r="AA2433" i="1"/>
  <c r="AB2433" i="1" s="1"/>
  <c r="AC2433" i="1" s="1"/>
  <c r="AC2447" i="1"/>
  <c r="AC2511" i="1"/>
  <c r="AB2524" i="1"/>
  <c r="AC2524" i="1" s="1"/>
  <c r="AA2643" i="1"/>
  <c r="AB2643" i="1" s="1"/>
  <c r="AC2643" i="1" s="1"/>
  <c r="AC76" i="1"/>
  <c r="AA135" i="1"/>
  <c r="AB135" i="1" s="1"/>
  <c r="AC135" i="1" s="1"/>
  <c r="AA271" i="1"/>
  <c r="AB271" i="1" s="1"/>
  <c r="AA296" i="1"/>
  <c r="AB296" i="1" s="1"/>
  <c r="AA382" i="1"/>
  <c r="AB382" i="1" s="1"/>
  <c r="AC382" i="1" s="1"/>
  <c r="AC395" i="1"/>
  <c r="AA617" i="1"/>
  <c r="AB617" i="1" s="1"/>
  <c r="AC617" i="1" s="1"/>
  <c r="AC672" i="1"/>
  <c r="AA726" i="1"/>
  <c r="AB726" i="1" s="1"/>
  <c r="AC726" i="1" s="1"/>
  <c r="AA813" i="1"/>
  <c r="AB813" i="1" s="1"/>
  <c r="AC813" i="1" s="1"/>
  <c r="AB876" i="1"/>
  <c r="AC876" i="1" s="1"/>
  <c r="AB916" i="1"/>
  <c r="AC916" i="1" s="1"/>
  <c r="AA928" i="1"/>
  <c r="AA1070" i="1"/>
  <c r="AB1070" i="1" s="1"/>
  <c r="AC1070" i="1" s="1"/>
  <c r="AC1487" i="1"/>
  <c r="AC1602" i="1"/>
  <c r="AB1666" i="1"/>
  <c r="AC1666" i="1" s="1"/>
  <c r="AC1766" i="1"/>
  <c r="AC1805" i="1"/>
  <c r="AA2063" i="1"/>
  <c r="AB2063" i="1" s="1"/>
  <c r="AC2063" i="1" s="1"/>
  <c r="AB2089" i="1"/>
  <c r="AC2089" i="1" s="1"/>
  <c r="AA2100" i="1"/>
  <c r="AB2100" i="1" s="1"/>
  <c r="AC2100" i="1" s="1"/>
  <c r="AC2409" i="1"/>
  <c r="AC2631" i="1"/>
  <c r="AC2658" i="1"/>
  <c r="AA2876" i="1"/>
  <c r="AB2876" i="1" s="1"/>
  <c r="AC2876" i="1" s="1"/>
  <c r="AA2933" i="1"/>
  <c r="AB2933" i="1" s="1"/>
  <c r="AC2933" i="1" s="1"/>
  <c r="AB14" i="1"/>
  <c r="AC14" i="1" s="1"/>
  <c r="AC331" i="1"/>
  <c r="AC408" i="1"/>
  <c r="AC658" i="1"/>
  <c r="AA839" i="1"/>
  <c r="AB839" i="1" s="1"/>
  <c r="AC852" i="1"/>
  <c r="AB968" i="1"/>
  <c r="AC968" i="1" s="1"/>
  <c r="AA981" i="1"/>
  <c r="AB981" i="1" s="1"/>
  <c r="AC981" i="1" s="1"/>
  <c r="AA1083" i="1"/>
  <c r="AC1238" i="1"/>
  <c r="AC1500" i="1"/>
  <c r="AB1740" i="1"/>
  <c r="AC1740" i="1" s="1"/>
  <c r="AC1884" i="1"/>
  <c r="AA1910" i="1"/>
  <c r="AB1910" i="1" s="1"/>
  <c r="AC1910" i="1" s="1"/>
  <c r="AA1962" i="1"/>
  <c r="AB1962" i="1" s="1"/>
  <c r="AC1962" i="1" s="1"/>
  <c r="AA1976" i="1"/>
  <c r="AB1976" i="1" s="1"/>
  <c r="AC1976" i="1" s="1"/>
  <c r="AA2039" i="1"/>
  <c r="AB2039" i="1" s="1"/>
  <c r="AC2039" i="1" s="1"/>
  <c r="AB2112" i="1"/>
  <c r="AC2112" i="1" s="1"/>
  <c r="AC2501" i="1"/>
  <c r="AA2566" i="1"/>
  <c r="AB2566" i="1" s="1"/>
  <c r="AC2566" i="1" s="1"/>
  <c r="AC2618" i="1"/>
  <c r="AA2729" i="1"/>
  <c r="AB2729" i="1" s="1"/>
  <c r="AC2729" i="1" s="1"/>
  <c r="AB12" i="1"/>
  <c r="AC12" i="1" s="1"/>
  <c r="AA195" i="1"/>
  <c r="AB195" i="1" s="1"/>
  <c r="AC195" i="1" s="1"/>
  <c r="AA218" i="1"/>
  <c r="AB218" i="1" s="1"/>
  <c r="AB652" i="1"/>
  <c r="AC652" i="1" s="1"/>
  <c r="AB53" i="1"/>
  <c r="AC53" i="1" s="1"/>
  <c r="AB145" i="1"/>
  <c r="AC145" i="1" s="1"/>
  <c r="AA154" i="1"/>
  <c r="AB154" i="1" s="1"/>
  <c r="AC154" i="1" s="1"/>
  <c r="AB175" i="1"/>
  <c r="AC175" i="1" s="1"/>
  <c r="AA448" i="1"/>
  <c r="AC482" i="1"/>
  <c r="AB666" i="1"/>
  <c r="AC666" i="1" s="1"/>
  <c r="AC970" i="1"/>
  <c r="AB1186" i="1"/>
  <c r="AC1186" i="1" s="1"/>
  <c r="AB43" i="1"/>
  <c r="AC43" i="1" s="1"/>
  <c r="AA126" i="1"/>
  <c r="AB219" i="1"/>
  <c r="AC219" i="1" s="1"/>
  <c r="AB340" i="1"/>
  <c r="AC340" i="1" s="1"/>
  <c r="AA319" i="1"/>
  <c r="AB319" i="1" s="1"/>
  <c r="AC319" i="1" s="1"/>
  <c r="AB363" i="1"/>
  <c r="AC363" i="1" s="1"/>
  <c r="AC400" i="1"/>
  <c r="AC423" i="1"/>
  <c r="AC779" i="1"/>
  <c r="AC845" i="1"/>
  <c r="AC881" i="1"/>
  <c r="AA105" i="1"/>
  <c r="AB105" i="1" s="1"/>
  <c r="AC105" i="1" s="1"/>
  <c r="AA13" i="1"/>
  <c r="AB13" i="1" s="1"/>
  <c r="AC13" i="1" s="1"/>
  <c r="AB23" i="1"/>
  <c r="AC23" i="1" s="1"/>
  <c r="AA54" i="1"/>
  <c r="AB54" i="1" s="1"/>
  <c r="AC54" i="1" s="1"/>
  <c r="AA146" i="1"/>
  <c r="AB146" i="1" s="1"/>
  <c r="AC146" i="1" s="1"/>
  <c r="AB196" i="1"/>
  <c r="AC196" i="1" s="1"/>
  <c r="AA231" i="1"/>
  <c r="AB231" i="1" s="1"/>
  <c r="AA275" i="1"/>
  <c r="AA341" i="1"/>
  <c r="AB553" i="1"/>
  <c r="AC553" i="1" s="1"/>
  <c r="AB4" i="1"/>
  <c r="AC4" i="1" s="1"/>
  <c r="AA197" i="1"/>
  <c r="AA232" i="1"/>
  <c r="AB244" i="1"/>
  <c r="AC244" i="1" s="1"/>
  <c r="AB615" i="1"/>
  <c r="AC615" i="1" s="1"/>
  <c r="AB933" i="1"/>
  <c r="AC933" i="1" s="1"/>
  <c r="AA24" i="1"/>
  <c r="AB24" i="1" s="1"/>
  <c r="AC24" i="1" s="1"/>
  <c r="AA77" i="1"/>
  <c r="AB166" i="1"/>
  <c r="AC166" i="1" s="1"/>
  <c r="AB709" i="1"/>
  <c r="AC709" i="1" s="1"/>
  <c r="AA859" i="1"/>
  <c r="AB55" i="1"/>
  <c r="AC55" i="1" s="1"/>
  <c r="AA97" i="1"/>
  <c r="AB97" i="1" s="1"/>
  <c r="AB108" i="1"/>
  <c r="AC108" i="1" s="1"/>
  <c r="AA118" i="1"/>
  <c r="AB401" i="1"/>
  <c r="AC401" i="1" s="1"/>
  <c r="AB736" i="1"/>
  <c r="AC736" i="1" s="1"/>
  <c r="AA5" i="1"/>
  <c r="AB5" i="1" s="1"/>
  <c r="AA34" i="1"/>
  <c r="AB34" i="1" s="1"/>
  <c r="AC34" i="1" s="1"/>
  <c r="AC365" i="1"/>
  <c r="AA56" i="1"/>
  <c r="AA147" i="1"/>
  <c r="AB147" i="1" s="1"/>
  <c r="AC147" i="1" s="1"/>
  <c r="AA167" i="1"/>
  <c r="AB167" i="1" s="1"/>
  <c r="AB187" i="1"/>
  <c r="AC187" i="1" s="1"/>
  <c r="AA245" i="1"/>
  <c r="AB245" i="1" s="1"/>
  <c r="AC245" i="1" s="1"/>
  <c r="AC265" i="1"/>
  <c r="AA378" i="1"/>
  <c r="AA98" i="1"/>
  <c r="AB119" i="1"/>
  <c r="AC119" i="1" s="1"/>
  <c r="AA246" i="1"/>
  <c r="AB246" i="1" s="1"/>
  <c r="AC246" i="1" s="1"/>
  <c r="AB518" i="1"/>
  <c r="AC518" i="1" s="1"/>
  <c r="AB6" i="1"/>
  <c r="AC6" i="1" s="1"/>
  <c r="AB25" i="1"/>
  <c r="AC25" i="1" s="1"/>
  <c r="AB46" i="1"/>
  <c r="AC46" i="1" s="1"/>
  <c r="AB57" i="1"/>
  <c r="AC57" i="1" s="1"/>
  <c r="AA139" i="1"/>
  <c r="AB139" i="1" s="1"/>
  <c r="AC139" i="1" s="1"/>
  <c r="AB310" i="1"/>
  <c r="AC310" i="1" s="1"/>
  <c r="AA519" i="1"/>
  <c r="AB910" i="1"/>
  <c r="AC910" i="1" s="1"/>
  <c r="AC120" i="1"/>
  <c r="AA188" i="1"/>
  <c r="AB188" i="1" s="1"/>
  <c r="AB223" i="1"/>
  <c r="AC223" i="1" s="1"/>
  <c r="AB332" i="1"/>
  <c r="AC332" i="1" s="1"/>
  <c r="AB354" i="1"/>
  <c r="AC354" i="1" s="1"/>
  <c r="AC427" i="1"/>
  <c r="AB531" i="1"/>
  <c r="AC531" i="1" s="1"/>
  <c r="AC556" i="1"/>
  <c r="AC581" i="1"/>
  <c r="AB582" i="1"/>
  <c r="AC582" i="1" s="1"/>
  <c r="AA26" i="1"/>
  <c r="AB26" i="1" s="1"/>
  <c r="AA47" i="1"/>
  <c r="AB47" i="1" s="1"/>
  <c r="AA168" i="1"/>
  <c r="AB168" i="1" s="1"/>
  <c r="AC168" i="1" s="1"/>
  <c r="AA210" i="1"/>
  <c r="AB210" i="1" s="1"/>
  <c r="AC210" i="1" s="1"/>
  <c r="AA311" i="1"/>
  <c r="AB311" i="1" s="1"/>
  <c r="AC311" i="1" s="1"/>
  <c r="AC380" i="1"/>
  <c r="AB392" i="1"/>
  <c r="AC392" i="1" s="1"/>
  <c r="AB476" i="1"/>
  <c r="AC476" i="1" s="1"/>
  <c r="AA487" i="1"/>
  <c r="AC32" i="1"/>
  <c r="AA211" i="1"/>
  <c r="AA289" i="1"/>
  <c r="AB289" i="1" s="1"/>
  <c r="AA312" i="1"/>
  <c r="AB440" i="1"/>
  <c r="AC440" i="1" s="1"/>
  <c r="AA70" i="1"/>
  <c r="AA131" i="1"/>
  <c r="AB131" i="1" s="1"/>
  <c r="AC131" i="1" s="1"/>
  <c r="AA140" i="1"/>
  <c r="AB140" i="1" s="1"/>
  <c r="AC140" i="1" s="1"/>
  <c r="AB159" i="1"/>
  <c r="AC159" i="1" s="1"/>
  <c r="AA224" i="1"/>
  <c r="AB224" i="1" s="1"/>
  <c r="AC224" i="1" s="1"/>
  <c r="AB595" i="1"/>
  <c r="AC595" i="1" s="1"/>
  <c r="AC8" i="1"/>
  <c r="AA48" i="1"/>
  <c r="AA190" i="1"/>
  <c r="AB212" i="1"/>
  <c r="AC212" i="1" s="1"/>
  <c r="AA225" i="1"/>
  <c r="AB90" i="1"/>
  <c r="AC90" i="1" s="1"/>
  <c r="AB101" i="1"/>
  <c r="AC101" i="1" s="1"/>
  <c r="AB111" i="1"/>
  <c r="AC111" i="1" s="1"/>
  <c r="AB180" i="1"/>
  <c r="AC180" i="1" s="1"/>
  <c r="AC313" i="1"/>
  <c r="AA416" i="1"/>
  <c r="AA688" i="1"/>
  <c r="AB688" i="1" s="1"/>
  <c r="AC688" i="1" s="1"/>
  <c r="AA27" i="1"/>
  <c r="AB27" i="1" s="1"/>
  <c r="AC27" i="1" s="1"/>
  <c r="AA160" i="1"/>
  <c r="AB160" i="1" s="1"/>
  <c r="AB226" i="1"/>
  <c r="AC226" i="1" s="1"/>
  <c r="AB237" i="1"/>
  <c r="AC237" i="1" s="1"/>
  <c r="AB258" i="1"/>
  <c r="AC258" i="1" s="1"/>
  <c r="AB533" i="1"/>
  <c r="AC533" i="1" s="1"/>
  <c r="AA888" i="1"/>
  <c r="AB977" i="1"/>
  <c r="AC977" i="1" s="1"/>
  <c r="AA91" i="1"/>
  <c r="AA112" i="1"/>
  <c r="AB112" i="1" s="1"/>
  <c r="AB18" i="1"/>
  <c r="AC18" i="1" s="1"/>
  <c r="AB132" i="1"/>
  <c r="AC132" i="1" s="1"/>
  <c r="AA181" i="1"/>
  <c r="AB181" i="1" s="1"/>
  <c r="AB238" i="1"/>
  <c r="AC238" i="1" s="1"/>
  <c r="AB325" i="1"/>
  <c r="AC325" i="1" s="1"/>
  <c r="AB455" i="1"/>
  <c r="AC455" i="1" s="1"/>
  <c r="AC500" i="1"/>
  <c r="AB511" i="1"/>
  <c r="AC511" i="1" s="1"/>
  <c r="AC39" i="1"/>
  <c r="AB161" i="1"/>
  <c r="AC161" i="1" s="1"/>
  <c r="AA259" i="1"/>
  <c r="AB259" i="1" s="1"/>
  <c r="AC418" i="1"/>
  <c r="AB814" i="1"/>
  <c r="AC814" i="1" s="1"/>
  <c r="AB1080" i="1"/>
  <c r="AC1080" i="1" s="1"/>
  <c r="AC113" i="1"/>
  <c r="AB133" i="1"/>
  <c r="AC133" i="1" s="1"/>
  <c r="AC326" i="1"/>
  <c r="AB50" i="1"/>
  <c r="AC50" i="1" s="1"/>
  <c r="AA239" i="1"/>
  <c r="AA62" i="1"/>
  <c r="AB62" i="1" s="1"/>
  <c r="AC62" i="1" s="1"/>
  <c r="AB152" i="1"/>
  <c r="AC152" i="1" s="1"/>
  <c r="AA203" i="1"/>
  <c r="AB203" i="1" s="1"/>
  <c r="AC203" i="1" s="1"/>
  <c r="AA282" i="1"/>
  <c r="AB282" i="1" s="1"/>
  <c r="AC282" i="1" s="1"/>
  <c r="AA304" i="1"/>
  <c r="AA730" i="1"/>
  <c r="AA40" i="1"/>
  <c r="AA182" i="1"/>
  <c r="AB182" i="1" s="1"/>
  <c r="AC182" i="1" s="1"/>
  <c r="AA204" i="1"/>
  <c r="AB251" i="1"/>
  <c r="AC251" i="1" s="1"/>
  <c r="AA348" i="1"/>
  <c r="AB360" i="1"/>
  <c r="AC360" i="1" s="1"/>
  <c r="AA83" i="1"/>
  <c r="AB124" i="1"/>
  <c r="AC124" i="1" s="1"/>
  <c r="AB173" i="1"/>
  <c r="AC173" i="1" s="1"/>
  <c r="AB216" i="1"/>
  <c r="AC216" i="1" s="1"/>
  <c r="AB11" i="1"/>
  <c r="AC11" i="1" s="1"/>
  <c r="AA63" i="1"/>
  <c r="AA104" i="1"/>
  <c r="AB104" i="1" s="1"/>
  <c r="AA153" i="1"/>
  <c r="AB153" i="1" s="1"/>
  <c r="AC153" i="1" s="1"/>
  <c r="AB338" i="1"/>
  <c r="AC338" i="1" s="1"/>
  <c r="AA432" i="1"/>
  <c r="AB623" i="1"/>
  <c r="AC623" i="1" s="1"/>
  <c r="AB956" i="1"/>
  <c r="AC956" i="1" s="1"/>
  <c r="AA20" i="1"/>
  <c r="AB41" i="1"/>
  <c r="AC41" i="1" s="1"/>
  <c r="AB115" i="1"/>
  <c r="AC115" i="1" s="1"/>
  <c r="AB217" i="1"/>
  <c r="AC217" i="1" s="1"/>
  <c r="AA252" i="1"/>
  <c r="AB252" i="1" s="1"/>
  <c r="AB549" i="1"/>
  <c r="AC549" i="1" s="1"/>
  <c r="AC447" i="1"/>
  <c r="AB64" i="1"/>
  <c r="AC64" i="1" s="1"/>
  <c r="AA84" i="1"/>
  <c r="AB526" i="1"/>
  <c r="AC526" i="1" s="1"/>
  <c r="AA550" i="1"/>
  <c r="AB550" i="1" s="1"/>
  <c r="AC550" i="1" s="1"/>
  <c r="AB576" i="1"/>
  <c r="AC576" i="1" s="1"/>
  <c r="AA463" i="1"/>
  <c r="AB463" i="1" s="1"/>
  <c r="AC463" i="1" s="1"/>
  <c r="AA667" i="1"/>
  <c r="AA978" i="1"/>
  <c r="AA1146" i="1"/>
  <c r="AB1146" i="1" s="1"/>
  <c r="AC1146" i="1" s="1"/>
  <c r="AC1245" i="1"/>
  <c r="AC815" i="1"/>
  <c r="AA480" i="1"/>
  <c r="AA646" i="1"/>
  <c r="AB679" i="1"/>
  <c r="AC679" i="1" s="1"/>
  <c r="AB700" i="1"/>
  <c r="AC700" i="1" s="1"/>
  <c r="AB806" i="1"/>
  <c r="AC806" i="1" s="1"/>
  <c r="AB1169" i="1"/>
  <c r="AC1169" i="1" s="1"/>
  <c r="AA1207" i="1"/>
  <c r="AA456" i="1"/>
  <c r="AA773" i="1"/>
  <c r="AA889" i="1"/>
  <c r="AB889" i="1" s="1"/>
  <c r="AA911" i="1"/>
  <c r="AB911" i="1" s="1"/>
  <c r="AC911" i="1" s="1"/>
  <c r="AC1159" i="1"/>
  <c r="AA371" i="1"/>
  <c r="AB371" i="1" s="1"/>
  <c r="AC371" i="1" s="1"/>
  <c r="AA386" i="1"/>
  <c r="AB386" i="1" s="1"/>
  <c r="AA409" i="1"/>
  <c r="AB409" i="1" s="1"/>
  <c r="AA417" i="1"/>
  <c r="AB417" i="1" s="1"/>
  <c r="AC417" i="1" s="1"/>
  <c r="AB488" i="1"/>
  <c r="AC488" i="1" s="1"/>
  <c r="AA504" i="1"/>
  <c r="AB504" i="1" s="1"/>
  <c r="AA701" i="1"/>
  <c r="AB701" i="1" s="1"/>
  <c r="AC701" i="1" s="1"/>
  <c r="AA751" i="1"/>
  <c r="AC992" i="1"/>
  <c r="AC1025" i="1"/>
  <c r="AC1120" i="1"/>
  <c r="AA1285" i="1"/>
  <c r="AB1285" i="1" s="1"/>
  <c r="AA394" i="1"/>
  <c r="AB394" i="1" s="1"/>
  <c r="AC394" i="1" s="1"/>
  <c r="AA425" i="1"/>
  <c r="AB425" i="1" s="1"/>
  <c r="AC425" i="1" s="1"/>
  <c r="AB433" i="1"/>
  <c r="AC433" i="1" s="1"/>
  <c r="AA441" i="1"/>
  <c r="AA464" i="1"/>
  <c r="AB464" i="1" s="1"/>
  <c r="AA473" i="1"/>
  <c r="AA496" i="1"/>
  <c r="AA559" i="1"/>
  <c r="AA596" i="1"/>
  <c r="AB596" i="1" s="1"/>
  <c r="AA624" i="1"/>
  <c r="AB624" i="1" s="1"/>
  <c r="AB636" i="1"/>
  <c r="AC636" i="1" s="1"/>
  <c r="AA722" i="1"/>
  <c r="AC731" i="1"/>
  <c r="AA786" i="1"/>
  <c r="AB786" i="1" s="1"/>
  <c r="AC786" i="1" s="1"/>
  <c r="AA890" i="1"/>
  <c r="AB890" i="1" s="1"/>
  <c r="AC890" i="1" s="1"/>
  <c r="AC924" i="1"/>
  <c r="AB948" i="1"/>
  <c r="AC948" i="1" s="1"/>
  <c r="AB969" i="1"/>
  <c r="AC969" i="1" s="1"/>
  <c r="AA993" i="1"/>
  <c r="AB993" i="1" s="1"/>
  <c r="AC993" i="1" s="1"/>
  <c r="AB1015" i="1"/>
  <c r="AC1015" i="1" s="1"/>
  <c r="AA1121" i="1"/>
  <c r="AB1121" i="1" s="1"/>
  <c r="AC1121" i="1" s="1"/>
  <c r="AA1195" i="1"/>
  <c r="AA253" i="1"/>
  <c r="AB253" i="1" s="1"/>
  <c r="AC253" i="1" s="1"/>
  <c r="AA364" i="1"/>
  <c r="AA379" i="1"/>
  <c r="AA449" i="1"/>
  <c r="AA512" i="1"/>
  <c r="AB512" i="1" s="1"/>
  <c r="AC512" i="1" s="1"/>
  <c r="AA568" i="1"/>
  <c r="AB568" i="1" s="1"/>
  <c r="AC568" i="1" s="1"/>
  <c r="AB625" i="1"/>
  <c r="AC625" i="1" s="1"/>
  <c r="AA680" i="1"/>
  <c r="AA807" i="1"/>
  <c r="AB828" i="1"/>
  <c r="AC828" i="1" s="1"/>
  <c r="AA860" i="1"/>
  <c r="AB860" i="1" s="1"/>
  <c r="AA925" i="1"/>
  <c r="AB1039" i="1"/>
  <c r="AC1039" i="1" s="1"/>
  <c r="AB1658" i="1"/>
  <c r="AC1658" i="1" s="1"/>
  <c r="AA297" i="1"/>
  <c r="AB297" i="1" s="1"/>
  <c r="AC297" i="1" s="1"/>
  <c r="AA334" i="1"/>
  <c r="AA357" i="1"/>
  <c r="AB357" i="1" s="1"/>
  <c r="AC357" i="1" s="1"/>
  <c r="AA402" i="1"/>
  <c r="AB402" i="1" s="1"/>
  <c r="AC402" i="1" s="1"/>
  <c r="AA410" i="1"/>
  <c r="AB410" i="1" s="1"/>
  <c r="AC410" i="1" s="1"/>
  <c r="AA543" i="1"/>
  <c r="AB543" i="1" s="1"/>
  <c r="AC543" i="1" s="1"/>
  <c r="AA616" i="1"/>
  <c r="AB616" i="1" s="1"/>
  <c r="AC616" i="1" s="1"/>
  <c r="AA637" i="1"/>
  <c r="AC732" i="1"/>
  <c r="AA1016" i="1"/>
  <c r="AB1480" i="1"/>
  <c r="AC1480" i="1" s="1"/>
  <c r="AA426" i="1"/>
  <c r="AB426" i="1" s="1"/>
  <c r="AC426" i="1" s="1"/>
  <c r="AA626" i="1"/>
  <c r="AC913" i="1"/>
  <c r="AA1040" i="1"/>
  <c r="AB1040" i="1" s="1"/>
  <c r="AC1040" i="1" s="1"/>
  <c r="AB1063" i="1"/>
  <c r="AC1063" i="1" s="1"/>
  <c r="AA290" i="1"/>
  <c r="AB290" i="1" s="1"/>
  <c r="AC290" i="1" s="1"/>
  <c r="AB305" i="1"/>
  <c r="AC305" i="1" s="1"/>
  <c r="AA372" i="1"/>
  <c r="AA387" i="1"/>
  <c r="AB387" i="1" s="1"/>
  <c r="AA434" i="1"/>
  <c r="AA505" i="1"/>
  <c r="AA659" i="1"/>
  <c r="AA681" i="1"/>
  <c r="AB681" i="1" s="1"/>
  <c r="AC681" i="1" s="1"/>
  <c r="AB702" i="1"/>
  <c r="AC702" i="1" s="1"/>
  <c r="AA743" i="1"/>
  <c r="AA764" i="1"/>
  <c r="AB764" i="1" s="1"/>
  <c r="AA949" i="1"/>
  <c r="AC1249" i="1"/>
  <c r="AA283" i="1"/>
  <c r="AA320" i="1"/>
  <c r="AB343" i="1"/>
  <c r="AC343" i="1" s="1"/>
  <c r="AB350" i="1"/>
  <c r="AC350" i="1" s="1"/>
  <c r="AA403" i="1"/>
  <c r="AB442" i="1"/>
  <c r="AC442" i="1" s="1"/>
  <c r="AA466" i="1"/>
  <c r="AB466" i="1" s="1"/>
  <c r="AC466" i="1" s="1"/>
  <c r="AB474" i="1"/>
  <c r="AC474" i="1" s="1"/>
  <c r="AA536" i="1"/>
  <c r="AB536" i="1" s="1"/>
  <c r="AA552" i="1"/>
  <c r="AB552" i="1" s="1"/>
  <c r="AA560" i="1"/>
  <c r="AA723" i="1"/>
  <c r="AB723" i="1" s="1"/>
  <c r="AA787" i="1"/>
  <c r="AB787" i="1" s="1"/>
  <c r="AA829" i="1"/>
  <c r="AC1349" i="1"/>
  <c r="AA35" i="1"/>
  <c r="AA176" i="1"/>
  <c r="AB176" i="1" s="1"/>
  <c r="AC176" i="1" s="1"/>
  <c r="AC298" i="1"/>
  <c r="AA458" i="1"/>
  <c r="AA490" i="1"/>
  <c r="AB490" i="1" s="1"/>
  <c r="AC490" i="1" s="1"/>
  <c r="AA528" i="1"/>
  <c r="AB528" i="1" s="1"/>
  <c r="AA569" i="1"/>
  <c r="AB569" i="1" s="1"/>
  <c r="AC598" i="1"/>
  <c r="AA808" i="1"/>
  <c r="AB808" i="1" s="1"/>
  <c r="AA1064" i="1"/>
  <c r="AC1137" i="1"/>
  <c r="AA1415" i="1"/>
  <c r="AC169" i="1"/>
  <c r="AA660" i="1"/>
  <c r="AB660" i="1" s="1"/>
  <c r="AC660" i="1" s="1"/>
  <c r="AA765" i="1"/>
  <c r="AB765" i="1" s="1"/>
  <c r="AC765" i="1" s="1"/>
  <c r="AA971" i="1"/>
  <c r="AB971" i="1" s="1"/>
  <c r="AA7" i="1"/>
  <c r="AA99" i="1"/>
  <c r="AA127" i="1"/>
  <c r="AA240" i="1"/>
  <c r="AB240" i="1" s="1"/>
  <c r="AC240" i="1" s="1"/>
  <c r="AA321" i="1"/>
  <c r="AB321" i="1" s="1"/>
  <c r="AC321" i="1" s="1"/>
  <c r="AA419" i="1"/>
  <c r="AB419" i="1" s="1"/>
  <c r="AC419" i="1" s="1"/>
  <c r="AA589" i="1"/>
  <c r="AA778" i="1"/>
  <c r="AB799" i="1"/>
  <c r="AC799" i="1" s="1"/>
  <c r="AA830" i="1"/>
  <c r="AA927" i="1"/>
  <c r="AA269" i="1"/>
  <c r="AA291" i="1"/>
  <c r="AB291" i="1" s="1"/>
  <c r="AB314" i="1"/>
  <c r="AC314" i="1" s="1"/>
  <c r="AA336" i="1"/>
  <c r="AB336" i="1" s="1"/>
  <c r="AA351" i="1"/>
  <c r="AA373" i="1"/>
  <c r="AB381" i="1"/>
  <c r="AC381" i="1" s="1"/>
  <c r="AA396" i="1"/>
  <c r="AB396" i="1" s="1"/>
  <c r="AB435" i="1"/>
  <c r="AC435" i="1" s="1"/>
  <c r="AA443" i="1"/>
  <c r="AA475" i="1"/>
  <c r="AB529" i="1"/>
  <c r="AC529" i="1" s="1"/>
  <c r="AA545" i="1"/>
  <c r="AB545" i="1" s="1"/>
  <c r="AA639" i="1"/>
  <c r="AB639" i="1" s="1"/>
  <c r="AC683" i="1"/>
  <c r="AC704" i="1"/>
  <c r="AC724" i="1"/>
  <c r="AA744" i="1"/>
  <c r="AB744" i="1" s="1"/>
  <c r="AC820" i="1"/>
  <c r="AB882" i="1"/>
  <c r="AC882" i="1" s="1"/>
  <c r="AA1609" i="1"/>
  <c r="AB1609" i="1" s="1"/>
  <c r="AB389" i="1"/>
  <c r="AC389" i="1" s="1"/>
  <c r="AB428" i="1"/>
  <c r="AC428" i="1" s="1"/>
  <c r="AC483" i="1"/>
  <c r="AA571" i="1"/>
  <c r="AB571" i="1" s="1"/>
  <c r="AC571" i="1" s="1"/>
  <c r="AA904" i="1"/>
  <c r="AC940" i="1"/>
  <c r="AC962" i="1"/>
  <c r="AC1199" i="1"/>
  <c r="AC1429" i="1"/>
  <c r="AB22" i="1"/>
  <c r="AC22" i="1" s="1"/>
  <c r="AA163" i="1"/>
  <c r="AB163" i="1" s="1"/>
  <c r="AA522" i="1"/>
  <c r="AB766" i="1"/>
  <c r="AC766" i="1" s="1"/>
  <c r="AB514" i="1"/>
  <c r="AC514" i="1" s="1"/>
  <c r="AA562" i="1"/>
  <c r="AB562" i="1" s="1"/>
  <c r="AB629" i="1"/>
  <c r="AC629" i="1" s="1"/>
  <c r="AA694" i="1"/>
  <c r="AB694" i="1" s="1"/>
  <c r="AA800" i="1"/>
  <c r="AA821" i="1"/>
  <c r="AC842" i="1"/>
  <c r="AB984" i="1"/>
  <c r="AC984" i="1" s="1"/>
  <c r="AC1213" i="1"/>
  <c r="AA227" i="1"/>
  <c r="AB227" i="1" s="1"/>
  <c r="AC227" i="1" s="1"/>
  <c r="AB241" i="1"/>
  <c r="AC241" i="1" s="1"/>
  <c r="AB285" i="1"/>
  <c r="AC285" i="1" s="1"/>
  <c r="AA554" i="1"/>
  <c r="AB554" i="1" s="1"/>
  <c r="AC554" i="1" s="1"/>
  <c r="AA673" i="1"/>
  <c r="AB673" i="1" s="1"/>
  <c r="AC673" i="1" s="1"/>
  <c r="AA853" i="1"/>
  <c r="AB853" i="1" s="1"/>
  <c r="AC853" i="1" s="1"/>
  <c r="AA270" i="1"/>
  <c r="AB421" i="1"/>
  <c r="AC421" i="1" s="1"/>
  <c r="AA444" i="1"/>
  <c r="AB444" i="1" s="1"/>
  <c r="AC444" i="1" s="1"/>
  <c r="AA468" i="1"/>
  <c r="AB468" i="1" s="1"/>
  <c r="AA515" i="1"/>
  <c r="AB515" i="1" s="1"/>
  <c r="AC523" i="1"/>
  <c r="AA546" i="1"/>
  <c r="AB546" i="1" s="1"/>
  <c r="AA573" i="1"/>
  <c r="AB573" i="1" s="1"/>
  <c r="AC573" i="1" s="1"/>
  <c r="AA716" i="1"/>
  <c r="AC843" i="1"/>
  <c r="AA963" i="1"/>
  <c r="AA30" i="1"/>
  <c r="AB30" i="1" s="1"/>
  <c r="AA37" i="1"/>
  <c r="AB37" i="1" s="1"/>
  <c r="AC37" i="1" s="1"/>
  <c r="AA44" i="1"/>
  <c r="AB44" i="1" s="1"/>
  <c r="AA51" i="1"/>
  <c r="AB51" i="1" s="1"/>
  <c r="AC51" i="1" s="1"/>
  <c r="AA58" i="1"/>
  <c r="AA65" i="1"/>
  <c r="AB65" i="1" s="1"/>
  <c r="AC65" i="1" s="1"/>
  <c r="AA72" i="1"/>
  <c r="AB72" i="1" s="1"/>
  <c r="AC72" i="1" s="1"/>
  <c r="AA79" i="1"/>
  <c r="AA86" i="1"/>
  <c r="AB86" i="1" s="1"/>
  <c r="AA171" i="1"/>
  <c r="AB171" i="1" s="1"/>
  <c r="AC171" i="1" s="1"/>
  <c r="AA178" i="1"/>
  <c r="AB178" i="1" s="1"/>
  <c r="AC178" i="1" s="1"/>
  <c r="AA185" i="1"/>
  <c r="AB185" i="1" s="1"/>
  <c r="AA192" i="1"/>
  <c r="AB192" i="1" s="1"/>
  <c r="AA199" i="1"/>
  <c r="AB199" i="1" s="1"/>
  <c r="AC199" i="1" s="1"/>
  <c r="AA206" i="1"/>
  <c r="AA213" i="1"/>
  <c r="AA220" i="1"/>
  <c r="AA249" i="1"/>
  <c r="AA256" i="1"/>
  <c r="AB256" i="1" s="1"/>
  <c r="AC256" i="1" s="1"/>
  <c r="AA263" i="1"/>
  <c r="AB263" i="1" s="1"/>
  <c r="AB352" i="1"/>
  <c r="AC352" i="1" s="1"/>
  <c r="AB374" i="1"/>
  <c r="AC374" i="1" s="1"/>
  <c r="AB405" i="1"/>
  <c r="AC405" i="1" s="1"/>
  <c r="AC591" i="1"/>
  <c r="AC610" i="1"/>
  <c r="AA985" i="1"/>
  <c r="AA1032" i="1"/>
  <c r="AB1032" i="1" s="1"/>
  <c r="AC1032" i="1" s="1"/>
  <c r="AC1165" i="1"/>
  <c r="AA16" i="1"/>
  <c r="AB16" i="1" s="1"/>
  <c r="AC16" i="1" s="1"/>
  <c r="AB150" i="1"/>
  <c r="AC150" i="1" s="1"/>
  <c r="AB164" i="1"/>
  <c r="AC164" i="1" s="1"/>
  <c r="AB330" i="1"/>
  <c r="AC330" i="1" s="1"/>
  <c r="AA367" i="1"/>
  <c r="AB367" i="1" s="1"/>
  <c r="AA398" i="1"/>
  <c r="AA413" i="1"/>
  <c r="AB413" i="1" s="1"/>
  <c r="AC413" i="1" s="1"/>
  <c r="AA674" i="1"/>
  <c r="AB674" i="1" s="1"/>
  <c r="AC707" i="1"/>
  <c r="AB757" i="1"/>
  <c r="AC757" i="1" s="1"/>
  <c r="AA986" i="1"/>
  <c r="AB986" i="1" s="1"/>
  <c r="AC986" i="1" s="1"/>
  <c r="AC1128" i="1"/>
  <c r="AA1215" i="1"/>
  <c r="AB1215" i="1" s="1"/>
  <c r="AC1215" i="1" s="1"/>
  <c r="AC9" i="1"/>
  <c r="AA94" i="1"/>
  <c r="AA235" i="1"/>
  <c r="AB235" i="1" s="1"/>
  <c r="AA242" i="1"/>
  <c r="AA278" i="1"/>
  <c r="AA293" i="1"/>
  <c r="AA323" i="1"/>
  <c r="AA375" i="1"/>
  <c r="AA477" i="1"/>
  <c r="AB477" i="1" s="1"/>
  <c r="AC477" i="1" s="1"/>
  <c r="AA508" i="1"/>
  <c r="AB508" i="1" s="1"/>
  <c r="AC508" i="1" s="1"/>
  <c r="AB630" i="1"/>
  <c r="AC630" i="1" s="1"/>
  <c r="AC747" i="1"/>
  <c r="AA780" i="1"/>
  <c r="AB780" i="1" s="1"/>
  <c r="AB792" i="1"/>
  <c r="AC792" i="1" s="1"/>
  <c r="AA801" i="1"/>
  <c r="AB801" i="1" s="1"/>
  <c r="AA942" i="1"/>
  <c r="AB942" i="1" s="1"/>
  <c r="AC942" i="1" s="1"/>
  <c r="AC1229" i="1"/>
  <c r="AA80" i="1"/>
  <c r="AB80" i="1" s="1"/>
  <c r="AC80" i="1" s="1"/>
  <c r="AA524" i="1"/>
  <c r="AA653" i="1"/>
  <c r="AB653" i="1" s="1"/>
  <c r="AC653" i="1" s="1"/>
  <c r="AC696" i="1"/>
  <c r="AC717" i="1"/>
  <c r="AB822" i="1"/>
  <c r="AC822" i="1" s="1"/>
  <c r="AC975" i="1"/>
  <c r="AB1154" i="1"/>
  <c r="AC1154" i="1" s="1"/>
  <c r="AA391" i="1"/>
  <c r="AA406" i="1"/>
  <c r="AA461" i="1"/>
  <c r="AB461" i="1" s="1"/>
  <c r="AA469" i="1"/>
  <c r="AB469" i="1" s="1"/>
  <c r="AC469" i="1" s="1"/>
  <c r="AA547" i="1"/>
  <c r="AB574" i="1"/>
  <c r="AC574" i="1" s="1"/>
  <c r="AA602" i="1"/>
  <c r="AB602" i="1" s="1"/>
  <c r="AC602" i="1" s="1"/>
  <c r="AA737" i="1"/>
  <c r="AB737" i="1" s="1"/>
  <c r="AA875" i="1"/>
  <c r="AB896" i="1"/>
  <c r="AC896" i="1" s="1"/>
  <c r="AB10" i="1"/>
  <c r="AA31" i="1"/>
  <c r="AA38" i="1"/>
  <c r="AA45" i="1"/>
  <c r="AA52" i="1"/>
  <c r="AA59" i="1"/>
  <c r="AB59" i="1" s="1"/>
  <c r="AC59" i="1" s="1"/>
  <c r="AA66" i="1"/>
  <c r="AB66" i="1" s="1"/>
  <c r="AC66" i="1" s="1"/>
  <c r="AA73" i="1"/>
  <c r="AB73" i="1" s="1"/>
  <c r="AC73" i="1" s="1"/>
  <c r="AA158" i="1"/>
  <c r="AB158" i="1" s="1"/>
  <c r="AC158" i="1" s="1"/>
  <c r="AA165" i="1"/>
  <c r="AB165" i="1" s="1"/>
  <c r="AC165" i="1" s="1"/>
  <c r="AA172" i="1"/>
  <c r="AA179" i="1"/>
  <c r="AA186" i="1"/>
  <c r="AA193" i="1"/>
  <c r="AB193" i="1" s="1"/>
  <c r="AC193" i="1" s="1"/>
  <c r="AA200" i="1"/>
  <c r="AA207" i="1"/>
  <c r="AA214" i="1"/>
  <c r="AB214" i="1" s="1"/>
  <c r="AC214" i="1" s="1"/>
  <c r="AA250" i="1"/>
  <c r="AA257" i="1"/>
  <c r="AA264" i="1"/>
  <c r="AB286" i="1"/>
  <c r="AC286" i="1" s="1"/>
  <c r="AA294" i="1"/>
  <c r="AA309" i="1"/>
  <c r="AA346" i="1"/>
  <c r="AB414" i="1"/>
  <c r="AC414" i="1" s="1"/>
  <c r="AA422" i="1"/>
  <c r="AA493" i="1"/>
  <c r="AA501" i="1"/>
  <c r="AA517" i="1"/>
  <c r="AA532" i="1"/>
  <c r="AB532" i="1" s="1"/>
  <c r="AC532" i="1" s="1"/>
  <c r="AA564" i="1"/>
  <c r="AB564" i="1" s="1"/>
  <c r="AA758" i="1"/>
  <c r="AB758" i="1" s="1"/>
  <c r="AA823" i="1"/>
  <c r="AB823" i="1" s="1"/>
  <c r="AC823" i="1" s="1"/>
  <c r="AC943" i="1"/>
  <c r="AA1104" i="1"/>
  <c r="AB1104" i="1" s="1"/>
  <c r="AB1355" i="1"/>
  <c r="AC1355" i="1" s="1"/>
  <c r="AA3" i="1"/>
  <c r="AA144" i="1"/>
  <c r="AB151" i="1"/>
  <c r="AC151" i="1" s="1"/>
  <c r="AA368" i="1"/>
  <c r="AB368" i="1" s="1"/>
  <c r="AC368" i="1" s="1"/>
  <c r="AA384" i="1"/>
  <c r="AB384" i="1" s="1"/>
  <c r="AC384" i="1" s="1"/>
  <c r="AA399" i="1"/>
  <c r="AA430" i="1"/>
  <c r="AB446" i="1"/>
  <c r="AC446" i="1" s="1"/>
  <c r="AA632" i="1"/>
  <c r="AA793" i="1"/>
  <c r="AB793" i="1" s="1"/>
  <c r="AA866" i="1"/>
  <c r="AB866" i="1" s="1"/>
  <c r="AB955" i="1"/>
  <c r="AC955" i="1" s="1"/>
  <c r="AB1178" i="1"/>
  <c r="AC1178" i="1" s="1"/>
  <c r="AC1242" i="1"/>
  <c r="AA88" i="1"/>
  <c r="AB88" i="1" s="1"/>
  <c r="AC88" i="1" s="1"/>
  <c r="AA95" i="1"/>
  <c r="AA102" i="1"/>
  <c r="AB102" i="1" s="1"/>
  <c r="AC102" i="1" s="1"/>
  <c r="AA109" i="1"/>
  <c r="AB109" i="1" s="1"/>
  <c r="AC109" i="1" s="1"/>
  <c r="AA116" i="1"/>
  <c r="AB116" i="1" s="1"/>
  <c r="AC116" i="1" s="1"/>
  <c r="AA123" i="1"/>
  <c r="AB123" i="1" s="1"/>
  <c r="AA222" i="1"/>
  <c r="AB222" i="1" s="1"/>
  <c r="AA229" i="1"/>
  <c r="AA236" i="1"/>
  <c r="AA243" i="1"/>
  <c r="AA279" i="1"/>
  <c r="AA287" i="1"/>
  <c r="AA302" i="1"/>
  <c r="AA339" i="1"/>
  <c r="AA361" i="1"/>
  <c r="AA407" i="1"/>
  <c r="AA454" i="1"/>
  <c r="AA470" i="1"/>
  <c r="AB478" i="1"/>
  <c r="AC478" i="1" s="1"/>
  <c r="AA540" i="1"/>
  <c r="AC584" i="1"/>
  <c r="AA687" i="1"/>
  <c r="AB687" i="1" s="1"/>
  <c r="AB919" i="1"/>
  <c r="AC919" i="1" s="1"/>
  <c r="AB1022" i="1"/>
  <c r="AC1022" i="1" s="1"/>
  <c r="AB1046" i="1"/>
  <c r="AC1046" i="1" s="1"/>
  <c r="AA1256" i="1"/>
  <c r="AA67" i="1"/>
  <c r="AA130" i="1"/>
  <c r="AA137" i="1"/>
  <c r="AB137" i="1" s="1"/>
  <c r="AC137" i="1" s="1"/>
  <c r="AA208" i="1"/>
  <c r="AB208" i="1" s="1"/>
  <c r="AC208" i="1" s="1"/>
  <c r="AB215" i="1"/>
  <c r="AC215" i="1" s="1"/>
  <c r="AC272" i="1"/>
  <c r="AA317" i="1"/>
  <c r="AB317" i="1" s="1"/>
  <c r="AA377" i="1"/>
  <c r="AB377" i="1" s="1"/>
  <c r="AA415" i="1"/>
  <c r="AA486" i="1"/>
  <c r="AB486" i="1" s="1"/>
  <c r="AA494" i="1"/>
  <c r="AB494" i="1" s="1"/>
  <c r="AC494" i="1" s="1"/>
  <c r="AA525" i="1"/>
  <c r="AA575" i="1"/>
  <c r="AB594" i="1"/>
  <c r="AC594" i="1" s="1"/>
  <c r="AC603" i="1"/>
  <c r="AB622" i="1"/>
  <c r="AC622" i="1" s="1"/>
  <c r="AC719" i="1"/>
  <c r="AA729" i="1"/>
  <c r="AC738" i="1"/>
  <c r="AA771" i="1"/>
  <c r="AB1023" i="1"/>
  <c r="AC1023" i="1" s="1"/>
  <c r="AA1343" i="1"/>
  <c r="AA1435" i="1"/>
  <c r="AC201" i="1"/>
  <c r="AC280" i="1"/>
  <c r="AB794" i="1"/>
  <c r="AC794" i="1" s="1"/>
  <c r="AA1001" i="1"/>
  <c r="AC1525" i="1"/>
  <c r="AB918" i="1"/>
  <c r="AC918" i="1" s="1"/>
  <c r="AA1047" i="1"/>
  <c r="AB1047" i="1" s="1"/>
  <c r="AB1112" i="1"/>
  <c r="AC1112" i="1" s="1"/>
  <c r="AA1196" i="1"/>
  <c r="AB1196" i="1" s="1"/>
  <c r="AC1265" i="1"/>
  <c r="AB1446" i="1"/>
  <c r="AC1446" i="1" s="1"/>
  <c r="AB1481" i="1"/>
  <c r="AC1481" i="1" s="1"/>
  <c r="AA1503" i="1"/>
  <c r="AB1503" i="1" s="1"/>
  <c r="AC1586" i="1"/>
  <c r="AC1802" i="1"/>
  <c r="AB2555" i="1"/>
  <c r="AC2555" i="1" s="1"/>
  <c r="AA1458" i="1"/>
  <c r="AB1458" i="1" s="1"/>
  <c r="AC1458" i="1" s="1"/>
  <c r="AA1587" i="1"/>
  <c r="AB1587" i="1" s="1"/>
  <c r="AA1610" i="1"/>
  <c r="AB1610" i="1" s="1"/>
  <c r="AC1633" i="1"/>
  <c r="AC1694" i="1"/>
  <c r="AB1385" i="1"/>
  <c r="AC1385" i="1" s="1"/>
  <c r="AB1622" i="1"/>
  <c r="AC1622" i="1" s="1"/>
  <c r="AA2215" i="1"/>
  <c r="AA1065" i="1"/>
  <c r="AA1081" i="1"/>
  <c r="AB1081" i="1" s="1"/>
  <c r="AC1081" i="1" s="1"/>
  <c r="AA1306" i="1"/>
  <c r="AB1306" i="1" s="1"/>
  <c r="AA1335" i="1"/>
  <c r="AA1364" i="1"/>
  <c r="AA1563" i="1"/>
  <c r="AB1563" i="1" s="1"/>
  <c r="AC1841" i="1"/>
  <c r="AB1048" i="1"/>
  <c r="AC1048" i="1" s="1"/>
  <c r="AB1056" i="1"/>
  <c r="AC1056" i="1" s="1"/>
  <c r="AA1073" i="1"/>
  <c r="AA1097" i="1"/>
  <c r="AA1163" i="1"/>
  <c r="AA1198" i="1"/>
  <c r="AB1198" i="1" s="1"/>
  <c r="AC1198" i="1" s="1"/>
  <c r="AA1227" i="1"/>
  <c r="AB1227" i="1" s="1"/>
  <c r="AA1277" i="1"/>
  <c r="AA1336" i="1"/>
  <c r="AB1365" i="1"/>
  <c r="AC1365" i="1" s="1"/>
  <c r="AA1407" i="1"/>
  <c r="AB1407" i="1" s="1"/>
  <c r="AC1407" i="1" s="1"/>
  <c r="AA1436" i="1"/>
  <c r="AB1707" i="1"/>
  <c r="AC1707" i="1" s="1"/>
  <c r="AB1719" i="1"/>
  <c r="AC1719" i="1" s="1"/>
  <c r="AB1105" i="1"/>
  <c r="AC1105" i="1" s="1"/>
  <c r="AA1130" i="1"/>
  <c r="AB1130" i="1" s="1"/>
  <c r="AA1179" i="1"/>
  <c r="AA1187" i="1"/>
  <c r="AB1187" i="1" s="1"/>
  <c r="AA1257" i="1"/>
  <c r="AB1257" i="1" s="1"/>
  <c r="AC1346" i="1"/>
  <c r="AA1356" i="1"/>
  <c r="AB1356" i="1" s="1"/>
  <c r="AC1356" i="1" s="1"/>
  <c r="AC1459" i="1"/>
  <c r="AB1494" i="1"/>
  <c r="AC1494" i="1" s="1"/>
  <c r="AA1708" i="1"/>
  <c r="AB1708" i="1" s="1"/>
  <c r="AB1767" i="1"/>
  <c r="AC1767" i="1" s="1"/>
  <c r="AA1009" i="1"/>
  <c r="AB1009" i="1" s="1"/>
  <c r="AB1024" i="1"/>
  <c r="AC1024" i="1" s="1"/>
  <c r="AA1138" i="1"/>
  <c r="AA1155" i="1"/>
  <c r="AA1188" i="1"/>
  <c r="AB1208" i="1"/>
  <c r="AB1248" i="1"/>
  <c r="AC1248" i="1" s="1"/>
  <c r="AB1366" i="1"/>
  <c r="AC1366" i="1" s="1"/>
  <c r="AA1386" i="1"/>
  <c r="AB1386" i="1" s="1"/>
  <c r="AA1437" i="1"/>
  <c r="AB1437" i="1" s="1"/>
  <c r="AC1437" i="1" s="1"/>
  <c r="AB1541" i="1"/>
  <c r="AC1541" i="1" s="1"/>
  <c r="AA1564" i="1"/>
  <c r="AA1683" i="1"/>
  <c r="AB1683" i="1" s="1"/>
  <c r="AC2046" i="1"/>
  <c r="AA2413" i="1"/>
  <c r="AB2413" i="1" s="1"/>
  <c r="AB1041" i="1"/>
  <c r="AC1041" i="1" s="1"/>
  <c r="AA1074" i="1"/>
  <c r="AB1074" i="1" s="1"/>
  <c r="AC1074" i="1" s="1"/>
  <c r="AB1082" i="1"/>
  <c r="AC1082" i="1" s="1"/>
  <c r="AA1098" i="1"/>
  <c r="AA1114" i="1"/>
  <c r="AB1114" i="1" s="1"/>
  <c r="AA1139" i="1"/>
  <c r="AB1139" i="1" s="1"/>
  <c r="AA1228" i="1"/>
  <c r="AA1327" i="1"/>
  <c r="AB1327" i="1" s="1"/>
  <c r="AC1528" i="1"/>
  <c r="AB2021" i="1"/>
  <c r="AC2021" i="1" s="1"/>
  <c r="AA920" i="1"/>
  <c r="AB920" i="1" s="1"/>
  <c r="AA935" i="1"/>
  <c r="AB987" i="1"/>
  <c r="AC987" i="1" s="1"/>
  <c r="AA1002" i="1"/>
  <c r="AA1049" i="1"/>
  <c r="AA1057" i="1"/>
  <c r="AA1066" i="1"/>
  <c r="AA1172" i="1"/>
  <c r="AA1208" i="1"/>
  <c r="AC1258" i="1"/>
  <c r="AB1449" i="1"/>
  <c r="AC1449" i="1" s="1"/>
  <c r="AA1541" i="1"/>
  <c r="AB1624" i="1"/>
  <c r="AC1624" i="1" s="1"/>
  <c r="AA1768" i="1"/>
  <c r="AB1768" i="1" s="1"/>
  <c r="AA1844" i="1"/>
  <c r="AB1844" i="1" s="1"/>
  <c r="AA618" i="1"/>
  <c r="AA950" i="1"/>
  <c r="AB979" i="1"/>
  <c r="AC979" i="1" s="1"/>
  <c r="AA1017" i="1"/>
  <c r="AB1017" i="1" s="1"/>
  <c r="AA1033" i="1"/>
  <c r="AB1033" i="1" s="1"/>
  <c r="AA1140" i="1"/>
  <c r="AA1156" i="1"/>
  <c r="AB1189" i="1"/>
  <c r="AC1189" i="1" s="1"/>
  <c r="AB1269" i="1"/>
  <c r="AC1269" i="1" s="1"/>
  <c r="AA1278" i="1"/>
  <c r="AB1278" i="1" s="1"/>
  <c r="AC1278" i="1" s="1"/>
  <c r="AA1348" i="1"/>
  <c r="AC1357" i="1"/>
  <c r="AA1408" i="1"/>
  <c r="AB1408" i="1" s="1"/>
  <c r="AC1408" i="1" s="1"/>
  <c r="AA1518" i="1"/>
  <c r="AB1518" i="1" s="1"/>
  <c r="AC1518" i="1" s="1"/>
  <c r="AB1590" i="1"/>
  <c r="AC1590" i="1" s="1"/>
  <c r="AC1744" i="1"/>
  <c r="AB1781" i="1"/>
  <c r="AC1781" i="1" s="1"/>
  <c r="AB1908" i="1"/>
  <c r="AC1908" i="1" s="1"/>
  <c r="AB2095" i="1"/>
  <c r="AC2095" i="1" s="1"/>
  <c r="AA703" i="1"/>
  <c r="AA752" i="1"/>
  <c r="AB752" i="1" s="1"/>
  <c r="AA898" i="1"/>
  <c r="AB898" i="1" s="1"/>
  <c r="AC898" i="1" s="1"/>
  <c r="AA995" i="1"/>
  <c r="AB995" i="1" s="1"/>
  <c r="AA1090" i="1"/>
  <c r="AA1115" i="1"/>
  <c r="AB1115" i="1" s="1"/>
  <c r="AC1115" i="1" s="1"/>
  <c r="AA1123" i="1"/>
  <c r="AB1123" i="1" s="1"/>
  <c r="AA1131" i="1"/>
  <c r="AA1148" i="1"/>
  <c r="AB1148" i="1" s="1"/>
  <c r="AC1148" i="1" s="1"/>
  <c r="AA1180" i="1"/>
  <c r="AB1180" i="1" s="1"/>
  <c r="AC1259" i="1"/>
  <c r="AA1298" i="1"/>
  <c r="AC1308" i="1"/>
  <c r="AA1377" i="1"/>
  <c r="AC1473" i="1"/>
  <c r="AC1613" i="1"/>
  <c r="AC1672" i="1"/>
  <c r="AA1684" i="1"/>
  <c r="AB1684" i="1" s="1"/>
  <c r="AB1922" i="1"/>
  <c r="AC1922" i="1" s="1"/>
  <c r="AA682" i="1"/>
  <c r="AB1388" i="1"/>
  <c r="AC1388" i="1" s="1"/>
  <c r="AB1870" i="1"/>
  <c r="AC1870" i="1" s="1"/>
  <c r="AA541" i="1"/>
  <c r="AB541" i="1" s="1"/>
  <c r="AC541" i="1" s="1"/>
  <c r="AA760" i="1"/>
  <c r="AB760" i="1" s="1"/>
  <c r="AC760" i="1" s="1"/>
  <c r="AA767" i="1"/>
  <c r="AB767" i="1" s="1"/>
  <c r="AC767" i="1" s="1"/>
  <c r="AA774" i="1"/>
  <c r="AB774" i="1" s="1"/>
  <c r="AC774" i="1" s="1"/>
  <c r="AA781" i="1"/>
  <c r="AB781" i="1" s="1"/>
  <c r="AC781" i="1" s="1"/>
  <c r="AA788" i="1"/>
  <c r="AA795" i="1"/>
  <c r="AA802" i="1"/>
  <c r="AB802" i="1" s="1"/>
  <c r="AC802" i="1" s="1"/>
  <c r="AA809" i="1"/>
  <c r="AB809" i="1" s="1"/>
  <c r="AC809" i="1" s="1"/>
  <c r="AB824" i="1"/>
  <c r="AC824" i="1" s="1"/>
  <c r="AA906" i="1"/>
  <c r="AB906" i="1" s="1"/>
  <c r="AA958" i="1"/>
  <c r="AA965" i="1"/>
  <c r="AA988" i="1"/>
  <c r="AB1107" i="1"/>
  <c r="AC1107" i="1" s="1"/>
  <c r="AA1328" i="1"/>
  <c r="AB1328" i="1" s="1"/>
  <c r="AA1400" i="1"/>
  <c r="AB1450" i="1"/>
  <c r="AC1450" i="1" s="1"/>
  <c r="AB1496" i="1"/>
  <c r="AC1496" i="1" s="1"/>
  <c r="AB1758" i="1"/>
  <c r="AC1758" i="1" s="1"/>
  <c r="AA633" i="1"/>
  <c r="AB633" i="1" s="1"/>
  <c r="AA640" i="1"/>
  <c r="AB640" i="1" s="1"/>
  <c r="AA647" i="1"/>
  <c r="AB647" i="1" s="1"/>
  <c r="AA654" i="1"/>
  <c r="AA661" i="1"/>
  <c r="AB661" i="1" s="1"/>
  <c r="AA668" i="1"/>
  <c r="AB668" i="1" s="1"/>
  <c r="AA675" i="1"/>
  <c r="AB675" i="1" s="1"/>
  <c r="AA746" i="1"/>
  <c r="AB753" i="1"/>
  <c r="AC753" i="1" s="1"/>
  <c r="AA854" i="1"/>
  <c r="AA891" i="1"/>
  <c r="AA921" i="1"/>
  <c r="AB921" i="1" s="1"/>
  <c r="AA936" i="1"/>
  <c r="AC973" i="1"/>
  <c r="AA1003" i="1"/>
  <c r="AA1067" i="1"/>
  <c r="AB1067" i="1" s="1"/>
  <c r="AB1091" i="1"/>
  <c r="AC1091" i="1" s="1"/>
  <c r="AA1132" i="1"/>
  <c r="AA1149" i="1"/>
  <c r="AA1173" i="1"/>
  <c r="AC1181" i="1"/>
  <c r="AA1200" i="1"/>
  <c r="AB1200" i="1" s="1"/>
  <c r="AC1210" i="1"/>
  <c r="AA1220" i="1"/>
  <c r="AB1220" i="1" s="1"/>
  <c r="AA1270" i="1"/>
  <c r="AB1270" i="1" s="1"/>
  <c r="AB1299" i="1"/>
  <c r="AC1299" i="1" s="1"/>
  <c r="AA1474" i="1"/>
  <c r="AB1474" i="1" s="1"/>
  <c r="AC1474" i="1" s="1"/>
  <c r="AA1626" i="1"/>
  <c r="AB1626" i="1" s="1"/>
  <c r="AC1626" i="1" s="1"/>
  <c r="AA2320" i="1"/>
  <c r="AA605" i="1"/>
  <c r="AC739" i="1"/>
  <c r="AA1191" i="1"/>
  <c r="AC1261" i="1"/>
  <c r="AB1440" i="1"/>
  <c r="AC1440" i="1" s="1"/>
  <c r="AC1451" i="1"/>
  <c r="AC1544" i="1"/>
  <c r="AB1555" i="1"/>
  <c r="AC1555" i="1" s="1"/>
  <c r="AA1651" i="1"/>
  <c r="AA1674" i="1"/>
  <c r="AB1674" i="1" s="1"/>
  <c r="AC1674" i="1" s="1"/>
  <c r="AC1897" i="1"/>
  <c r="AB1999" i="1"/>
  <c r="AC1999" i="1" s="1"/>
  <c r="AC2170" i="1"/>
  <c r="AA810" i="1"/>
  <c r="AA959" i="1"/>
  <c r="AA1300" i="1"/>
  <c r="AB1300" i="1" s="1"/>
  <c r="AC1300" i="1" s="1"/>
  <c r="AB1498" i="1"/>
  <c r="AC1498" i="1" s="1"/>
  <c r="AB1568" i="1"/>
  <c r="AC1568" i="1" s="1"/>
  <c r="AB1687" i="1"/>
  <c r="AC1687" i="1" s="1"/>
  <c r="AA2000" i="1"/>
  <c r="AB2000" i="1" s="1"/>
  <c r="AC2000" i="1" s="1"/>
  <c r="AA669" i="1"/>
  <c r="AA825" i="1"/>
  <c r="AB825" i="1" s="1"/>
  <c r="AC825" i="1" s="1"/>
  <c r="AA840" i="1"/>
  <c r="AB840" i="1" s="1"/>
  <c r="AA862" i="1"/>
  <c r="AA869" i="1"/>
  <c r="AB892" i="1"/>
  <c r="AC892" i="1" s="1"/>
  <c r="AA922" i="1"/>
  <c r="AA944" i="1"/>
  <c r="AB944" i="1" s="1"/>
  <c r="AA1035" i="1"/>
  <c r="AB1035" i="1" s="1"/>
  <c r="AB1051" i="1"/>
  <c r="AC1051" i="1" s="1"/>
  <c r="AA1084" i="1"/>
  <c r="AB1084" i="1" s="1"/>
  <c r="AC1084" i="1" s="1"/>
  <c r="AA1092" i="1"/>
  <c r="AB1092" i="1" s="1"/>
  <c r="AA1108" i="1"/>
  <c r="AB1108" i="1" s="1"/>
  <c r="AC1108" i="1" s="1"/>
  <c r="AA1166" i="1"/>
  <c r="AA1182" i="1"/>
  <c r="AA1311" i="1"/>
  <c r="AB1311" i="1" s="1"/>
  <c r="AC1475" i="1"/>
  <c r="AA1556" i="1"/>
  <c r="AA754" i="1"/>
  <c r="AA761" i="1"/>
  <c r="AA768" i="1"/>
  <c r="AB768" i="1" s="1"/>
  <c r="AC768" i="1" s="1"/>
  <c r="AA775" i="1"/>
  <c r="AB775" i="1" s="1"/>
  <c r="AA782" i="1"/>
  <c r="AB782" i="1" s="1"/>
  <c r="AC782" i="1" s="1"/>
  <c r="AA789" i="1"/>
  <c r="AA796" i="1"/>
  <c r="AA803" i="1"/>
  <c r="AB803" i="1" s="1"/>
  <c r="AC803" i="1" s="1"/>
  <c r="AA907" i="1"/>
  <c r="AA952" i="1"/>
  <c r="AA974" i="1"/>
  <c r="AA989" i="1"/>
  <c r="AA1019" i="1"/>
  <c r="AB1019" i="1" s="1"/>
  <c r="AB1100" i="1"/>
  <c r="AC1100" i="1" s="1"/>
  <c r="AA1379" i="1"/>
  <c r="AB1379" i="1" s="1"/>
  <c r="AC1379" i="1" s="1"/>
  <c r="AA1401" i="1"/>
  <c r="AB1401" i="1" s="1"/>
  <c r="AC1401" i="1" s="1"/>
  <c r="AB1532" i="1"/>
  <c r="AC1532" i="1" s="1"/>
  <c r="AA1700" i="1"/>
  <c r="AB1700" i="1" s="1"/>
  <c r="AC1700" i="1" s="1"/>
  <c r="AB2087" i="1"/>
  <c r="AC2087" i="1" s="1"/>
  <c r="AA613" i="1"/>
  <c r="AB613" i="1" s="1"/>
  <c r="AA620" i="1"/>
  <c r="AA627" i="1"/>
  <c r="AA634" i="1"/>
  <c r="AA641" i="1"/>
  <c r="AA648" i="1"/>
  <c r="AA655" i="1"/>
  <c r="AB655" i="1" s="1"/>
  <c r="AA662" i="1"/>
  <c r="AB662" i="1" s="1"/>
  <c r="AA733" i="1"/>
  <c r="AA818" i="1"/>
  <c r="AB818" i="1" s="1"/>
  <c r="AA833" i="1"/>
  <c r="AA855" i="1"/>
  <c r="AA937" i="1"/>
  <c r="AB937" i="1" s="1"/>
  <c r="AC937" i="1" s="1"/>
  <c r="AA1125" i="1"/>
  <c r="AB1150" i="1"/>
  <c r="AC1150" i="1" s="1"/>
  <c r="AA1201" i="1"/>
  <c r="AB1201" i="1" s="1"/>
  <c r="AC1201" i="1" s="1"/>
  <c r="AA1221" i="1"/>
  <c r="AB1221" i="1" s="1"/>
  <c r="AC1221" i="1" s="1"/>
  <c r="AC1231" i="1"/>
  <c r="AC1251" i="1"/>
  <c r="AA1271" i="1"/>
  <c r="AB1271" i="1" s="1"/>
  <c r="AA1291" i="1"/>
  <c r="AB1291" i="1" s="1"/>
  <c r="AC1291" i="1" s="1"/>
  <c r="AA1321" i="1"/>
  <c r="AB1321" i="1" s="1"/>
  <c r="AC1321" i="1" s="1"/>
  <c r="AB1464" i="1"/>
  <c r="AC1464" i="1" s="1"/>
  <c r="AA1724" i="1"/>
  <c r="AB1724" i="1" s="1"/>
  <c r="AB606" i="1"/>
  <c r="AC606" i="1" s="1"/>
  <c r="AA826" i="1"/>
  <c r="AB863" i="1"/>
  <c r="AC863" i="1" s="1"/>
  <c r="AA900" i="1"/>
  <c r="AB915" i="1"/>
  <c r="AC915" i="1" s="1"/>
  <c r="AA1012" i="1"/>
  <c r="AB1012" i="1" s="1"/>
  <c r="AA1044" i="1"/>
  <c r="AA1060" i="1"/>
  <c r="AA1077" i="1"/>
  <c r="AB1077" i="1" s="1"/>
  <c r="AC1101" i="1"/>
  <c r="AB1109" i="1"/>
  <c r="AC1109" i="1" s="1"/>
  <c r="AA1117" i="1"/>
  <c r="AA1142" i="1"/>
  <c r="AB1167" i="1"/>
  <c r="AC1167" i="1" s="1"/>
  <c r="AA1183" i="1"/>
  <c r="AB1183" i="1" s="1"/>
  <c r="AC1183" i="1" s="1"/>
  <c r="AB1262" i="1"/>
  <c r="AC1262" i="1" s="1"/>
  <c r="AA1350" i="1"/>
  <c r="AB1350" i="1" s="1"/>
  <c r="AA1370" i="1"/>
  <c r="AB1370" i="1" s="1"/>
  <c r="AC1453" i="1"/>
  <c r="AB1488" i="1"/>
  <c r="AC1488" i="1" s="1"/>
  <c r="AA1936" i="1"/>
  <c r="AB1936" i="1" s="1"/>
  <c r="AB1990" i="1"/>
  <c r="AC1990" i="1" s="1"/>
  <c r="AA677" i="1"/>
  <c r="AB677" i="1" s="1"/>
  <c r="AC677" i="1" s="1"/>
  <c r="AA684" i="1"/>
  <c r="AB684" i="1" s="1"/>
  <c r="AA691" i="1"/>
  <c r="AB691" i="1" s="1"/>
  <c r="AA698" i="1"/>
  <c r="AB698" i="1" s="1"/>
  <c r="AC698" i="1" s="1"/>
  <c r="AA705" i="1"/>
  <c r="AB705" i="1" s="1"/>
  <c r="AA797" i="1"/>
  <c r="AA930" i="1"/>
  <c r="AA1020" i="1"/>
  <c r="AB1020" i="1" s="1"/>
  <c r="AC1020" i="1" s="1"/>
  <c r="AB1052" i="1"/>
  <c r="AC1052" i="1" s="1"/>
  <c r="AA1151" i="1"/>
  <c r="AC1252" i="1"/>
  <c r="AA1421" i="1"/>
  <c r="AB1421" i="1" s="1"/>
  <c r="AC1421" i="1" s="1"/>
  <c r="AA1442" i="1"/>
  <c r="AB1442" i="1" s="1"/>
  <c r="AA1465" i="1"/>
  <c r="AB1465" i="1" s="1"/>
  <c r="AC1465" i="1" s="1"/>
  <c r="AC1570" i="1"/>
  <c r="AA1834" i="1"/>
  <c r="AA578" i="1"/>
  <c r="AA585" i="1"/>
  <c r="AA592" i="1"/>
  <c r="AB656" i="1"/>
  <c r="AC656" i="1" s="1"/>
  <c r="AB670" i="1"/>
  <c r="AC670" i="1" s="1"/>
  <c r="AA841" i="1"/>
  <c r="AC908" i="1"/>
  <c r="AA923" i="1"/>
  <c r="AA945" i="1"/>
  <c r="AB945" i="1" s="1"/>
  <c r="AA1028" i="1"/>
  <c r="AB1036" i="1"/>
  <c r="AC1036" i="1" s="1"/>
  <c r="AA1093" i="1"/>
  <c r="AB1093" i="1" s="1"/>
  <c r="AA1134" i="1"/>
  <c r="AB1134" i="1" s="1"/>
  <c r="AA1292" i="1"/>
  <c r="AB1312" i="1"/>
  <c r="AC1312" i="1" s="1"/>
  <c r="AA1341" i="1"/>
  <c r="AB1341" i="1" s="1"/>
  <c r="AC1558" i="1"/>
  <c r="AC1654" i="1"/>
  <c r="AC1702" i="1"/>
  <c r="AC1773" i="1"/>
  <c r="AB1785" i="1"/>
  <c r="AC1785" i="1" s="1"/>
  <c r="AA741" i="1"/>
  <c r="AB741" i="1" s="1"/>
  <c r="AA748" i="1"/>
  <c r="AA755" i="1"/>
  <c r="AA762" i="1"/>
  <c r="AB762" i="1" s="1"/>
  <c r="AA769" i="1"/>
  <c r="AA776" i="1"/>
  <c r="AA783" i="1"/>
  <c r="AB783" i="1" s="1"/>
  <c r="AA790" i="1"/>
  <c r="AB790" i="1" s="1"/>
  <c r="AB819" i="1"/>
  <c r="AC819" i="1" s="1"/>
  <c r="AA871" i="1"/>
  <c r="AB871" i="1" s="1"/>
  <c r="AA886" i="1"/>
  <c r="AA990" i="1"/>
  <c r="AB990" i="1" s="1"/>
  <c r="AA1371" i="1"/>
  <c r="AB1371" i="1" s="1"/>
  <c r="AC1371" i="1" s="1"/>
  <c r="AA1489" i="1"/>
  <c r="AB1489" i="1" s="1"/>
  <c r="AB1617" i="1"/>
  <c r="AC1617" i="1" s="1"/>
  <c r="AB734" i="1"/>
  <c r="AC734" i="1" s="1"/>
  <c r="AA834" i="1"/>
  <c r="AA856" i="1"/>
  <c r="AC871" i="1"/>
  <c r="AA1263" i="1"/>
  <c r="AB1263" i="1" s="1"/>
  <c r="AA1595" i="1"/>
  <c r="AB1595" i="1" s="1"/>
  <c r="AC1595" i="1" s="1"/>
  <c r="AA1618" i="1"/>
  <c r="AB2260" i="1"/>
  <c r="AC2260" i="1" s="1"/>
  <c r="AA586" i="1"/>
  <c r="AB586" i="1" s="1"/>
  <c r="AC586" i="1" s="1"/>
  <c r="AB593" i="1"/>
  <c r="AC593" i="1" s="1"/>
  <c r="AA805" i="1"/>
  <c r="AB805" i="1" s="1"/>
  <c r="AA812" i="1"/>
  <c r="AB812" i="1" s="1"/>
  <c r="AA827" i="1"/>
  <c r="AA879" i="1"/>
  <c r="AA901" i="1"/>
  <c r="AA954" i="1"/>
  <c r="AA961" i="1"/>
  <c r="AA1013" i="1"/>
  <c r="AB1013" i="1" s="1"/>
  <c r="AA1053" i="1"/>
  <c r="AB1053" i="1" s="1"/>
  <c r="AB1078" i="1"/>
  <c r="AC1078" i="1" s="1"/>
  <c r="AA1118" i="1"/>
  <c r="AB1118" i="1" s="1"/>
  <c r="AA1176" i="1"/>
  <c r="AB1176" i="1" s="1"/>
  <c r="AC1176" i="1" s="1"/>
  <c r="AA445" i="1"/>
  <c r="AB445" i="1" s="1"/>
  <c r="AC445" i="1" s="1"/>
  <c r="AC579" i="1"/>
  <c r="AA664" i="1"/>
  <c r="AB664" i="1" s="1"/>
  <c r="AC664" i="1" s="1"/>
  <c r="AA671" i="1"/>
  <c r="AB671" i="1" s="1"/>
  <c r="AA678" i="1"/>
  <c r="AB678" i="1" s="1"/>
  <c r="AC678" i="1" s="1"/>
  <c r="AA685" i="1"/>
  <c r="AA692" i="1"/>
  <c r="AB692" i="1" s="1"/>
  <c r="AA699" i="1"/>
  <c r="AB699" i="1" s="1"/>
  <c r="AA706" i="1"/>
  <c r="AB706" i="1" s="1"/>
  <c r="AA713" i="1"/>
  <c r="AB713" i="1" s="1"/>
  <c r="AA720" i="1"/>
  <c r="AB720" i="1" s="1"/>
  <c r="AC720" i="1" s="1"/>
  <c r="AA849" i="1"/>
  <c r="AB849" i="1" s="1"/>
  <c r="AA894" i="1"/>
  <c r="AB894" i="1" s="1"/>
  <c r="AC894" i="1" s="1"/>
  <c r="AA931" i="1"/>
  <c r="AA983" i="1"/>
  <c r="AB983" i="1" s="1"/>
  <c r="AA1127" i="1"/>
  <c r="AB1160" i="1"/>
  <c r="AC1160" i="1" s="1"/>
  <c r="AA1243" i="1"/>
  <c r="AA1313" i="1"/>
  <c r="AB1313" i="1" s="1"/>
  <c r="AA1422" i="1"/>
  <c r="AB1433" i="1"/>
  <c r="AC1433" i="1" s="1"/>
  <c r="AA1443" i="1"/>
  <c r="AB1443" i="1" s="1"/>
  <c r="AA1691" i="1"/>
  <c r="AB1691" i="1" s="1"/>
  <c r="AC1691" i="1" s="1"/>
  <c r="AA29" i="1"/>
  <c r="AA61" i="1"/>
  <c r="AA93" i="1"/>
  <c r="AB93" i="1" s="1"/>
  <c r="AA157" i="1"/>
  <c r="AA189" i="1"/>
  <c r="AB189" i="1" s="1"/>
  <c r="AA221" i="1"/>
  <c r="AA274" i="1"/>
  <c r="AA301" i="1"/>
  <c r="AA355" i="1"/>
  <c r="AA376" i="1"/>
  <c r="AB376" i="1" s="1"/>
  <c r="AA424" i="1"/>
  <c r="AA431" i="1"/>
  <c r="AA530" i="1"/>
  <c r="AA537" i="1"/>
  <c r="AA544" i="1"/>
  <c r="AA551" i="1"/>
  <c r="AA558" i="1"/>
  <c r="AA565" i="1"/>
  <c r="AB565" i="1" s="1"/>
  <c r="AC565" i="1" s="1"/>
  <c r="AA650" i="1"/>
  <c r="AB650" i="1" s="1"/>
  <c r="AB657" i="1"/>
  <c r="AC657" i="1" s="1"/>
  <c r="AA857" i="1"/>
  <c r="AB857" i="1" s="1"/>
  <c r="AB909" i="1"/>
  <c r="AC909" i="1" s="1"/>
  <c r="AA991" i="1"/>
  <c r="AA1006" i="1"/>
  <c r="AB1006" i="1" s="1"/>
  <c r="AA1029" i="1"/>
  <c r="AA1038" i="1"/>
  <c r="AA1071" i="1"/>
  <c r="AA1135" i="1"/>
  <c r="AB1135" i="1" s="1"/>
  <c r="AA1144" i="1"/>
  <c r="AB1152" i="1"/>
  <c r="AC1152" i="1" s="1"/>
  <c r="AA1205" i="1"/>
  <c r="AB1205" i="1" s="1"/>
  <c r="AC1205" i="1" s="1"/>
  <c r="AA1234" i="1"/>
  <c r="AB1234" i="1" s="1"/>
  <c r="AB1333" i="1"/>
  <c r="AC1333" i="1" s="1"/>
  <c r="AB1362" i="1"/>
  <c r="AC1362" i="1" s="1"/>
  <c r="AB1393" i="1"/>
  <c r="AC1393" i="1" s="1"/>
  <c r="AB1524" i="1"/>
  <c r="AC1524" i="1" s="1"/>
  <c r="AC1825" i="1"/>
  <c r="AA1877" i="1"/>
  <c r="AB1877" i="1" s="1"/>
  <c r="AA10" i="1"/>
  <c r="AA42" i="1"/>
  <c r="AA74" i="1"/>
  <c r="AA106" i="1"/>
  <c r="AA138" i="1"/>
  <c r="AB138" i="1" s="1"/>
  <c r="AA170" i="1"/>
  <c r="AA202" i="1"/>
  <c r="AA234" i="1"/>
  <c r="AA281" i="1"/>
  <c r="AA308" i="1"/>
  <c r="AA335" i="1"/>
  <c r="AB349" i="1"/>
  <c r="AC349" i="1" s="1"/>
  <c r="AB362" i="1"/>
  <c r="AC362" i="1" s="1"/>
  <c r="AB369" i="1"/>
  <c r="AC369" i="1" s="1"/>
  <c r="AA383" i="1"/>
  <c r="AA438" i="1"/>
  <c r="AB438" i="1" s="1"/>
  <c r="AA509" i="1"/>
  <c r="AC643" i="1"/>
  <c r="AA728" i="1"/>
  <c r="AA735" i="1"/>
  <c r="AB735" i="1" s="1"/>
  <c r="AA742" i="1"/>
  <c r="AA749" i="1"/>
  <c r="AB749" i="1" s="1"/>
  <c r="AA756" i="1"/>
  <c r="AB756" i="1" s="1"/>
  <c r="AA763" i="1"/>
  <c r="AB763" i="1" s="1"/>
  <c r="AA770" i="1"/>
  <c r="AB770" i="1" s="1"/>
  <c r="AA777" i="1"/>
  <c r="AB777" i="1" s="1"/>
  <c r="AA784" i="1"/>
  <c r="AA887" i="1"/>
  <c r="AB947" i="1"/>
  <c r="AC947" i="1" s="1"/>
  <c r="AA976" i="1"/>
  <c r="AB976" i="1" s="1"/>
  <c r="AB1014" i="1"/>
  <c r="AC1014" i="1" s="1"/>
  <c r="AA1054" i="1"/>
  <c r="AB1054" i="1" s="1"/>
  <c r="AC1054" i="1" s="1"/>
  <c r="AB1087" i="1"/>
  <c r="AC1087" i="1" s="1"/>
  <c r="AA1103" i="1"/>
  <c r="AA1214" i="1"/>
  <c r="AB1214" i="1" s="1"/>
  <c r="AC1264" i="1"/>
  <c r="AA1284" i="1"/>
  <c r="AB1342" i="1"/>
  <c r="AC1342" i="1" s="1"/>
  <c r="AB1372" i="1"/>
  <c r="AC1372" i="1" s="1"/>
  <c r="AA1414" i="1"/>
  <c r="AC1548" i="1"/>
  <c r="AC1692" i="1"/>
  <c r="AA247" i="1"/>
  <c r="AA714" i="1"/>
  <c r="AB850" i="1"/>
  <c r="AC850" i="1" s="1"/>
  <c r="AB895" i="1"/>
  <c r="AC895" i="1" s="1"/>
  <c r="AA1194" i="1"/>
  <c r="AB1194" i="1" s="1"/>
  <c r="AC1194" i="1" s="1"/>
  <c r="AC1244" i="1"/>
  <c r="AA1394" i="1"/>
  <c r="AB1394" i="1" s="1"/>
  <c r="AC1394" i="1" s="1"/>
  <c r="AA1423" i="1"/>
  <c r="AB1423" i="1" s="1"/>
  <c r="AC1423" i="1" s="1"/>
  <c r="AC1491" i="1"/>
  <c r="AB1967" i="1"/>
  <c r="AC1967" i="1" s="1"/>
  <c r="AA2128" i="1"/>
  <c r="AB2128" i="1" s="1"/>
  <c r="AB2153" i="1"/>
  <c r="AC2153" i="1" s="1"/>
  <c r="AB1495" i="1"/>
  <c r="AC1495" i="1" s="1"/>
  <c r="AB1667" i="1"/>
  <c r="AC1667" i="1" s="1"/>
  <c r="AC1979" i="1"/>
  <c r="AA2064" i="1"/>
  <c r="AB2064" i="1" s="1"/>
  <c r="AC2064" i="1" s="1"/>
  <c r="AB2261" i="1"/>
  <c r="AC2261" i="1" s="1"/>
  <c r="AA1716" i="1"/>
  <c r="AB1716" i="1" s="1"/>
  <c r="AC1716" i="1" s="1"/>
  <c r="AC1786" i="1"/>
  <c r="AB1918" i="1"/>
  <c r="AC1918" i="1" s="1"/>
  <c r="AA1909" i="1"/>
  <c r="AA1991" i="1"/>
  <c r="AB1991" i="1" s="1"/>
  <c r="AA2361" i="1"/>
  <c r="AB2361" i="1" s="1"/>
  <c r="AC2361" i="1" s="1"/>
  <c r="AA1634" i="1"/>
  <c r="AA1751" i="1"/>
  <c r="AA1778" i="1"/>
  <c r="AB1778" i="1" s="1"/>
  <c r="AA1826" i="1"/>
  <c r="AB1826" i="1" s="1"/>
  <c r="AC1826" i="1" s="1"/>
  <c r="AB2117" i="1"/>
  <c r="AC2117" i="1" s="1"/>
  <c r="AA2479" i="1"/>
  <c r="AB2479" i="1" s="1"/>
  <c r="AC2479" i="1" s="1"/>
  <c r="AA1580" i="1"/>
  <c r="AB1580" i="1" s="1"/>
  <c r="AC1580" i="1" s="1"/>
  <c r="AA1660" i="1"/>
  <c r="AB1660" i="1" s="1"/>
  <c r="AC1660" i="1" s="1"/>
  <c r="AA1742" i="1"/>
  <c r="AB1742" i="1" s="1"/>
  <c r="AA1796" i="1"/>
  <c r="AB1796" i="1" s="1"/>
  <c r="AA1929" i="1"/>
  <c r="AB1929" i="1" s="1"/>
  <c r="AA2374" i="1"/>
  <c r="AB2374" i="1" s="1"/>
  <c r="AA1652" i="1"/>
  <c r="AB1652" i="1" s="1"/>
  <c r="AA1676" i="1"/>
  <c r="AB1676" i="1" s="1"/>
  <c r="AA1760" i="1"/>
  <c r="AB1779" i="1"/>
  <c r="AC1779" i="1" s="1"/>
  <c r="AB1817" i="1"/>
  <c r="AC1817" i="1" s="1"/>
  <c r="AB1878" i="1"/>
  <c r="AC1878" i="1" s="1"/>
  <c r="AB1937" i="1"/>
  <c r="AC1937" i="1" s="1"/>
  <c r="AA1969" i="1"/>
  <c r="AB1969" i="1" s="1"/>
  <c r="AC1992" i="1"/>
  <c r="AC2002" i="1"/>
  <c r="AA2022" i="1"/>
  <c r="AA2088" i="1"/>
  <c r="AB2088" i="1" s="1"/>
  <c r="AA2216" i="1"/>
  <c r="AB2216" i="1" s="1"/>
  <c r="AC2262" i="1"/>
  <c r="AA1511" i="1"/>
  <c r="AB1511" i="1" s="1"/>
  <c r="AB1534" i="1"/>
  <c r="AC1534" i="1" s="1"/>
  <c r="AA1603" i="1"/>
  <c r="AB1603" i="1" s="1"/>
  <c r="AC1611" i="1"/>
  <c r="AA1693" i="1"/>
  <c r="AB1693" i="1" s="1"/>
  <c r="AB1733" i="1"/>
  <c r="AC1733" i="1" s="1"/>
  <c r="AA1827" i="1"/>
  <c r="AB1827" i="1" s="1"/>
  <c r="AC1827" i="1" s="1"/>
  <c r="AA1857" i="1"/>
  <c r="AB1857" i="1" s="1"/>
  <c r="AC1857" i="1" s="1"/>
  <c r="AA1889" i="1"/>
  <c r="AB1889" i="1" s="1"/>
  <c r="AC1889" i="1" s="1"/>
  <c r="AB1948" i="1"/>
  <c r="AC1948" i="1" s="1"/>
  <c r="AB1959" i="1"/>
  <c r="AC1959" i="1" s="1"/>
  <c r="AB2206" i="1"/>
  <c r="AC2206" i="1" s="1"/>
  <c r="AA1519" i="1"/>
  <c r="AB1519" i="1" s="1"/>
  <c r="AC1519" i="1" s="1"/>
  <c r="AA1549" i="1"/>
  <c r="AA1557" i="1"/>
  <c r="AB1557" i="1" s="1"/>
  <c r="AA1596" i="1"/>
  <c r="AB1596" i="1" s="1"/>
  <c r="AB1644" i="1"/>
  <c r="AC1644" i="1" s="1"/>
  <c r="AA1701" i="1"/>
  <c r="AB1701" i="1" s="1"/>
  <c r="AC1701" i="1" s="1"/>
  <c r="AA1761" i="1"/>
  <c r="AA1938" i="1"/>
  <c r="AB1938" i="1" s="1"/>
  <c r="AC1938" i="1" s="1"/>
  <c r="AB2162" i="1"/>
  <c r="AC2162" i="1" s="1"/>
  <c r="AB2251" i="1"/>
  <c r="AC2251" i="1" s="1"/>
  <c r="AA1430" i="1"/>
  <c r="AB1430" i="1" s="1"/>
  <c r="AB1452" i="1"/>
  <c r="AC1452" i="1" s="1"/>
  <c r="AA1467" i="1"/>
  <c r="AB1467" i="1" s="1"/>
  <c r="AA1504" i="1"/>
  <c r="AA1542" i="1"/>
  <c r="AB1542" i="1" s="1"/>
  <c r="AA1653" i="1"/>
  <c r="AB1653" i="1" s="1"/>
  <c r="AA1709" i="1"/>
  <c r="AB1709" i="1" s="1"/>
  <c r="AC1734" i="1"/>
  <c r="AA1752" i="1"/>
  <c r="AB1752" i="1" s="1"/>
  <c r="AC1752" i="1" s="1"/>
  <c r="AA1788" i="1"/>
  <c r="AA1807" i="1"/>
  <c r="AB1807" i="1" s="1"/>
  <c r="AC1807" i="1" s="1"/>
  <c r="AB1818" i="1"/>
  <c r="AC1818" i="1" s="1"/>
  <c r="AA2056" i="1"/>
  <c r="AB2056" i="1" s="1"/>
  <c r="AC2056" i="1" s="1"/>
  <c r="AA2404" i="1"/>
  <c r="AB2404" i="1" s="1"/>
  <c r="AC2404" i="1" s="1"/>
  <c r="AA1497" i="1"/>
  <c r="AA1512" i="1"/>
  <c r="AA1527" i="1"/>
  <c r="AA1565" i="1"/>
  <c r="AB1565" i="1" s="1"/>
  <c r="AB1581" i="1"/>
  <c r="AC1581" i="1" s="1"/>
  <c r="AA1589" i="1"/>
  <c r="AA1627" i="1"/>
  <c r="AA1669" i="1"/>
  <c r="AB1669" i="1" s="1"/>
  <c r="AA1686" i="1"/>
  <c r="AB1686" i="1" s="1"/>
  <c r="AC1901" i="1"/>
  <c r="AA1930" i="1"/>
  <c r="AA1971" i="1"/>
  <c r="AB1971" i="1" s="1"/>
  <c r="AC1971" i="1" s="1"/>
  <c r="AA2014" i="1"/>
  <c r="AB2014" i="1" s="1"/>
  <c r="AA2163" i="1"/>
  <c r="AB2163" i="1" s="1"/>
  <c r="AC2163" i="1" s="1"/>
  <c r="AC2207" i="1"/>
  <c r="AA1380" i="1"/>
  <c r="AB1380" i="1" s="1"/>
  <c r="AA1416" i="1"/>
  <c r="AA1460" i="1"/>
  <c r="AB1460" i="1" s="1"/>
  <c r="AB1482" i="1"/>
  <c r="AC1482" i="1" s="1"/>
  <c r="AC1520" i="1"/>
  <c r="AA1535" i="1"/>
  <c r="AB1535" i="1" s="1"/>
  <c r="AC1535" i="1" s="1"/>
  <c r="AA1573" i="1"/>
  <c r="AB1573" i="1" s="1"/>
  <c r="AC1573" i="1" s="1"/>
  <c r="AB1597" i="1"/>
  <c r="AC1597" i="1" s="1"/>
  <c r="AB1636" i="1"/>
  <c r="AC1636" i="1" s="1"/>
  <c r="AA1848" i="1"/>
  <c r="AB1879" i="1"/>
  <c r="AC1879" i="1" s="1"/>
  <c r="AA2023" i="1"/>
  <c r="AB2023" i="1" s="1"/>
  <c r="AC2023" i="1" s="1"/>
  <c r="AB2298" i="1"/>
  <c r="AC2298" i="1" s="1"/>
  <c r="AA1279" i="1"/>
  <c r="AB1279" i="1" s="1"/>
  <c r="AC1279" i="1" s="1"/>
  <c r="AA1351" i="1"/>
  <c r="AB1351" i="1" s="1"/>
  <c r="AC1351" i="1" s="1"/>
  <c r="AB1710" i="1"/>
  <c r="AC1710" i="1" s="1"/>
  <c r="AA2120" i="1"/>
  <c r="AA2391" i="1"/>
  <c r="AB2391" i="1" s="1"/>
  <c r="AC2391" i="1" s="1"/>
  <c r="AA1031" i="1"/>
  <c r="AA1058" i="1"/>
  <c r="AA1119" i="1"/>
  <c r="AB1216" i="1"/>
  <c r="AC1216" i="1" s="1"/>
  <c r="AA1424" i="1"/>
  <c r="AA1550" i="1"/>
  <c r="AB1550" i="1" s="1"/>
  <c r="AB1612" i="1"/>
  <c r="AC1612" i="1" s="1"/>
  <c r="AC1637" i="1"/>
  <c r="AA1819" i="1"/>
  <c r="AA1829" i="1"/>
  <c r="AB1829" i="1" s="1"/>
  <c r="AC1829" i="1" s="1"/>
  <c r="AA2080" i="1"/>
  <c r="AB2143" i="1"/>
  <c r="AC2143" i="1" s="1"/>
  <c r="AA2198" i="1"/>
  <c r="AB2198" i="1" s="1"/>
  <c r="AC1004" i="1"/>
  <c r="AA1202" i="1"/>
  <c r="AB1202" i="1" s="1"/>
  <c r="AC1202" i="1" s="1"/>
  <c r="AB1329" i="1"/>
  <c r="AC1329" i="1" s="1"/>
  <c r="AB1344" i="1"/>
  <c r="AC1344" i="1" s="1"/>
  <c r="AA1395" i="1"/>
  <c r="AA1468" i="1"/>
  <c r="AA1505" i="1"/>
  <c r="AA1543" i="1"/>
  <c r="AB1574" i="1"/>
  <c r="AC1574" i="1" s="1"/>
  <c r="AA1582" i="1"/>
  <c r="AA1662" i="1"/>
  <c r="AB1678" i="1"/>
  <c r="AC1678" i="1" s="1"/>
  <c r="AC1753" i="1"/>
  <c r="AA1789" i="1"/>
  <c r="AB1789" i="1" s="1"/>
  <c r="AB1891" i="1"/>
  <c r="AC1891" i="1" s="1"/>
  <c r="AA1951" i="1"/>
  <c r="AB1951" i="1" s="1"/>
  <c r="AB1984" i="1"/>
  <c r="AC1984" i="1" s="1"/>
  <c r="AA2154" i="1"/>
  <c r="AA2299" i="1"/>
  <c r="AC2352" i="1"/>
  <c r="AC1106" i="1"/>
  <c r="AB1113" i="1"/>
  <c r="AC1113" i="1" s="1"/>
  <c r="AB1566" i="1"/>
  <c r="AC1566" i="1" s="1"/>
  <c r="AB1629" i="1"/>
  <c r="AC1629" i="1" s="1"/>
  <c r="AA1646" i="1"/>
  <c r="AB1646" i="1" s="1"/>
  <c r="AC1646" i="1" s="1"/>
  <c r="AA1695" i="1"/>
  <c r="AA1727" i="1"/>
  <c r="AB1727" i="1" s="1"/>
  <c r="AC1727" i="1" s="1"/>
  <c r="AA1736" i="1"/>
  <c r="AC1860" i="1"/>
  <c r="AB2047" i="1"/>
  <c r="AC2047" i="1" s="1"/>
  <c r="AA2444" i="1"/>
  <c r="AB2444" i="1" s="1"/>
  <c r="AA2353" i="1"/>
  <c r="AB2353" i="1" s="1"/>
  <c r="AC2353" i="1" s="1"/>
  <c r="AB1551" i="1"/>
  <c r="AC1551" i="1" s="1"/>
  <c r="AC1621" i="1"/>
  <c r="AA1790" i="1"/>
  <c r="AB1790" i="1" s="1"/>
  <c r="AA1266" i="1"/>
  <c r="AB1266" i="1" s="1"/>
  <c r="AB1432" i="1"/>
  <c r="AC1432" i="1" s="1"/>
  <c r="AA1454" i="1"/>
  <c r="AA1529" i="1"/>
  <c r="AA1559" i="1"/>
  <c r="AB1559" i="1" s="1"/>
  <c r="AA1575" i="1"/>
  <c r="AA1591" i="1"/>
  <c r="AA1655" i="1"/>
  <c r="AA1679" i="1"/>
  <c r="AA1720" i="1"/>
  <c r="AB1720" i="1" s="1"/>
  <c r="AA1840" i="1"/>
  <c r="AB1840" i="1" s="1"/>
  <c r="AC1840" i="1" s="1"/>
  <c r="AB1903" i="1"/>
  <c r="AC1903" i="1" s="1"/>
  <c r="AB1914" i="1"/>
  <c r="AC1914" i="1" s="1"/>
  <c r="AA1974" i="1"/>
  <c r="AB1974" i="1" s="1"/>
  <c r="AC1974" i="1" s="1"/>
  <c r="AA2016" i="1"/>
  <c r="AB2048" i="1"/>
  <c r="AC2048" i="1" s="1"/>
  <c r="AA2071" i="1"/>
  <c r="AB2071" i="1" s="1"/>
  <c r="AC2145" i="1"/>
  <c r="AB2155" i="1"/>
  <c r="AC2155" i="1" s="1"/>
  <c r="AA1338" i="1"/>
  <c r="AB1345" i="1"/>
  <c r="AC1345" i="1" s="1"/>
  <c r="AB1374" i="1"/>
  <c r="AC1374" i="1" s="1"/>
  <c r="AA1396" i="1"/>
  <c r="AB1396" i="1" s="1"/>
  <c r="AA1469" i="1"/>
  <c r="AA1484" i="1"/>
  <c r="AB1484" i="1" s="1"/>
  <c r="AB1514" i="1"/>
  <c r="AC1514" i="1" s="1"/>
  <c r="AA1560" i="1"/>
  <c r="AB1560" i="1" s="1"/>
  <c r="AA1583" i="1"/>
  <c r="AB1583" i="1" s="1"/>
  <c r="AB1671" i="1"/>
  <c r="AC1671" i="1" s="1"/>
  <c r="AB1728" i="1"/>
  <c r="AC1728" i="1" s="1"/>
  <c r="AA1755" i="1"/>
  <c r="AB1755" i="1" s="1"/>
  <c r="AA1952" i="1"/>
  <c r="AB1952" i="1" s="1"/>
  <c r="AB2110" i="1"/>
  <c r="AC2110" i="1" s="1"/>
  <c r="AA2233" i="1"/>
  <c r="AB2233" i="1" s="1"/>
  <c r="AC2536" i="1"/>
  <c r="AA1316" i="1"/>
  <c r="AA1367" i="1"/>
  <c r="AB1367" i="1" s="1"/>
  <c r="AA1389" i="1"/>
  <c r="AA1447" i="1"/>
  <c r="AA1492" i="1"/>
  <c r="AA1606" i="1"/>
  <c r="AB1606" i="1" s="1"/>
  <c r="AA1614" i="1"/>
  <c r="AB1614" i="1" s="1"/>
  <c r="AC1614" i="1" s="1"/>
  <c r="AB1664" i="1"/>
  <c r="AC1664" i="1" s="1"/>
  <c r="AA1688" i="1"/>
  <c r="AB1688" i="1" s="1"/>
  <c r="AB1704" i="1"/>
  <c r="AC1704" i="1" s="1"/>
  <c r="AA1712" i="1"/>
  <c r="AB1712" i="1" s="1"/>
  <c r="AA1782" i="1"/>
  <c r="AB1782" i="1" s="1"/>
  <c r="AA1810" i="1"/>
  <c r="AB1810" i="1" s="1"/>
  <c r="AA1871" i="1"/>
  <c r="AA1923" i="1"/>
  <c r="AB1923" i="1" s="1"/>
  <c r="AB1953" i="1"/>
  <c r="AC1953" i="1" s="1"/>
  <c r="AC2027" i="1"/>
  <c r="AB2187" i="1"/>
  <c r="AC2187" i="1" s="1"/>
  <c r="AC2200" i="1"/>
  <c r="AA1204" i="1"/>
  <c r="AB1204" i="1" s="1"/>
  <c r="AA1260" i="1"/>
  <c r="AB1267" i="1"/>
  <c r="AC1267" i="1" s="1"/>
  <c r="AA1274" i="1"/>
  <c r="AB1274" i="1" s="1"/>
  <c r="AA1281" i="1"/>
  <c r="AB1281" i="1" s="1"/>
  <c r="AA1288" i="1"/>
  <c r="AB1288" i="1" s="1"/>
  <c r="AC1288" i="1" s="1"/>
  <c r="AA1295" i="1"/>
  <c r="AA1302" i="1"/>
  <c r="AA1331" i="1"/>
  <c r="AB1331" i="1" s="1"/>
  <c r="AC1331" i="1" s="1"/>
  <c r="AA1353" i="1"/>
  <c r="AA1360" i="1"/>
  <c r="AB1360" i="1" s="1"/>
  <c r="AA1382" i="1"/>
  <c r="AA1426" i="1"/>
  <c r="AA1462" i="1"/>
  <c r="AB1462" i="1" s="1"/>
  <c r="AA1477" i="1"/>
  <c r="AA1507" i="1"/>
  <c r="AB1507" i="1" s="1"/>
  <c r="AB1530" i="1"/>
  <c r="AC1530" i="1" s="1"/>
  <c r="AA1537" i="1"/>
  <c r="AA1552" i="1"/>
  <c r="AB1552" i="1" s="1"/>
  <c r="AA1639" i="1"/>
  <c r="AB1639" i="1" s="1"/>
  <c r="AC1639" i="1" s="1"/>
  <c r="AB1729" i="1"/>
  <c r="AC1729" i="1" s="1"/>
  <c r="AA1746" i="1"/>
  <c r="AB1746" i="1" s="1"/>
  <c r="AC1746" i="1" s="1"/>
  <c r="AB1963" i="1"/>
  <c r="AC1963" i="1" s="1"/>
  <c r="AA2102" i="1"/>
  <c r="AA2111" i="1"/>
  <c r="AB2222" i="1"/>
  <c r="AC2222" i="1" s="1"/>
  <c r="AA1211" i="1"/>
  <c r="AA1218" i="1"/>
  <c r="AB1218" i="1" s="1"/>
  <c r="AA1225" i="1"/>
  <c r="AA1232" i="1"/>
  <c r="AB1232" i="1" s="1"/>
  <c r="AC1253" i="1"/>
  <c r="AA1309" i="1"/>
  <c r="AB1309" i="1" s="1"/>
  <c r="AA1404" i="1"/>
  <c r="AB1404" i="1" s="1"/>
  <c r="AA1485" i="1"/>
  <c r="AA1584" i="1"/>
  <c r="AA1747" i="1"/>
  <c r="AB1747" i="1" s="1"/>
  <c r="AC1747" i="1" s="1"/>
  <c r="AB1756" i="1"/>
  <c r="AC1756" i="1" s="1"/>
  <c r="AB1821" i="1"/>
  <c r="AC1821" i="1" s="1"/>
  <c r="AA1915" i="1"/>
  <c r="AB1915" i="1" s="1"/>
  <c r="AB2188" i="1"/>
  <c r="AC2188" i="1" s="1"/>
  <c r="AB2328" i="1"/>
  <c r="AC2328" i="1" s="1"/>
  <c r="AC1324" i="1"/>
  <c r="AC1397" i="1"/>
  <c r="AA1412" i="1"/>
  <c r="AB1412" i="1" s="1"/>
  <c r="AA1553" i="1"/>
  <c r="AB1553" i="1" s="1"/>
  <c r="AA1607" i="1"/>
  <c r="AC1648" i="1"/>
  <c r="AA2146" i="1"/>
  <c r="AB2146" i="1" s="1"/>
  <c r="AA2329" i="1"/>
  <c r="AA1631" i="1"/>
  <c r="AB1894" i="1"/>
  <c r="AC1894" i="1" s="1"/>
  <c r="AB2381" i="1"/>
  <c r="AC2381" i="1" s="1"/>
  <c r="AA1268" i="1"/>
  <c r="AA1317" i="1"/>
  <c r="AA1390" i="1"/>
  <c r="AB1390" i="1" s="1"/>
  <c r="AB1405" i="1"/>
  <c r="AC1405" i="1" s="1"/>
  <c r="AA1448" i="1"/>
  <c r="AA1523" i="1"/>
  <c r="AB1523" i="1" s="1"/>
  <c r="AA1640" i="1"/>
  <c r="AB1640" i="1" s="1"/>
  <c r="AC1640" i="1" s="1"/>
  <c r="AB1657" i="1"/>
  <c r="AC1657" i="1" s="1"/>
  <c r="AA1812" i="1"/>
  <c r="AB1812" i="1" s="1"/>
  <c r="AC1812" i="1" s="1"/>
  <c r="AA1863" i="1"/>
  <c r="AB1863" i="1" s="1"/>
  <c r="AA2062" i="1"/>
  <c r="AB2062" i="1" s="1"/>
  <c r="AC2062" i="1" s="1"/>
  <c r="AB2565" i="1"/>
  <c r="AC2565" i="1" s="1"/>
  <c r="AA2670" i="1"/>
  <c r="AB864" i="1"/>
  <c r="AC864" i="1" s="1"/>
  <c r="AA1247" i="1"/>
  <c r="AB1247" i="1" s="1"/>
  <c r="AC1247" i="1" s="1"/>
  <c r="AA1275" i="1"/>
  <c r="AB1275" i="1" s="1"/>
  <c r="AC1275" i="1" s="1"/>
  <c r="AA1282" i="1"/>
  <c r="AB1282" i="1" s="1"/>
  <c r="AC1282" i="1" s="1"/>
  <c r="AA1289" i="1"/>
  <c r="AB1289" i="1" s="1"/>
  <c r="AA1296" i="1"/>
  <c r="AA1303" i="1"/>
  <c r="AB1332" i="1"/>
  <c r="AC1332" i="1" s="1"/>
  <c r="AA1354" i="1"/>
  <c r="AB1354" i="1" s="1"/>
  <c r="AB1361" i="1"/>
  <c r="AC1361" i="1" s="1"/>
  <c r="AA1383" i="1"/>
  <c r="AB1383" i="1" s="1"/>
  <c r="AA1427" i="1"/>
  <c r="AA1463" i="1"/>
  <c r="AB1463" i="1" s="1"/>
  <c r="AC1463" i="1" s="1"/>
  <c r="AA1478" i="1"/>
  <c r="AB1478" i="1" s="1"/>
  <c r="AA1538" i="1"/>
  <c r="AA1546" i="1"/>
  <c r="AB1546" i="1" s="1"/>
  <c r="AC1546" i="1" s="1"/>
  <c r="AA1569" i="1"/>
  <c r="AB1569" i="1" s="1"/>
  <c r="AB1585" i="1"/>
  <c r="AC1585" i="1" s="1"/>
  <c r="AA1623" i="1"/>
  <c r="AA1681" i="1"/>
  <c r="AB1681" i="1" s="1"/>
  <c r="AC1681" i="1" s="1"/>
  <c r="AA1739" i="1"/>
  <c r="AA1748" i="1"/>
  <c r="AB1748" i="1" s="1"/>
  <c r="AA1793" i="1"/>
  <c r="AB1793" i="1" s="1"/>
  <c r="AC1793" i="1" s="1"/>
  <c r="AA1842" i="1"/>
  <c r="AB1842" i="1" s="1"/>
  <c r="AA1874" i="1"/>
  <c r="AB1874" i="1" s="1"/>
  <c r="AA1944" i="1"/>
  <c r="AA2008" i="1"/>
  <c r="AA2103" i="1"/>
  <c r="AB2103" i="1" s="1"/>
  <c r="AC2136" i="1"/>
  <c r="AB2178" i="1"/>
  <c r="AC2178" i="1" s="1"/>
  <c r="AC2282" i="1"/>
  <c r="AA2422" i="1"/>
  <c r="AA439" i="1"/>
  <c r="AA471" i="1"/>
  <c r="AA503" i="1"/>
  <c r="AB503" i="1" s="1"/>
  <c r="AA535" i="1"/>
  <c r="AA567" i="1"/>
  <c r="AA599" i="1"/>
  <c r="AA631" i="1"/>
  <c r="AA663" i="1"/>
  <c r="AA695" i="1"/>
  <c r="AA727" i="1"/>
  <c r="AA759" i="1"/>
  <c r="AB759" i="1" s="1"/>
  <c r="AA791" i="1"/>
  <c r="AA837" i="1"/>
  <c r="AB837" i="1" s="1"/>
  <c r="AA878" i="1"/>
  <c r="AB878" i="1" s="1"/>
  <c r="AC878" i="1" s="1"/>
  <c r="AA905" i="1"/>
  <c r="AB905" i="1" s="1"/>
  <c r="AC905" i="1" s="1"/>
  <c r="AA932" i="1"/>
  <c r="AB932" i="1" s="1"/>
  <c r="AA1000" i="1"/>
  <c r="AB1000" i="1" s="1"/>
  <c r="AA1027" i="1"/>
  <c r="AB1027" i="1" s="1"/>
  <c r="AA1095" i="1"/>
  <c r="AB1095" i="1" s="1"/>
  <c r="AC1095" i="1" s="1"/>
  <c r="AA1122" i="1"/>
  <c r="AB1122" i="1" s="1"/>
  <c r="AA1170" i="1"/>
  <c r="AA1212" i="1"/>
  <c r="AB1212" i="1" s="1"/>
  <c r="AA1219" i="1"/>
  <c r="AB1219" i="1" s="1"/>
  <c r="AA1226" i="1"/>
  <c r="AA1233" i="1"/>
  <c r="AA1240" i="1"/>
  <c r="AB1240" i="1" s="1"/>
  <c r="AA1310" i="1"/>
  <c r="AA1420" i="1"/>
  <c r="AA1434" i="1"/>
  <c r="AB1434" i="1" s="1"/>
  <c r="AA1441" i="1"/>
  <c r="AA1516" i="1"/>
  <c r="AA1531" i="1"/>
  <c r="AA1593" i="1"/>
  <c r="AA1600" i="1"/>
  <c r="AB1600" i="1" s="1"/>
  <c r="AA1632" i="1"/>
  <c r="AB1632" i="1" s="1"/>
  <c r="AC1632" i="1" s="1"/>
  <c r="AA1698" i="1"/>
  <c r="AA1722" i="1"/>
  <c r="AB1722" i="1" s="1"/>
  <c r="AA1916" i="1"/>
  <c r="AA2094" i="1"/>
  <c r="AB2330" i="1"/>
  <c r="AC2330" i="1" s="1"/>
  <c r="AB2382" i="1"/>
  <c r="AC2382" i="1" s="1"/>
  <c r="AA260" i="1"/>
  <c r="AA292" i="1"/>
  <c r="AA324" i="1"/>
  <c r="AB324" i="1" s="1"/>
  <c r="AA356" i="1"/>
  <c r="AA388" i="1"/>
  <c r="AA420" i="1"/>
  <c r="AA452" i="1"/>
  <c r="AA484" i="1"/>
  <c r="AA516" i="1"/>
  <c r="AB516" i="1" s="1"/>
  <c r="AA548" i="1"/>
  <c r="AA580" i="1"/>
  <c r="AA612" i="1"/>
  <c r="AA644" i="1"/>
  <c r="AA676" i="1"/>
  <c r="AB676" i="1" s="1"/>
  <c r="AA708" i="1"/>
  <c r="AB708" i="1" s="1"/>
  <c r="AA740" i="1"/>
  <c r="AB740" i="1" s="1"/>
  <c r="AA772" i="1"/>
  <c r="AB772" i="1" s="1"/>
  <c r="AA804" i="1"/>
  <c r="AB804" i="1" s="1"/>
  <c r="AA817" i="1"/>
  <c r="AB817" i="1" s="1"/>
  <c r="AB831" i="1"/>
  <c r="AC831" i="1" s="1"/>
  <c r="AB844" i="1"/>
  <c r="AC844" i="1" s="1"/>
  <c r="AB851" i="1"/>
  <c r="AC851" i="1" s="1"/>
  <c r="AA858" i="1"/>
  <c r="AB858" i="1" s="1"/>
  <c r="AA885" i="1"/>
  <c r="AB885" i="1" s="1"/>
  <c r="AA912" i="1"/>
  <c r="AA939" i="1"/>
  <c r="AB939" i="1" s="1"/>
  <c r="AC946" i="1"/>
  <c r="AB953" i="1"/>
  <c r="AA980" i="1"/>
  <c r="AA1007" i="1"/>
  <c r="AB1007" i="1" s="1"/>
  <c r="AA1034" i="1"/>
  <c r="AA1061" i="1"/>
  <c r="AA1102" i="1"/>
  <c r="AA1129" i="1"/>
  <c r="AA1318" i="1"/>
  <c r="AB1318" i="1" s="1"/>
  <c r="AA1340" i="1"/>
  <c r="AA1347" i="1"/>
  <c r="AA1369" i="1"/>
  <c r="AA1376" i="1"/>
  <c r="AA1391" i="1"/>
  <c r="AA1413" i="1"/>
  <c r="AB1413" i="1" s="1"/>
  <c r="AA1456" i="1"/>
  <c r="AA1471" i="1"/>
  <c r="AB1471" i="1" s="1"/>
  <c r="AC1471" i="1" s="1"/>
  <c r="AA1501" i="1"/>
  <c r="AB1501" i="1" s="1"/>
  <c r="AB1554" i="1"/>
  <c r="AC1554" i="1" s="1"/>
  <c r="AA1562" i="1"/>
  <c r="AB1562" i="1" s="1"/>
  <c r="AA1577" i="1"/>
  <c r="AB1577" i="1" s="1"/>
  <c r="AB1608" i="1"/>
  <c r="AC1608" i="1" s="1"/>
  <c r="AC1616" i="1"/>
  <c r="AA1673" i="1"/>
  <c r="AB1690" i="1"/>
  <c r="AC1690" i="1" s="1"/>
  <c r="AA1714" i="1"/>
  <c r="AB1714" i="1" s="1"/>
  <c r="AC1803" i="1"/>
  <c r="AA1833" i="1"/>
  <c r="AB1833" i="1" s="1"/>
  <c r="AB1864" i="1"/>
  <c r="AC1864" i="1" s="1"/>
  <c r="AA1885" i="1"/>
  <c r="AB1907" i="1"/>
  <c r="AC1907" i="1" s="1"/>
  <c r="AA2383" i="1"/>
  <c r="AA2436" i="1"/>
  <c r="AB2436" i="1" s="1"/>
  <c r="AC2436" i="1" s="1"/>
  <c r="AC953" i="1"/>
  <c r="AB1055" i="1"/>
  <c r="AC1055" i="1" s="1"/>
  <c r="AB1068" i="1"/>
  <c r="AC1068" i="1" s="1"/>
  <c r="AB1075" i="1"/>
  <c r="AC1075" i="1" s="1"/>
  <c r="AB1384" i="1"/>
  <c r="AC1384" i="1" s="1"/>
  <c r="AB1399" i="1"/>
  <c r="AC1399" i="1" s="1"/>
  <c r="AA1539" i="1"/>
  <c r="AC1641" i="1"/>
  <c r="AB1749" i="1"/>
  <c r="AC1749" i="1" s="1"/>
  <c r="AA1775" i="1"/>
  <c r="AC2305" i="1"/>
  <c r="AB2118" i="1"/>
  <c r="AC2118" i="1" s="1"/>
  <c r="AA2144" i="1"/>
  <c r="AB2144" i="1" s="1"/>
  <c r="AA2270" i="1"/>
  <c r="AB2270" i="1" s="1"/>
  <c r="AC2373" i="1"/>
  <c r="AC2445" i="1"/>
  <c r="AB2478" i="1"/>
  <c r="AC2478" i="1" s="1"/>
  <c r="AC2777" i="1"/>
  <c r="AA2252" i="1"/>
  <c r="AB2291" i="1"/>
  <c r="AC2291" i="1" s="1"/>
  <c r="AB2467" i="1"/>
  <c r="AC2467" i="1" s="1"/>
  <c r="AA2601" i="1"/>
  <c r="AA2660" i="1"/>
  <c r="AB2660" i="1" s="1"/>
  <c r="AA2273" i="1"/>
  <c r="AB2273" i="1" s="1"/>
  <c r="AC2273" i="1" s="1"/>
  <c r="AA2301" i="1"/>
  <c r="AB2301" i="1" s="1"/>
  <c r="AC2301" i="1" s="1"/>
  <c r="AA2521" i="1"/>
  <c r="AB2521" i="1" s="1"/>
  <c r="AA2556" i="1"/>
  <c r="AB2556" i="1" s="1"/>
  <c r="AB2713" i="1"/>
  <c r="AC2713" i="1" s="1"/>
  <c r="AB2480" i="1"/>
  <c r="AC2480" i="1" s="1"/>
  <c r="AA2509" i="1"/>
  <c r="AB2509" i="1" s="1"/>
  <c r="AA2040" i="1"/>
  <c r="AB2040" i="1" s="1"/>
  <c r="AC2040" i="1" s="1"/>
  <c r="AA2321" i="1"/>
  <c r="AB2321" i="1" s="1"/>
  <c r="AA2354" i="1"/>
  <c r="AA2406" i="1"/>
  <c r="AB2406" i="1" s="1"/>
  <c r="AC2406" i="1" s="1"/>
  <c r="AA2468" i="1"/>
  <c r="AB2468" i="1" s="1"/>
  <c r="AA2650" i="1"/>
  <c r="AB2650" i="1" s="1"/>
  <c r="AB2661" i="1"/>
  <c r="AC2661" i="1" s="1"/>
  <c r="AC2675" i="1"/>
  <c r="AB1783" i="1"/>
  <c r="AC1783" i="1" s="1"/>
  <c r="AB1880" i="1"/>
  <c r="AC1880" i="1" s="1"/>
  <c r="AB1924" i="1"/>
  <c r="AC1924" i="1" s="1"/>
  <c r="AB2235" i="1"/>
  <c r="AC2235" i="1" s="1"/>
  <c r="AB2244" i="1"/>
  <c r="AC2244" i="1" s="1"/>
  <c r="AB2312" i="1"/>
  <c r="AC2312" i="1" s="1"/>
  <c r="AB2427" i="1"/>
  <c r="AC2427" i="1" s="1"/>
  <c r="AB2469" i="1"/>
  <c r="AC2469" i="1" s="1"/>
  <c r="AB2546" i="1"/>
  <c r="AC2546" i="1" s="1"/>
  <c r="AA2592" i="1"/>
  <c r="AB2592" i="1" s="1"/>
  <c r="AC2592" i="1" s="1"/>
  <c r="AA2767" i="1"/>
  <c r="AB2767" i="1" s="1"/>
  <c r="AB1946" i="1"/>
  <c r="AC1946" i="1" s="1"/>
  <c r="AA1977" i="1"/>
  <c r="AB1977" i="1" s="1"/>
  <c r="AC1977" i="1" s="1"/>
  <c r="AA2024" i="1"/>
  <c r="AB2024" i="1" s="1"/>
  <c r="AC2024" i="1" s="1"/>
  <c r="AA2032" i="1"/>
  <c r="AB2032" i="1" s="1"/>
  <c r="AC2032" i="1" s="1"/>
  <c r="AA2073" i="1"/>
  <c r="AB2096" i="1"/>
  <c r="AC2096" i="1" s="1"/>
  <c r="AA2138" i="1"/>
  <c r="AA2147" i="1"/>
  <c r="AA2180" i="1"/>
  <c r="AB2180" i="1" s="1"/>
  <c r="AC2180" i="1" s="1"/>
  <c r="AA2343" i="1"/>
  <c r="AB2343" i="1" s="1"/>
  <c r="AB2355" i="1"/>
  <c r="AC2355" i="1" s="1"/>
  <c r="AA2375" i="1"/>
  <c r="AA2437" i="1"/>
  <c r="AA2714" i="1"/>
  <c r="AB1798" i="1"/>
  <c r="AC1798" i="1" s="1"/>
  <c r="AA2097" i="1"/>
  <c r="AA2181" i="1"/>
  <c r="AB2181" i="1" s="1"/>
  <c r="AA2834" i="1"/>
  <c r="AA2899" i="1"/>
  <c r="AA1696" i="1"/>
  <c r="AB1696" i="1" s="1"/>
  <c r="AC1696" i="1" s="1"/>
  <c r="AA1813" i="1"/>
  <c r="AB1813" i="1" s="1"/>
  <c r="AC1813" i="1" s="1"/>
  <c r="AA1835" i="1"/>
  <c r="AA1850" i="1"/>
  <c r="AB1850" i="1" s="1"/>
  <c r="AC1850" i="1" s="1"/>
  <c r="AA1895" i="1"/>
  <c r="AB1895" i="1" s="1"/>
  <c r="AB1932" i="1"/>
  <c r="AC1932" i="1" s="1"/>
  <c r="AB1939" i="1"/>
  <c r="AC1939" i="1" s="1"/>
  <c r="AA1947" i="1"/>
  <c r="AB2001" i="1"/>
  <c r="AC2001" i="1" s="1"/>
  <c r="AA2009" i="1"/>
  <c r="AB2009" i="1" s="1"/>
  <c r="AB2130" i="1"/>
  <c r="AC2130" i="1" s="1"/>
  <c r="AA2156" i="1"/>
  <c r="AB2172" i="1"/>
  <c r="AC2172" i="1" s="1"/>
  <c r="AA2218" i="1"/>
  <c r="AB2218" i="1" s="1"/>
  <c r="AB2283" i="1"/>
  <c r="AC2283" i="1" s="1"/>
  <c r="AC2482" i="1"/>
  <c r="AA1754" i="1"/>
  <c r="AA1776" i="1"/>
  <c r="AA1843" i="1"/>
  <c r="AB1843" i="1" s="1"/>
  <c r="AC1843" i="1" s="1"/>
  <c r="AA1858" i="1"/>
  <c r="AA1873" i="1"/>
  <c r="AA1888" i="1"/>
  <c r="AA1970" i="1"/>
  <c r="AB1970" i="1" s="1"/>
  <c r="AA1978" i="1"/>
  <c r="AA2049" i="1"/>
  <c r="AB2049" i="1" s="1"/>
  <c r="AA2057" i="1"/>
  <c r="AB2105" i="1"/>
  <c r="AC2105" i="1" s="1"/>
  <c r="AB2191" i="1"/>
  <c r="AC2191" i="1" s="1"/>
  <c r="AA2236" i="1"/>
  <c r="AB2236" i="1" s="1"/>
  <c r="AA2313" i="1"/>
  <c r="AB2313" i="1" s="1"/>
  <c r="AA2322" i="1"/>
  <c r="AA2367" i="1"/>
  <c r="AB2367" i="1" s="1"/>
  <c r="AB2639" i="1"/>
  <c r="AC2639" i="1" s="1"/>
  <c r="AB2651" i="1"/>
  <c r="AC2651" i="1" s="1"/>
  <c r="AB2025" i="1"/>
  <c r="AC2025" i="1" s="1"/>
  <c r="AB2173" i="1"/>
  <c r="AC2173" i="1" s="1"/>
  <c r="AA2255" i="1"/>
  <c r="AC2397" i="1"/>
  <c r="AB2492" i="1"/>
  <c r="AC2492" i="1" s="1"/>
  <c r="AA2502" i="1"/>
  <c r="AB2502" i="1" s="1"/>
  <c r="AA2593" i="1"/>
  <c r="AB2593" i="1" s="1"/>
  <c r="AA2690" i="1"/>
  <c r="AB2690" i="1" s="1"/>
  <c r="AA2900" i="1"/>
  <c r="AB2900" i="1" s="1"/>
  <c r="AC2900" i="1" s="1"/>
  <c r="AB1682" i="1"/>
  <c r="AC1682" i="1" s="1"/>
  <c r="AB1689" i="1"/>
  <c r="AC1689" i="1" s="1"/>
  <c r="AA1851" i="1"/>
  <c r="AB1851" i="1" s="1"/>
  <c r="AA1940" i="1"/>
  <c r="AB2010" i="1"/>
  <c r="AC2010" i="1" s="1"/>
  <c r="AC2098" i="1"/>
  <c r="AB2149" i="1"/>
  <c r="AC2149" i="1" s="1"/>
  <c r="AA2191" i="1"/>
  <c r="AC2304" i="1"/>
  <c r="AA2376" i="1"/>
  <c r="AB2376" i="1" s="1"/>
  <c r="AC2376" i="1" s="1"/>
  <c r="AA2652" i="1"/>
  <c r="AB2123" i="1"/>
  <c r="AC2123" i="1" s="1"/>
  <c r="AB2246" i="1"/>
  <c r="AC2246" i="1" s="1"/>
  <c r="AA2266" i="1"/>
  <c r="AB2266" i="1" s="1"/>
  <c r="AC2266" i="1" s="1"/>
  <c r="AB2549" i="1"/>
  <c r="AC2549" i="1" s="1"/>
  <c r="AA2823" i="1"/>
  <c r="AB2823" i="1" s="1"/>
  <c r="AC2823" i="1" s="1"/>
  <c r="AA1926" i="1"/>
  <c r="AB1926" i="1" s="1"/>
  <c r="AC1926" i="1" s="1"/>
  <c r="AA2050" i="1"/>
  <c r="AA2192" i="1"/>
  <c r="AA2229" i="1"/>
  <c r="AB2229" i="1" s="1"/>
  <c r="AA2237" i="1"/>
  <c r="AA2314" i="1"/>
  <c r="AA2346" i="1"/>
  <c r="AB2346" i="1" s="1"/>
  <c r="AA2368" i="1"/>
  <c r="AB2368" i="1" s="1"/>
  <c r="AA2429" i="1"/>
  <c r="AB2429" i="1" s="1"/>
  <c r="AA2493" i="1"/>
  <c r="AB2493" i="1" s="1"/>
  <c r="AA1911" i="1"/>
  <c r="AB1911" i="1" s="1"/>
  <c r="AA1919" i="1"/>
  <c r="AB1919" i="1" s="1"/>
  <c r="AC1919" i="1" s="1"/>
  <c r="AA1956" i="1"/>
  <c r="AB1956" i="1" s="1"/>
  <c r="AA2003" i="1"/>
  <c r="AA2067" i="1"/>
  <c r="AA2140" i="1"/>
  <c r="AB2140" i="1" s="1"/>
  <c r="AA2166" i="1"/>
  <c r="AB2166" i="1" s="1"/>
  <c r="AA2286" i="1"/>
  <c r="AB2286" i="1" s="1"/>
  <c r="AC2410" i="1"/>
  <c r="AB2629" i="1"/>
  <c r="AC2629" i="1" s="1"/>
  <c r="AA2691" i="1"/>
  <c r="AC2744" i="1"/>
  <c r="AA1763" i="1"/>
  <c r="AA1800" i="1"/>
  <c r="AB1800" i="1" s="1"/>
  <c r="AA1837" i="1"/>
  <c r="AB1837" i="1" s="1"/>
  <c r="AB1852" i="1"/>
  <c r="AC1852" i="1" s="1"/>
  <c r="AA1867" i="1"/>
  <c r="AB1867" i="1" s="1"/>
  <c r="AA1882" i="1"/>
  <c r="AB1882" i="1" s="1"/>
  <c r="AA1987" i="1"/>
  <c r="AA2075" i="1"/>
  <c r="AB2075" i="1" s="1"/>
  <c r="AA2083" i="1"/>
  <c r="AB2083" i="1" s="1"/>
  <c r="AA2115" i="1"/>
  <c r="AB2158" i="1"/>
  <c r="AC2158" i="1" s="1"/>
  <c r="AA2175" i="1"/>
  <c r="AB2175" i="1" s="1"/>
  <c r="AC2325" i="1"/>
  <c r="AA2399" i="1"/>
  <c r="AB2399" i="1" s="1"/>
  <c r="AC2399" i="1" s="1"/>
  <c r="AB2419" i="1"/>
  <c r="AC2419" i="1" s="1"/>
  <c r="AB2451" i="1"/>
  <c r="AC2451" i="1" s="1"/>
  <c r="AA2461" i="1"/>
  <c r="AB2461" i="1" s="1"/>
  <c r="AA2537" i="1"/>
  <c r="AB2537" i="1" s="1"/>
  <c r="AC2537" i="1" s="1"/>
  <c r="AA2889" i="1"/>
  <c r="AC1771" i="1"/>
  <c r="AA1822" i="1"/>
  <c r="AB1822" i="1" s="1"/>
  <c r="AA1875" i="1"/>
  <c r="AB1875" i="1" s="1"/>
  <c r="AA1904" i="1"/>
  <c r="AB1904" i="1" s="1"/>
  <c r="AB1912" i="1"/>
  <c r="AC1912" i="1" s="1"/>
  <c r="AA1949" i="1"/>
  <c r="AA1964" i="1"/>
  <c r="AB2019" i="1"/>
  <c r="AC2019" i="1" s="1"/>
  <c r="AA2035" i="1"/>
  <c r="AB2035" i="1" s="1"/>
  <c r="AB2091" i="1"/>
  <c r="AC2091" i="1" s="1"/>
  <c r="AA2124" i="1"/>
  <c r="AA2193" i="1"/>
  <c r="AA2258" i="1"/>
  <c r="AB2258" i="1" s="1"/>
  <c r="AA2389" i="1"/>
  <c r="AB2389" i="1" s="1"/>
  <c r="AA2430" i="1"/>
  <c r="AB2430" i="1" s="1"/>
  <c r="AB2485" i="1"/>
  <c r="AC2485" i="1" s="1"/>
  <c r="AB2527" i="1"/>
  <c r="AC2527" i="1" s="1"/>
  <c r="AA2538" i="1"/>
  <c r="AA2572" i="1"/>
  <c r="AB2572" i="1" s="1"/>
  <c r="AB2141" i="1"/>
  <c r="AC2141" i="1" s="1"/>
  <c r="AA2359" i="1"/>
  <c r="AC2759" i="1"/>
  <c r="AA1996" i="1"/>
  <c r="AB1996" i="1" s="1"/>
  <c r="AC1996" i="1" s="1"/>
  <c r="AA2221" i="1"/>
  <c r="AB2221" i="1" s="1"/>
  <c r="AA2230" i="1"/>
  <c r="AB2230" i="1" s="1"/>
  <c r="AA2336" i="1"/>
  <c r="AA2452" i="1"/>
  <c r="AB2452" i="1" s="1"/>
  <c r="AB2494" i="1"/>
  <c r="AC2494" i="1" s="1"/>
  <c r="AA2573" i="1"/>
  <c r="AB2573" i="1" s="1"/>
  <c r="AC2573" i="1" s="1"/>
  <c r="AA2630" i="1"/>
  <c r="AB2630" i="1" s="1"/>
  <c r="AC2630" i="1" s="1"/>
  <c r="AB1431" i="1"/>
  <c r="AC1431" i="1" s="1"/>
  <c r="AA1808" i="1"/>
  <c r="AA1853" i="1"/>
  <c r="AB1853" i="1" s="1"/>
  <c r="AB1868" i="1"/>
  <c r="AC1868" i="1" s="1"/>
  <c r="AA1942" i="1"/>
  <c r="AB1942" i="1" s="1"/>
  <c r="AA2060" i="1"/>
  <c r="AA2068" i="1"/>
  <c r="AB2068" i="1" s="1"/>
  <c r="AA2194" i="1"/>
  <c r="AB2194" i="1" s="1"/>
  <c r="AA2278" i="1"/>
  <c r="AA2306" i="1"/>
  <c r="AA2420" i="1"/>
  <c r="AB2420" i="1" s="1"/>
  <c r="AA2585" i="1"/>
  <c r="AB2585" i="1" s="1"/>
  <c r="AA2681" i="1"/>
  <c r="AB2681" i="1" s="1"/>
  <c r="AA1656" i="1"/>
  <c r="AB1656" i="1" s="1"/>
  <c r="AA1794" i="1"/>
  <c r="AA1801" i="1"/>
  <c r="AB1801" i="1" s="1"/>
  <c r="AA1831" i="1"/>
  <c r="AB1831" i="1" s="1"/>
  <c r="AA1846" i="1"/>
  <c r="AA1883" i="1"/>
  <c r="AB1883" i="1" s="1"/>
  <c r="AA1988" i="1"/>
  <c r="AA2028" i="1"/>
  <c r="AB2028" i="1" s="1"/>
  <c r="AC2028" i="1" s="1"/>
  <c r="AA2044" i="1"/>
  <c r="AB2044" i="1" s="1"/>
  <c r="AC2044" i="1" s="1"/>
  <c r="AA2076" i="1"/>
  <c r="AB2076" i="1" s="1"/>
  <c r="AA2116" i="1"/>
  <c r="AA2133" i="1"/>
  <c r="AB2133" i="1" s="1"/>
  <c r="AA2151" i="1"/>
  <c r="AB2213" i="1"/>
  <c r="AC2213" i="1" s="1"/>
  <c r="AC2259" i="1"/>
  <c r="AA2486" i="1"/>
  <c r="AB2486" i="1" s="1"/>
  <c r="AA2495" i="1"/>
  <c r="AB2495" i="1" s="1"/>
  <c r="AC2495" i="1" s="1"/>
  <c r="AA2528" i="1"/>
  <c r="AB2528" i="1" s="1"/>
  <c r="AC2528" i="1" s="1"/>
  <c r="AA2563" i="1"/>
  <c r="AB2563" i="1" s="1"/>
  <c r="AB1905" i="1"/>
  <c r="AC1905" i="1" s="1"/>
  <c r="AA1928" i="1"/>
  <c r="AB1928" i="1" s="1"/>
  <c r="AA1950" i="1"/>
  <c r="AB1950" i="1" s="1"/>
  <c r="AA1965" i="1"/>
  <c r="AA1973" i="1"/>
  <c r="AB2005" i="1"/>
  <c r="AC2005" i="1" s="1"/>
  <c r="AA2036" i="1"/>
  <c r="AB2036" i="1" s="1"/>
  <c r="AA2108" i="1"/>
  <c r="AA2125" i="1"/>
  <c r="AB2125" i="1" s="1"/>
  <c r="AC2125" i="1" s="1"/>
  <c r="AB2268" i="1"/>
  <c r="AC2268" i="1" s="1"/>
  <c r="AB2337" i="1"/>
  <c r="AC2337" i="1" s="1"/>
  <c r="AA2390" i="1"/>
  <c r="AA2800" i="1"/>
  <c r="AA838" i="1"/>
  <c r="AA870" i="1"/>
  <c r="AA902" i="1"/>
  <c r="AA934" i="1"/>
  <c r="AA966" i="1"/>
  <c r="AB966" i="1" s="1"/>
  <c r="AA998" i="1"/>
  <c r="AA1030" i="1"/>
  <c r="AB1030" i="1" s="1"/>
  <c r="AA1062" i="1"/>
  <c r="AA1094" i="1"/>
  <c r="AA1126" i="1"/>
  <c r="AB1126" i="1" s="1"/>
  <c r="AA1158" i="1"/>
  <c r="AA1190" i="1"/>
  <c r="AB1190" i="1" s="1"/>
  <c r="AA1222" i="1"/>
  <c r="AA1254" i="1"/>
  <c r="AB1254" i="1" s="1"/>
  <c r="AA1286" i="1"/>
  <c r="AB1286" i="1" s="1"/>
  <c r="AA1325" i="1"/>
  <c r="AA1378" i="1"/>
  <c r="AA1398" i="1"/>
  <c r="AA1418" i="1"/>
  <c r="AB1438" i="1"/>
  <c r="AC1438" i="1" s="1"/>
  <c r="AA1445" i="1"/>
  <c r="AA1472" i="1"/>
  <c r="AA1533" i="1"/>
  <c r="AA1567" i="1"/>
  <c r="AB1567" i="1" s="1"/>
  <c r="AA1628" i="1"/>
  <c r="AB1628" i="1" s="1"/>
  <c r="AA1635" i="1"/>
  <c r="AB1635" i="1" s="1"/>
  <c r="AA1642" i="1"/>
  <c r="AB1642" i="1" s="1"/>
  <c r="AA1649" i="1"/>
  <c r="AB1649" i="1" s="1"/>
  <c r="AC1649" i="1" s="1"/>
  <c r="AA1685" i="1"/>
  <c r="AB1685" i="1" s="1"/>
  <c r="AA1735" i="1"/>
  <c r="AB1757" i="1"/>
  <c r="AC1757" i="1" s="1"/>
  <c r="AA1787" i="1"/>
  <c r="AB1787" i="1" s="1"/>
  <c r="AA1816" i="1"/>
  <c r="AA1824" i="1"/>
  <c r="AA1839" i="1"/>
  <c r="AB1861" i="1"/>
  <c r="AC1861" i="1" s="1"/>
  <c r="AA1898" i="1"/>
  <c r="AB1898" i="1" s="1"/>
  <c r="AA1935" i="1"/>
  <c r="AB1935" i="1" s="1"/>
  <c r="AC1958" i="1"/>
  <c r="AA1981" i="1"/>
  <c r="AB1981" i="1" s="1"/>
  <c r="AA2013" i="1"/>
  <c r="AB2069" i="1"/>
  <c r="AC2069" i="1" s="1"/>
  <c r="AA2101" i="1"/>
  <c r="AA2185" i="1"/>
  <c r="AB2185" i="1" s="1"/>
  <c r="AC2195" i="1"/>
  <c r="AC2279" i="1"/>
  <c r="AA2297" i="1"/>
  <c r="AA2307" i="1"/>
  <c r="AA2412" i="1"/>
  <c r="AA2682" i="1"/>
  <c r="AB2682" i="1" s="1"/>
  <c r="AB2722" i="1"/>
  <c r="AC2722" i="1" s="1"/>
  <c r="AA1743" i="1"/>
  <c r="AB1743" i="1" s="1"/>
  <c r="AC1943" i="1"/>
  <c r="AA2186" i="1"/>
  <c r="AA2289" i="1"/>
  <c r="AB2289" i="1" s="1"/>
  <c r="AB2453" i="1"/>
  <c r="AC2453" i="1" s="1"/>
  <c r="AA2476" i="1"/>
  <c r="AA2487" i="1"/>
  <c r="AC2518" i="1"/>
  <c r="AA2529" i="1"/>
  <c r="AA2866" i="1"/>
  <c r="AC2936" i="1"/>
  <c r="AA2901" i="1"/>
  <c r="AB2901" i="1" s="1"/>
  <c r="AA2938" i="1"/>
  <c r="AB2938" i="1" s="1"/>
  <c r="AC2938" i="1" s="1"/>
  <c r="AA2791" i="1"/>
  <c r="AB2791" i="1" s="1"/>
  <c r="AC2836" i="1"/>
  <c r="AB2879" i="1"/>
  <c r="AC2879" i="1" s="1"/>
  <c r="AA2890" i="1"/>
  <c r="AB2622" i="1"/>
  <c r="AC2622" i="1" s="1"/>
  <c r="AB2632" i="1"/>
  <c r="AC2632" i="1" s="1"/>
  <c r="AA2663" i="1"/>
  <c r="AB2663" i="1" s="1"/>
  <c r="AC2715" i="1"/>
  <c r="AB2847" i="1"/>
  <c r="AC2847" i="1" s="1"/>
  <c r="AA2770" i="1"/>
  <c r="AB2770" i="1" s="1"/>
  <c r="AC2770" i="1" s="1"/>
  <c r="AA2825" i="1"/>
  <c r="AB2825" i="1" s="1"/>
  <c r="AA2880" i="1"/>
  <c r="AB2880" i="1" s="1"/>
  <c r="AC2880" i="1" s="1"/>
  <c r="AB2276" i="1"/>
  <c r="AC2276" i="1" s="1"/>
  <c r="AB2653" i="1"/>
  <c r="AC2653" i="1" s="1"/>
  <c r="AA2704" i="1"/>
  <c r="AB2704" i="1" s="1"/>
  <c r="AA2736" i="1"/>
  <c r="AB2736" i="1" s="1"/>
  <c r="AA2858" i="1"/>
  <c r="AA2331" i="1"/>
  <c r="AB2331" i="1" s="1"/>
  <c r="AB2548" i="1"/>
  <c r="AC2548" i="1" s="1"/>
  <c r="AA2557" i="1"/>
  <c r="AB2557" i="1" s="1"/>
  <c r="AB2576" i="1"/>
  <c r="AC2576" i="1" s="1"/>
  <c r="AC2595" i="1"/>
  <c r="AA2614" i="1"/>
  <c r="AA2674" i="1"/>
  <c r="AB2674" i="1" s="1"/>
  <c r="AA2683" i="1"/>
  <c r="AB2683" i="1" s="1"/>
  <c r="AA2792" i="1"/>
  <c r="AA2826" i="1"/>
  <c r="AB2826" i="1" s="1"/>
  <c r="AB2315" i="1"/>
  <c r="AC2315" i="1" s="1"/>
  <c r="AA2384" i="1"/>
  <c r="AC2392" i="1"/>
  <c r="AA2462" i="1"/>
  <c r="AB2462" i="1" s="1"/>
  <c r="AC2539" i="1"/>
  <c r="AB2623" i="1"/>
  <c r="AC2623" i="1" s="1"/>
  <c r="AC2716" i="1"/>
  <c r="AA2728" i="1"/>
  <c r="AC2804" i="1"/>
  <c r="AA2848" i="1"/>
  <c r="AB2848" i="1" s="1"/>
  <c r="AA2928" i="1"/>
  <c r="AC2126" i="1"/>
  <c r="AA2284" i="1"/>
  <c r="AA2408" i="1"/>
  <c r="AA2446" i="1"/>
  <c r="AB2446" i="1" s="1"/>
  <c r="AA2454" i="1"/>
  <c r="AB2454" i="1" s="1"/>
  <c r="AC2454" i="1" s="1"/>
  <c r="AC2488" i="1"/>
  <c r="AC2567" i="1"/>
  <c r="AA2586" i="1"/>
  <c r="AB2586" i="1" s="1"/>
  <c r="AA2772" i="1"/>
  <c r="AA2300" i="1"/>
  <c r="AB2300" i="1" s="1"/>
  <c r="AA2308" i="1"/>
  <c r="AB2308" i="1" s="1"/>
  <c r="AC2308" i="1" s="1"/>
  <c r="AA2339" i="1"/>
  <c r="AB2339" i="1" s="1"/>
  <c r="AC2339" i="1" s="1"/>
  <c r="AA2377" i="1"/>
  <c r="AB2377" i="1" s="1"/>
  <c r="AA2423" i="1"/>
  <c r="AA2496" i="1"/>
  <c r="AB2496" i="1" s="1"/>
  <c r="AA2530" i="1"/>
  <c r="AB2530" i="1" s="1"/>
  <c r="AA2760" i="1"/>
  <c r="AB2760" i="1" s="1"/>
  <c r="AC2760" i="1" s="1"/>
  <c r="AA2793" i="1"/>
  <c r="AB2793" i="1" s="1"/>
  <c r="AC2793" i="1" s="1"/>
  <c r="AB2881" i="1"/>
  <c r="AC2881" i="1" s="1"/>
  <c r="AA2254" i="1"/>
  <c r="AA2269" i="1"/>
  <c r="AA2277" i="1"/>
  <c r="AB2316" i="1"/>
  <c r="AC2316" i="1" s="1"/>
  <c r="AC2324" i="1"/>
  <c r="AA2362" i="1"/>
  <c r="AB2362" i="1" s="1"/>
  <c r="AB2431" i="1"/>
  <c r="AC2431" i="1" s="1"/>
  <c r="AA2439" i="1"/>
  <c r="AB2439" i="1" s="1"/>
  <c r="AA2472" i="1"/>
  <c r="AB2472" i="1" s="1"/>
  <c r="AA2514" i="1"/>
  <c r="AB2514" i="1" s="1"/>
  <c r="AA2522" i="1"/>
  <c r="AB2522" i="1" s="1"/>
  <c r="AB2625" i="1"/>
  <c r="AC2625" i="1" s="1"/>
  <c r="AA2738" i="1"/>
  <c r="AB2738" i="1" s="1"/>
  <c r="AA2783" i="1"/>
  <c r="AB2783" i="1" s="1"/>
  <c r="AA2816" i="1"/>
  <c r="AC2849" i="1"/>
  <c r="AB2119" i="1"/>
  <c r="AC2119" i="1" s="1"/>
  <c r="AB2142" i="1"/>
  <c r="AC2142" i="1" s="1"/>
  <c r="AA2455" i="1"/>
  <c r="AB2455" i="1" s="1"/>
  <c r="AC2455" i="1" s="1"/>
  <c r="AA2497" i="1"/>
  <c r="AB2497" i="1" s="1"/>
  <c r="AC2497" i="1" s="1"/>
  <c r="AA2568" i="1"/>
  <c r="AB2568" i="1" s="1"/>
  <c r="AC2568" i="1" s="1"/>
  <c r="AA2655" i="1"/>
  <c r="AB2655" i="1" s="1"/>
  <c r="AC2424" i="1"/>
  <c r="AA2464" i="1"/>
  <c r="AA2707" i="1"/>
  <c r="AB2401" i="1"/>
  <c r="AC2401" i="1" s="1"/>
  <c r="AB2578" i="1"/>
  <c r="AC2578" i="1" s="1"/>
  <c r="AA2666" i="1"/>
  <c r="AB2666" i="1" s="1"/>
  <c r="AA2882" i="1"/>
  <c r="AB2882" i="1" s="1"/>
  <c r="AC2882" i="1" s="1"/>
  <c r="AA2918" i="1"/>
  <c r="AB2918" i="1" s="1"/>
  <c r="AA2317" i="1"/>
  <c r="AB2317" i="1" s="1"/>
  <c r="AA2340" i="1"/>
  <c r="AB2340" i="1" s="1"/>
  <c r="AA2481" i="1"/>
  <c r="AA2532" i="1"/>
  <c r="AA2645" i="1"/>
  <c r="AB2645" i="1" s="1"/>
  <c r="AA2708" i="1"/>
  <c r="AB2708" i="1" s="1"/>
  <c r="AC2708" i="1" s="1"/>
  <c r="AA2751" i="1"/>
  <c r="AA2294" i="1"/>
  <c r="AB2294" i="1" s="1"/>
  <c r="AC2294" i="1" s="1"/>
  <c r="AA2348" i="1"/>
  <c r="AB2348" i="1" s="1"/>
  <c r="AA2363" i="1"/>
  <c r="AB2363" i="1" s="1"/>
  <c r="AC2363" i="1" s="1"/>
  <c r="AA2371" i="1"/>
  <c r="AB2371" i="1" s="1"/>
  <c r="AC2371" i="1" s="1"/>
  <c r="AA2394" i="1"/>
  <c r="AB2394" i="1" s="1"/>
  <c r="AA2417" i="1"/>
  <c r="AB2417" i="1" s="1"/>
  <c r="AA2440" i="1"/>
  <c r="AB2440" i="1" s="1"/>
  <c r="AA2473" i="1"/>
  <c r="AB2473" i="1" s="1"/>
  <c r="AC2473" i="1" s="1"/>
  <c r="AA2515" i="1"/>
  <c r="AB2515" i="1" s="1"/>
  <c r="AC2515" i="1" s="1"/>
  <c r="AA2523" i="1"/>
  <c r="AB2523" i="1" s="1"/>
  <c r="AA2550" i="1"/>
  <c r="AA2646" i="1"/>
  <c r="AB2646" i="1" s="1"/>
  <c r="AA2730" i="1"/>
  <c r="AB2730" i="1" s="1"/>
  <c r="AA2784" i="1"/>
  <c r="AB2784" i="1" s="1"/>
  <c r="AC2807" i="1"/>
  <c r="AA2818" i="1"/>
  <c r="AA2310" i="1"/>
  <c r="AB2310" i="1" s="1"/>
  <c r="AA2333" i="1"/>
  <c r="AA2356" i="1"/>
  <c r="AA2425" i="1"/>
  <c r="AA2448" i="1"/>
  <c r="AB2448" i="1" s="1"/>
  <c r="AC2448" i="1" s="1"/>
  <c r="AB2490" i="1"/>
  <c r="AC2490" i="1" s="1"/>
  <c r="AA2533" i="1"/>
  <c r="AB2533" i="1" s="1"/>
  <c r="AC2533" i="1" s="1"/>
  <c r="AA2542" i="1"/>
  <c r="AC2560" i="1"/>
  <c r="AB2570" i="1"/>
  <c r="AC2570" i="1" s="1"/>
  <c r="AA2607" i="1"/>
  <c r="AA2636" i="1"/>
  <c r="AB2636" i="1" s="1"/>
  <c r="AA2697" i="1"/>
  <c r="AC2932" i="1"/>
  <c r="AB2196" i="1"/>
  <c r="AA2211" i="1"/>
  <c r="AB2211" i="1" s="1"/>
  <c r="AC2211" i="1" s="1"/>
  <c r="AA2248" i="1"/>
  <c r="AB2248" i="1" s="1"/>
  <c r="AC2248" i="1" s="1"/>
  <c r="AA2263" i="1"/>
  <c r="AB2263" i="1" s="1"/>
  <c r="AC2263" i="1" s="1"/>
  <c r="AA2341" i="1"/>
  <c r="AA2387" i="1"/>
  <c r="AA2402" i="1"/>
  <c r="AB2402" i="1" s="1"/>
  <c r="AA2579" i="1"/>
  <c r="AB2579" i="1" s="1"/>
  <c r="AB2627" i="1"/>
  <c r="AC2627" i="1" s="1"/>
  <c r="AA2647" i="1"/>
  <c r="AB2647" i="1" s="1"/>
  <c r="AC2647" i="1" s="1"/>
  <c r="AB2720" i="1"/>
  <c r="AC2720" i="1" s="1"/>
  <c r="AC2741" i="1"/>
  <c r="AB2219" i="1"/>
  <c r="AC2219" i="1" s="1"/>
  <c r="AA2227" i="1"/>
  <c r="AA2364" i="1"/>
  <c r="AB2364" i="1" s="1"/>
  <c r="AC2364" i="1" s="1"/>
  <c r="AB2667" i="1"/>
  <c r="AC2667" i="1" s="1"/>
  <c r="AA2785" i="1"/>
  <c r="AA2841" i="1"/>
  <c r="AB2841" i="1" s="1"/>
  <c r="AA2873" i="1"/>
  <c r="AA2919" i="1"/>
  <c r="AA2099" i="1"/>
  <c r="AB2099" i="1" s="1"/>
  <c r="AA2129" i="1"/>
  <c r="AA2204" i="1"/>
  <c r="AA2234" i="1"/>
  <c r="AA2271" i="1"/>
  <c r="AA2287" i="1"/>
  <c r="AB2287" i="1" s="1"/>
  <c r="AA2326" i="1"/>
  <c r="AA2457" i="1"/>
  <c r="AA2561" i="1"/>
  <c r="AB2561" i="1" s="1"/>
  <c r="AC2561" i="1" s="1"/>
  <c r="AA2580" i="1"/>
  <c r="AB2580" i="1" s="1"/>
  <c r="AC2580" i="1" s="1"/>
  <c r="AA2599" i="1"/>
  <c r="AA2608" i="1"/>
  <c r="AA2764" i="1"/>
  <c r="AB2764" i="1" s="1"/>
  <c r="AC2764" i="1" s="1"/>
  <c r="AA2212" i="1"/>
  <c r="AA2256" i="1"/>
  <c r="AA2303" i="1"/>
  <c r="AA2349" i="1"/>
  <c r="AA2395" i="1"/>
  <c r="AB2395" i="1" s="1"/>
  <c r="AA2441" i="1"/>
  <c r="AA2474" i="1"/>
  <c r="AA2516" i="1"/>
  <c r="AA2842" i="1"/>
  <c r="AB2842" i="1" s="1"/>
  <c r="AC2842" i="1" s="1"/>
  <c r="AA2863" i="1"/>
  <c r="AA1663" i="1"/>
  <c r="AB1663" i="1" s="1"/>
  <c r="AA1770" i="1"/>
  <c r="AB1770" i="1" s="1"/>
  <c r="AB1797" i="1"/>
  <c r="AC1797" i="1" s="1"/>
  <c r="AB1804" i="1"/>
  <c r="AC1804" i="1" s="1"/>
  <c r="AA1811" i="1"/>
  <c r="AB1811" i="1" s="1"/>
  <c r="AA1838" i="1"/>
  <c r="AA1865" i="1"/>
  <c r="AA1892" i="1"/>
  <c r="AB1892" i="1" s="1"/>
  <c r="AA1954" i="1"/>
  <c r="AB1954" i="1" s="1"/>
  <c r="AC1954" i="1" s="1"/>
  <c r="AA1961" i="1"/>
  <c r="AB1961" i="1" s="1"/>
  <c r="AA1982" i="1"/>
  <c r="AB1982" i="1" s="1"/>
  <c r="AA1989" i="1"/>
  <c r="AB1989" i="1" s="1"/>
  <c r="AC1989" i="1" s="1"/>
  <c r="AA2011" i="1"/>
  <c r="AB2033" i="1"/>
  <c r="AC2033" i="1" s="1"/>
  <c r="AA2055" i="1"/>
  <c r="AA2114" i="1"/>
  <c r="AB2114" i="1" s="1"/>
  <c r="AC2114" i="1" s="1"/>
  <c r="AA2197" i="1"/>
  <c r="AA2280" i="1"/>
  <c r="AA2311" i="1"/>
  <c r="AB2311" i="1" s="1"/>
  <c r="AB2334" i="1"/>
  <c r="AC2334" i="1" s="1"/>
  <c r="AA2357" i="1"/>
  <c r="AB2357" i="1" s="1"/>
  <c r="AC2357" i="1" s="1"/>
  <c r="AA2380" i="1"/>
  <c r="AA2426" i="1"/>
  <c r="AB2426" i="1" s="1"/>
  <c r="AA2543" i="1"/>
  <c r="AA2628" i="1"/>
  <c r="AB2628" i="1" s="1"/>
  <c r="AA2698" i="1"/>
  <c r="AB2698" i="1" s="1"/>
  <c r="AA2721" i="1"/>
  <c r="AA1444" i="1"/>
  <c r="AB1444" i="1" s="1"/>
  <c r="AA1476" i="1"/>
  <c r="AB1476" i="1" s="1"/>
  <c r="AA1508" i="1"/>
  <c r="AB1508" i="1" s="1"/>
  <c r="AA1540" i="1"/>
  <c r="AB1540" i="1" s="1"/>
  <c r="AA1572" i="1"/>
  <c r="AA1604" i="1"/>
  <c r="AA1643" i="1"/>
  <c r="AB1643" i="1" s="1"/>
  <c r="AB1650" i="1"/>
  <c r="AA1703" i="1"/>
  <c r="AA1750" i="1"/>
  <c r="AA1777" i="1"/>
  <c r="AA1845" i="1"/>
  <c r="AA1872" i="1"/>
  <c r="AB1872" i="1" s="1"/>
  <c r="AA1906" i="1"/>
  <c r="AB1906" i="1" s="1"/>
  <c r="AA1968" i="1"/>
  <c r="AB1968" i="1" s="1"/>
  <c r="AA1975" i="1"/>
  <c r="AB1975" i="1" s="1"/>
  <c r="AB2004" i="1"/>
  <c r="AC2004" i="1" s="1"/>
  <c r="AA2077" i="1"/>
  <c r="AB2077" i="1" s="1"/>
  <c r="AA2085" i="1"/>
  <c r="AB2085" i="1" s="1"/>
  <c r="AA2122" i="1"/>
  <c r="AB2122" i="1" s="1"/>
  <c r="AA2137" i="1"/>
  <c r="AA2182" i="1"/>
  <c r="AB2182" i="1" s="1"/>
  <c r="AB2205" i="1"/>
  <c r="AC2205" i="1" s="1"/>
  <c r="AA2220" i="1"/>
  <c r="AB2220" i="1" s="1"/>
  <c r="AA2249" i="1"/>
  <c r="AB2249" i="1" s="1"/>
  <c r="AA2272" i="1"/>
  <c r="AB2272" i="1" s="1"/>
  <c r="AA2342" i="1"/>
  <c r="AA2388" i="1"/>
  <c r="AA2403" i="1"/>
  <c r="AA2466" i="1"/>
  <c r="AA2500" i="1"/>
  <c r="AA2508" i="1"/>
  <c r="AB2525" i="1"/>
  <c r="AC2525" i="1" s="1"/>
  <c r="AA2668" i="1"/>
  <c r="AB2668" i="1" s="1"/>
  <c r="AC2668" i="1" s="1"/>
  <c r="AA2689" i="1"/>
  <c r="AB2689" i="1" s="1"/>
  <c r="AC2743" i="1"/>
  <c r="AC2809" i="1"/>
  <c r="AB2832" i="1"/>
  <c r="AC2832" i="1" s="1"/>
  <c r="AB2874" i="1"/>
  <c r="AC2874" i="1" s="1"/>
  <c r="AA2898" i="1"/>
  <c r="AC1650" i="1"/>
  <c r="AA1784" i="1"/>
  <c r="AB1893" i="1"/>
  <c r="AC1893" i="1" s="1"/>
  <c r="AA1913" i="1"/>
  <c r="AB2026" i="1"/>
  <c r="AC2026" i="1" s="1"/>
  <c r="AC2167" i="1"/>
  <c r="AB2174" i="1"/>
  <c r="AC2174" i="1" s="1"/>
  <c r="AA2257" i="1"/>
  <c r="AC2327" i="1"/>
  <c r="AA2350" i="1"/>
  <c r="AA2434" i="1"/>
  <c r="AB2434" i="1" s="1"/>
  <c r="AB2553" i="1"/>
  <c r="AC2553" i="1" s="1"/>
  <c r="AB2638" i="1"/>
  <c r="AC2638" i="1" s="1"/>
  <c r="AC2659" i="1"/>
  <c r="AC2712" i="1"/>
  <c r="AA2753" i="1"/>
  <c r="AB2753" i="1" s="1"/>
  <c r="AC2843" i="1"/>
  <c r="AB2939" i="1"/>
  <c r="AC2939" i="1" s="1"/>
  <c r="AA2892" i="1"/>
  <c r="AA2911" i="1"/>
  <c r="AB2911" i="1" s="1"/>
  <c r="AA2940" i="1"/>
  <c r="AA2762" i="1"/>
  <c r="AB2762" i="1" s="1"/>
  <c r="AA2794" i="1"/>
  <c r="AA2802" i="1"/>
  <c r="AA2921" i="1"/>
  <c r="AA2931" i="1"/>
  <c r="AB2931" i="1" s="1"/>
  <c r="AC2931" i="1" s="1"/>
  <c r="AA2545" i="1"/>
  <c r="AA2587" i="1"/>
  <c r="AA2609" i="1"/>
  <c r="AA2684" i="1"/>
  <c r="AA2700" i="1"/>
  <c r="AA2723" i="1"/>
  <c r="AB2723" i="1" s="1"/>
  <c r="AB2867" i="1"/>
  <c r="AC2867" i="1" s="1"/>
  <c r="AA2875" i="1"/>
  <c r="AB2875" i="1" s="1"/>
  <c r="AB2883" i="1"/>
  <c r="AC2883" i="1" s="1"/>
  <c r="AA2912" i="1"/>
  <c r="AA2922" i="1"/>
  <c r="AB2517" i="1"/>
  <c r="AC2517" i="1" s="1"/>
  <c r="AA2739" i="1"/>
  <c r="AB2786" i="1"/>
  <c r="AC2786" i="1" s="1"/>
  <c r="AA2811" i="1"/>
  <c r="AB2811" i="1" s="1"/>
  <c r="AC2811" i="1" s="1"/>
  <c r="AA2835" i="1"/>
  <c r="AB2835" i="1" s="1"/>
  <c r="AB2851" i="1"/>
  <c r="AC2851" i="1" s="1"/>
  <c r="AA2884" i="1"/>
  <c r="AB2884" i="1" s="1"/>
  <c r="AC2884" i="1" s="1"/>
  <c r="AA2602" i="1"/>
  <c r="AB2602" i="1" s="1"/>
  <c r="AA2617" i="1"/>
  <c r="AB2617" i="1" s="1"/>
  <c r="AC2677" i="1"/>
  <c r="AA2724" i="1"/>
  <c r="AB2724" i="1" s="1"/>
  <c r="AC2724" i="1" s="1"/>
  <c r="AA2755" i="1"/>
  <c r="AB2755" i="1" s="1"/>
  <c r="AA2771" i="1"/>
  <c r="AB2771" i="1" s="1"/>
  <c r="AB2819" i="1"/>
  <c r="AC2819" i="1" s="1"/>
  <c r="AB2827" i="1"/>
  <c r="AC2827" i="1" s="1"/>
  <c r="AA2852" i="1"/>
  <c r="AB2852" i="1" s="1"/>
  <c r="AC2852" i="1" s="1"/>
  <c r="AA2893" i="1"/>
  <c r="AC2903" i="1"/>
  <c r="AA2913" i="1"/>
  <c r="AC2510" i="1"/>
  <c r="AB2610" i="1"/>
  <c r="AC2610" i="1" s="1"/>
  <c r="AB2654" i="1"/>
  <c r="AC2654" i="1" s="1"/>
  <c r="AB2662" i="1"/>
  <c r="AC2662" i="1" s="1"/>
  <c r="AB2795" i="1"/>
  <c r="AC2795" i="1" s="1"/>
  <c r="AB2820" i="1"/>
  <c r="AC2820" i="1" s="1"/>
  <c r="AB2885" i="1"/>
  <c r="AC2885" i="1" s="1"/>
  <c r="AA2740" i="1"/>
  <c r="AB2740" i="1" s="1"/>
  <c r="AC2740" i="1" s="1"/>
  <c r="AC2787" i="1"/>
  <c r="AA2894" i="1"/>
  <c r="AB2894" i="1" s="1"/>
  <c r="AA2504" i="1"/>
  <c r="AB2504" i="1" s="1"/>
  <c r="AA2694" i="1"/>
  <c r="AA2709" i="1"/>
  <c r="AA2725" i="1"/>
  <c r="AB2725" i="1" s="1"/>
  <c r="AC2725" i="1" s="1"/>
  <c r="AA2748" i="1"/>
  <c r="AB2748" i="1" s="1"/>
  <c r="AA2756" i="1"/>
  <c r="AB2756" i="1" s="1"/>
  <c r="AC2756" i="1" s="1"/>
  <c r="AA2812" i="1"/>
  <c r="AA2828" i="1"/>
  <c r="AB2828" i="1" s="1"/>
  <c r="AB2853" i="1"/>
  <c r="AC2853" i="1" s="1"/>
  <c r="AA2914" i="1"/>
  <c r="AB2914" i="1" s="1"/>
  <c r="AC2914" i="1" s="1"/>
  <c r="AA2924" i="1"/>
  <c r="AB2603" i="1"/>
  <c r="AC2603" i="1" s="1"/>
  <c r="AB2611" i="1"/>
  <c r="AC2611" i="1" s="1"/>
  <c r="AA2633" i="1"/>
  <c r="AA2640" i="1"/>
  <c r="AB2640" i="1" s="1"/>
  <c r="AA2733" i="1"/>
  <c r="AB2733" i="1" s="1"/>
  <c r="AC2733" i="1" s="1"/>
  <c r="AA2780" i="1"/>
  <c r="AA2788" i="1"/>
  <c r="AB2788" i="1" s="1"/>
  <c r="AC2788" i="1" s="1"/>
  <c r="AA2821" i="1"/>
  <c r="AB2821" i="1" s="1"/>
  <c r="AA2886" i="1"/>
  <c r="AA2596" i="1"/>
  <c r="AB2596" i="1" s="1"/>
  <c r="AC2596" i="1" s="1"/>
  <c r="AC2679" i="1"/>
  <c r="AA2687" i="1"/>
  <c r="AB2687" i="1" s="1"/>
  <c r="AC2687" i="1" s="1"/>
  <c r="AA2757" i="1"/>
  <c r="AB2757" i="1" s="1"/>
  <c r="AA2797" i="1"/>
  <c r="AB2797" i="1" s="1"/>
  <c r="AA2861" i="1"/>
  <c r="AA2869" i="1"/>
  <c r="AB2869" i="1" s="1"/>
  <c r="AC2869" i="1" s="1"/>
  <c r="AB2895" i="1"/>
  <c r="AC2895" i="1" s="1"/>
  <c r="AA2905" i="1"/>
  <c r="AA2540" i="1"/>
  <c r="AA2547" i="1"/>
  <c r="AA2554" i="1"/>
  <c r="AA2575" i="1"/>
  <c r="AA2582" i="1"/>
  <c r="AA2589" i="1"/>
  <c r="AA2597" i="1"/>
  <c r="AB2597" i="1" s="1"/>
  <c r="AC2597" i="1" s="1"/>
  <c r="AA2626" i="1"/>
  <c r="AB2626" i="1" s="1"/>
  <c r="AC2626" i="1" s="1"/>
  <c r="AA2664" i="1"/>
  <c r="AA2702" i="1"/>
  <c r="AB2702" i="1" s="1"/>
  <c r="AA2765" i="1"/>
  <c r="AA2773" i="1"/>
  <c r="AA2805" i="1"/>
  <c r="AC2813" i="1"/>
  <c r="AA2837" i="1"/>
  <c r="AB2837" i="1" s="1"/>
  <c r="AA2854" i="1"/>
  <c r="AB2854" i="1" s="1"/>
  <c r="AA2878" i="1"/>
  <c r="AB2878" i="1" s="1"/>
  <c r="AA2161" i="1"/>
  <c r="AB2231" i="1"/>
  <c r="AC2231" i="1" s="1"/>
  <c r="AA2484" i="1"/>
  <c r="AA2519" i="1"/>
  <c r="AB2519" i="1" s="1"/>
  <c r="AB2526" i="1"/>
  <c r="AC2526" i="1" s="1"/>
  <c r="AA2619" i="1"/>
  <c r="AB2619" i="1" s="1"/>
  <c r="AA2641" i="1"/>
  <c r="AB2641" i="1" s="1"/>
  <c r="AA2656" i="1"/>
  <c r="AB2656" i="1" s="1"/>
  <c r="AC2656" i="1" s="1"/>
  <c r="AA2695" i="1"/>
  <c r="AB2695" i="1" s="1"/>
  <c r="AC2695" i="1" s="1"/>
  <c r="AB2710" i="1"/>
  <c r="AC2710" i="1" s="1"/>
  <c r="AB2718" i="1"/>
  <c r="AC2718" i="1" s="1"/>
  <c r="AA2726" i="1"/>
  <c r="AB2749" i="1"/>
  <c r="AC2749" i="1" s="1"/>
  <c r="AA2906" i="1"/>
  <c r="AA2238" i="1"/>
  <c r="AB2238" i="1" s="1"/>
  <c r="AC2245" i="1"/>
  <c r="AA2498" i="1"/>
  <c r="AB2498" i="1" s="1"/>
  <c r="AA2512" i="1"/>
  <c r="AA2612" i="1"/>
  <c r="AA2925" i="1"/>
  <c r="AB2925" i="1" s="1"/>
  <c r="AA2031" i="1"/>
  <c r="AA2051" i="1"/>
  <c r="AB2078" i="1"/>
  <c r="AC2078" i="1" s="1"/>
  <c r="AA2113" i="1"/>
  <c r="AB2113" i="1" s="1"/>
  <c r="AA2196" i="1"/>
  <c r="AA2386" i="1"/>
  <c r="AB2386" i="1" s="1"/>
  <c r="AA2407" i="1"/>
  <c r="AB2407" i="1" s="1"/>
  <c r="AC2407" i="1" s="1"/>
  <c r="AA2470" i="1"/>
  <c r="AB2470" i="1" s="1"/>
  <c r="AC2470" i="1" s="1"/>
  <c r="AA2590" i="1"/>
  <c r="AB2590" i="1" s="1"/>
  <c r="AA2634" i="1"/>
  <c r="AB2634" i="1" s="1"/>
  <c r="AA2672" i="1"/>
  <c r="AB2672" i="1" s="1"/>
  <c r="AA2742" i="1"/>
  <c r="AB2742" i="1" s="1"/>
  <c r="AA2774" i="1"/>
  <c r="AA2790" i="1"/>
  <c r="AA2870" i="1"/>
  <c r="AB2870" i="1" s="1"/>
  <c r="AA2896" i="1"/>
  <c r="AB2896" i="1" s="1"/>
  <c r="AC2935" i="1"/>
  <c r="AA1759" i="1"/>
  <c r="AB1759" i="1" s="1"/>
  <c r="AA1791" i="1"/>
  <c r="AA1823" i="1"/>
  <c r="AA1855" i="1"/>
  <c r="AA1887" i="1"/>
  <c r="AB1887" i="1" s="1"/>
  <c r="AA1900" i="1"/>
  <c r="AA1998" i="1"/>
  <c r="AA2018" i="1"/>
  <c r="AA2038" i="1"/>
  <c r="AB2038" i="1" s="1"/>
  <c r="AB2045" i="1"/>
  <c r="AC2045" i="1" s="1"/>
  <c r="AA2058" i="1"/>
  <c r="AB2058" i="1" s="1"/>
  <c r="AC2058" i="1" s="1"/>
  <c r="AA2065" i="1"/>
  <c r="AA2127" i="1"/>
  <c r="AB2127" i="1" s="1"/>
  <c r="AA2134" i="1"/>
  <c r="AB2134" i="1" s="1"/>
  <c r="AB2148" i="1"/>
  <c r="AA2189" i="1"/>
  <c r="AB2189" i="1" s="1"/>
  <c r="AA2210" i="1"/>
  <c r="AB2210" i="1" s="1"/>
  <c r="AA2224" i="1"/>
  <c r="AA2309" i="1"/>
  <c r="AB2309" i="1" s="1"/>
  <c r="AC2344" i="1"/>
  <c r="AA2365" i="1"/>
  <c r="AB2365" i="1" s="1"/>
  <c r="AA2372" i="1"/>
  <c r="AA2393" i="1"/>
  <c r="AB2393" i="1" s="1"/>
  <c r="AA2400" i="1"/>
  <c r="AB2400" i="1" s="1"/>
  <c r="AA2449" i="1"/>
  <c r="AA2463" i="1"/>
  <c r="AA2477" i="1"/>
  <c r="AB2477" i="1" s="1"/>
  <c r="AA2534" i="1"/>
  <c r="AA2562" i="1"/>
  <c r="AB2562" i="1" s="1"/>
  <c r="AA2569" i="1"/>
  <c r="AB2569" i="1" s="1"/>
  <c r="AC2583" i="1"/>
  <c r="AA2605" i="1"/>
  <c r="AA2649" i="1"/>
  <c r="AB2649" i="1" s="1"/>
  <c r="AA2657" i="1"/>
  <c r="AA2688" i="1"/>
  <c r="AC2711" i="1"/>
  <c r="AB2727" i="1"/>
  <c r="AC2727" i="1" s="1"/>
  <c r="AB2750" i="1"/>
  <c r="AC2750" i="1" s="1"/>
  <c r="AA2758" i="1"/>
  <c r="AB2758" i="1" s="1"/>
  <c r="AC2758" i="1" s="1"/>
  <c r="AA2798" i="1"/>
  <c r="AB2814" i="1"/>
  <c r="AC2814" i="1" s="1"/>
  <c r="AB2822" i="1"/>
  <c r="AC2822" i="1" s="1"/>
  <c r="AC2830" i="1"/>
  <c r="AA2862" i="1"/>
  <c r="AB2862" i="1" s="1"/>
  <c r="AC2072" i="1"/>
  <c r="AC2148" i="1"/>
  <c r="AC2295" i="1"/>
  <c r="AC2351" i="1"/>
  <c r="AA2513" i="1"/>
  <c r="AC2696" i="1"/>
  <c r="AB2703" i="1"/>
  <c r="AC2703" i="1" s="1"/>
  <c r="AA2719" i="1"/>
  <c r="AB2719" i="1" s="1"/>
  <c r="AA2806" i="1"/>
  <c r="AC2839" i="1"/>
  <c r="AC2907" i="1"/>
  <c r="AA2926" i="1"/>
  <c r="AC2877" i="1"/>
  <c r="AA2920" i="1"/>
  <c r="AB2920" i="1" s="1"/>
  <c r="AA2927" i="1"/>
  <c r="AB2927" i="1" s="1"/>
  <c r="AA2934" i="1"/>
  <c r="AB2934" i="1" s="1"/>
  <c r="AC2934" i="1" s="1"/>
  <c r="AB2942" i="1"/>
  <c r="AC2942" i="1" s="1"/>
  <c r="AC2717" i="1"/>
  <c r="AC2857" i="1"/>
  <c r="AB2864" i="1"/>
  <c r="AC2864" i="1" s="1"/>
  <c r="AC2871" i="1"/>
  <c r="AB2943" i="1"/>
  <c r="AC2943" i="1" s="1"/>
  <c r="AA2887" i="1"/>
  <c r="AB2887" i="1" s="1"/>
  <c r="AA2577" i="1"/>
  <c r="AC2781" i="1"/>
  <c r="AA2908" i="1"/>
  <c r="AB2908" i="1" s="1"/>
  <c r="AB2915" i="1"/>
  <c r="AC2915" i="1" s="1"/>
  <c r="AB2052" i="1"/>
  <c r="AC2052" i="1" s="1"/>
  <c r="AB2859" i="1"/>
  <c r="AC2859" i="1" s="1"/>
  <c r="AA2225" i="1"/>
  <c r="AB2225" i="1" s="1"/>
  <c r="AC2225" i="1" s="1"/>
  <c r="AA2637" i="1"/>
  <c r="AB2637" i="1" s="1"/>
  <c r="AC2637" i="1" s="1"/>
  <c r="AA2789" i="1"/>
  <c r="AA2824" i="1"/>
  <c r="AB2824" i="1" s="1"/>
  <c r="AC2824" i="1" s="1"/>
  <c r="AC2845" i="1"/>
  <c r="AA2930" i="1"/>
  <c r="AB2930" i="1" s="1"/>
  <c r="AA2937" i="1"/>
  <c r="AB2937" i="1" s="1"/>
  <c r="AC2551" i="1"/>
  <c r="AA2564" i="1"/>
  <c r="AA2604" i="1"/>
  <c r="AA2624" i="1"/>
  <c r="AB2624" i="1" s="1"/>
  <c r="AA2644" i="1"/>
  <c r="AB2644" i="1" s="1"/>
  <c r="AA2671" i="1"/>
  <c r="AA2678" i="1"/>
  <c r="AB2678" i="1" s="1"/>
  <c r="AA2692" i="1"/>
  <c r="AB2692" i="1" s="1"/>
  <c r="AA2706" i="1"/>
  <c r="AB2706" i="1" s="1"/>
  <c r="AA2747" i="1"/>
  <c r="AB2747" i="1" s="1"/>
  <c r="AA2754" i="1"/>
  <c r="AA2761" i="1"/>
  <c r="AB2768" i="1"/>
  <c r="AC2768" i="1" s="1"/>
  <c r="AA2796" i="1"/>
  <c r="AA2803" i="1"/>
  <c r="AA2810" i="1"/>
  <c r="AA2817" i="1"/>
  <c r="AA2831" i="1"/>
  <c r="AA2838" i="1"/>
  <c r="AB2902" i="1"/>
  <c r="AC2902" i="1" s="1"/>
  <c r="AA2916" i="1"/>
  <c r="AB2916" i="1" s="1"/>
  <c r="AC2916" i="1" s="1"/>
  <c r="AB2923" i="1"/>
  <c r="AC2923" i="1" s="1"/>
  <c r="AA2385" i="1"/>
  <c r="AB2398" i="1"/>
  <c r="AC2398" i="1" s="1"/>
  <c r="AB2685" i="1"/>
  <c r="AC2685" i="1" s="1"/>
  <c r="AB2782" i="1"/>
  <c r="AC2782" i="1" s="1"/>
  <c r="AC2909" i="1"/>
  <c r="AA2944" i="1"/>
  <c r="AB2944" i="1" s="1"/>
  <c r="AA2945" i="1"/>
  <c r="AB2945" i="1" s="1"/>
  <c r="AA2946" i="1"/>
  <c r="AB2946" i="1" s="1"/>
  <c r="AC2946" i="1" s="1"/>
  <c r="AA2947" i="1"/>
  <c r="AB2947" i="1" s="1"/>
  <c r="AC2947" i="1" s="1"/>
  <c r="AA2941" i="1"/>
  <c r="AB2941" i="1" s="1"/>
  <c r="AC2941" i="1" s="1"/>
  <c r="AA2948" i="1"/>
  <c r="AB2948" i="1" s="1"/>
  <c r="AC2948" i="1" s="1"/>
  <c r="AA2673" i="1"/>
  <c r="AB2673" i="1" s="1"/>
  <c r="AA2705" i="1"/>
  <c r="AB2705" i="1" s="1"/>
  <c r="AC2705" i="1" s="1"/>
  <c r="AA2737" i="1"/>
  <c r="AB2737" i="1" s="1"/>
  <c r="AC2737" i="1" s="1"/>
  <c r="AA2769" i="1"/>
  <c r="AA2801" i="1"/>
  <c r="AA2833" i="1"/>
  <c r="AA2865" i="1"/>
  <c r="AA2897" i="1"/>
  <c r="AA2929" i="1"/>
  <c r="AB2929" i="1" s="1"/>
  <c r="AB2" i="1"/>
  <c r="AC2" i="1" s="1"/>
  <c r="AC1844" i="1" l="1"/>
  <c r="AC1017" i="1"/>
  <c r="AB1902" i="1"/>
  <c r="AC1902" i="1" s="1"/>
  <c r="AC1478" i="1"/>
  <c r="AC818" i="1"/>
  <c r="AC30" i="1"/>
  <c r="AC1863" i="1"/>
  <c r="AB1665" i="1"/>
  <c r="AC1665" i="1" s="1"/>
  <c r="AC329" i="1"/>
  <c r="AC2286" i="1"/>
  <c r="AC1790" i="1"/>
  <c r="AB2288" i="1"/>
  <c r="AC2288" i="1" s="1"/>
  <c r="AC1609" i="1"/>
  <c r="AC2663" i="1"/>
  <c r="AC737" i="1"/>
  <c r="AC1842" i="1"/>
  <c r="AB2016" i="1"/>
  <c r="AC2016" i="1" s="1"/>
  <c r="AC1874" i="1"/>
  <c r="AB1292" i="1"/>
  <c r="AC1292" i="1" s="1"/>
  <c r="AB1499" i="1"/>
  <c r="AC1499" i="1" s="1"/>
  <c r="AC1795" i="1"/>
  <c r="AC1285" i="1"/>
  <c r="AB547" i="1"/>
  <c r="AC547" i="1" s="1"/>
  <c r="AB848" i="1"/>
  <c r="AC848" i="1" s="1"/>
  <c r="AC1970" i="1"/>
  <c r="AB1166" i="1"/>
  <c r="AC1166" i="1" s="1"/>
  <c r="AC2465" i="1"/>
  <c r="AC1768" i="1"/>
  <c r="AB2081" i="1"/>
  <c r="AC2081" i="1" s="1"/>
  <c r="AC1724" i="1"/>
  <c r="AC746" i="1"/>
  <c r="AC2230" i="1"/>
  <c r="AB2818" i="1"/>
  <c r="AC2818" i="1" s="1"/>
  <c r="AC515" i="1"/>
  <c r="AC296" i="1"/>
  <c r="AC1276" i="1"/>
  <c r="AC2331" i="1"/>
  <c r="AB2921" i="1"/>
  <c r="AC2921" i="1" s="1"/>
  <c r="AB2135" i="1"/>
  <c r="AC2135" i="1" s="1"/>
  <c r="AB2792" i="1"/>
  <c r="AC2792" i="1" s="1"/>
  <c r="AB746" i="1"/>
  <c r="AB467" i="1"/>
  <c r="AC467" i="1" s="1"/>
  <c r="AB2008" i="1"/>
  <c r="AC2008" i="1" s="1"/>
  <c r="AC248" i="1"/>
  <c r="AB1824" i="1"/>
  <c r="AC1824" i="1" s="1"/>
  <c r="AC2719" i="1"/>
  <c r="AC2386" i="1"/>
  <c r="AC2689" i="1"/>
  <c r="AB2423" i="1"/>
  <c r="AC2423" i="1" s="1"/>
  <c r="AB1834" i="1"/>
  <c r="AC1834" i="1" s="1"/>
  <c r="AB985" i="1"/>
  <c r="AC985" i="1" s="1"/>
  <c r="AB481" i="1"/>
  <c r="AC481" i="1" s="1"/>
  <c r="AC2196" i="1"/>
  <c r="AC228" i="1"/>
  <c r="AB1526" i="1"/>
  <c r="AC1526" i="1" s="1"/>
  <c r="AC299" i="1"/>
  <c r="AC284" i="1"/>
  <c r="AC1368" i="1"/>
  <c r="AC2377" i="1"/>
  <c r="AC1569" i="1"/>
  <c r="AB68" i="1"/>
  <c r="AC68" i="1" s="1"/>
  <c r="AB506" i="1"/>
  <c r="AC506" i="1" s="1"/>
  <c r="AC271" i="1"/>
  <c r="AB1832" i="1"/>
  <c r="AC1832" i="1" s="1"/>
  <c r="AC2106" i="1"/>
  <c r="AB436" i="1"/>
  <c r="AC436" i="1" s="1"/>
  <c r="AB2012" i="1"/>
  <c r="AC2012" i="1" s="1"/>
  <c r="AB2022" i="1"/>
  <c r="AC2022" i="1" s="1"/>
  <c r="AB642" i="1"/>
  <c r="AC642" i="1" s="1"/>
  <c r="AC156" i="1"/>
  <c r="AC2184" i="1"/>
  <c r="AC2645" i="1"/>
  <c r="AC2240" i="1"/>
  <c r="AB81" i="1"/>
  <c r="AC81" i="1" s="1"/>
  <c r="AB2322" i="1"/>
  <c r="AC2322" i="1" s="1"/>
  <c r="AB957" i="1"/>
  <c r="AC957" i="1" s="1"/>
  <c r="AC1997" i="1"/>
  <c r="AB2532" i="1"/>
  <c r="AC2532" i="1" s="1"/>
  <c r="AB1083" i="1"/>
  <c r="AC1083" i="1" s="1"/>
  <c r="AB1293" i="1"/>
  <c r="AC1293" i="1" s="1"/>
  <c r="AC2523" i="1"/>
  <c r="AC1726" i="1"/>
  <c r="AB1099" i="1"/>
  <c r="AC1099" i="1" s="1"/>
  <c r="AC2233" i="1"/>
  <c r="AC1742" i="1"/>
  <c r="AC621" i="1"/>
  <c r="AB527" i="1"/>
  <c r="AC527" i="1" s="1"/>
  <c r="AC832" i="1"/>
  <c r="AC1975" i="1"/>
  <c r="AB2789" i="1"/>
  <c r="AC2789" i="1" s="1"/>
  <c r="AC2650" i="1"/>
  <c r="AC1683" i="1"/>
  <c r="AC816" i="1"/>
  <c r="AB1466" i="1"/>
  <c r="AC1466" i="1" s="1"/>
  <c r="AB2489" i="1"/>
  <c r="AC2489" i="1" s="1"/>
  <c r="AC2757" i="1"/>
  <c r="AC92" i="1"/>
  <c r="AC1404" i="1"/>
  <c r="AC1196" i="1"/>
  <c r="AC857" i="1"/>
  <c r="AC1386" i="1"/>
  <c r="AC122" i="1"/>
  <c r="AC1718" i="1"/>
  <c r="AB2600" i="1"/>
  <c r="AC2600" i="1" s="1"/>
  <c r="AB2866" i="1"/>
  <c r="AC2866" i="1" s="1"/>
  <c r="AB1909" i="1"/>
  <c r="AC1909" i="1" s="1"/>
  <c r="AB2707" i="1"/>
  <c r="AC2707" i="1" s="1"/>
  <c r="AB1835" i="1"/>
  <c r="AC1835" i="1" s="1"/>
  <c r="AB375" i="1"/>
  <c r="AC375" i="1" s="1"/>
  <c r="AB95" i="1"/>
  <c r="AC95" i="1" s="1"/>
  <c r="AB2559" i="1"/>
  <c r="AC2559" i="1" s="1"/>
  <c r="AC1741" i="1"/>
  <c r="AC2504" i="1"/>
  <c r="AB2709" i="1"/>
  <c r="AC2709" i="1" s="1"/>
  <c r="AB2633" i="1"/>
  <c r="AC2633" i="1" s="1"/>
  <c r="AB1858" i="1"/>
  <c r="AC1858" i="1" s="1"/>
  <c r="AC2146" i="1"/>
  <c r="AC1928" i="1"/>
  <c r="AB247" i="1"/>
  <c r="AC247" i="1" s="1"/>
  <c r="AB1303" i="1"/>
  <c r="AC1303" i="1" s="1"/>
  <c r="AB1627" i="1"/>
  <c r="AC1627" i="1" s="1"/>
  <c r="AB1163" i="1"/>
  <c r="AC1163" i="1" s="1"/>
  <c r="AB458" i="1"/>
  <c r="AC458" i="1" s="1"/>
  <c r="AC1705" i="1"/>
  <c r="AC2908" i="1"/>
  <c r="AB2050" i="1"/>
  <c r="AC2050" i="1" s="1"/>
  <c r="AC624" i="1"/>
  <c r="AB2168" i="1"/>
  <c r="AC2168" i="1" s="1"/>
  <c r="AC2753" i="1"/>
  <c r="AC2585" i="1"/>
  <c r="AB1698" i="1"/>
  <c r="AC1698" i="1" s="1"/>
  <c r="AC1536" i="1"/>
  <c r="AB2873" i="1"/>
  <c r="AC2873" i="1" s="1"/>
  <c r="AB1763" i="1"/>
  <c r="AC1763" i="1" s="1"/>
  <c r="AC1577" i="1"/>
  <c r="AC1576" i="1"/>
  <c r="AB938" i="1"/>
  <c r="AC938" i="1" s="1"/>
  <c r="AC1419" i="1"/>
  <c r="AC2841" i="1"/>
  <c r="AB2863" i="1"/>
  <c r="AC2863" i="1" s="1"/>
  <c r="AB1170" i="1"/>
  <c r="AC1170" i="1" s="1"/>
  <c r="AC1486" i="1"/>
  <c r="AC1645" i="1"/>
  <c r="AC1086" i="1"/>
  <c r="AB1005" i="1"/>
  <c r="AC1005" i="1" s="1"/>
  <c r="AB1297" i="1"/>
  <c r="AC1297" i="1" s="1"/>
  <c r="AB2589" i="1"/>
  <c r="AC2589" i="1" s="1"/>
  <c r="AC2655" i="1"/>
  <c r="AB2516" i="1"/>
  <c r="AC2516" i="1" s="1"/>
  <c r="AC2860" i="1"/>
  <c r="AC1659" i="1"/>
  <c r="AB2774" i="1"/>
  <c r="AC2774" i="1" s="1"/>
  <c r="AB2861" i="1"/>
  <c r="AC2861" i="1" s="1"/>
  <c r="AC2791" i="1"/>
  <c r="AC1501" i="1"/>
  <c r="AB99" i="1"/>
  <c r="AC99" i="1" s="1"/>
  <c r="AC1123" i="1"/>
  <c r="AC464" i="1"/>
  <c r="AC1862" i="1"/>
  <c r="AC49" i="1"/>
  <c r="AB2926" i="1"/>
  <c r="AC2926" i="1" s="1"/>
  <c r="AC2797" i="1"/>
  <c r="AB2785" i="1"/>
  <c r="AC2785" i="1" s="1"/>
  <c r="AB2728" i="1"/>
  <c r="AC2728" i="1" s="1"/>
  <c r="AB2422" i="1"/>
  <c r="AC2422" i="1" s="1"/>
  <c r="AC1552" i="1"/>
  <c r="AB1338" i="1"/>
  <c r="AC1338" i="1" s="1"/>
  <c r="AC650" i="1"/>
  <c r="AC1517" i="1"/>
  <c r="AC2530" i="1"/>
  <c r="AC2216" i="1"/>
  <c r="AB1788" i="1"/>
  <c r="AC1788" i="1" s="1"/>
  <c r="AC1460" i="1"/>
  <c r="AC798" i="1"/>
  <c r="AC1069" i="1"/>
  <c r="AC411" i="1"/>
  <c r="AB2669" i="1"/>
  <c r="AC2669" i="1" s="1"/>
  <c r="AC2875" i="1"/>
  <c r="AB2186" i="1"/>
  <c r="AC2186" i="1" s="1"/>
  <c r="AC1883" i="1"/>
  <c r="AB1469" i="1"/>
  <c r="AC1469" i="1" s="1"/>
  <c r="AC2088" i="1"/>
  <c r="AC1606" i="1"/>
  <c r="AC1263" i="1"/>
  <c r="AC839" i="1"/>
  <c r="AC1847" i="1"/>
  <c r="AB451" i="1"/>
  <c r="AC451" i="1" s="1"/>
  <c r="AB1561" i="1"/>
  <c r="AC1561" i="1" s="1"/>
  <c r="AB2499" i="1"/>
  <c r="AC2499" i="1" s="1"/>
  <c r="AB2441" i="1"/>
  <c r="AC2441" i="1" s="1"/>
  <c r="AC2825" i="1"/>
  <c r="AC2556" i="1"/>
  <c r="AB1873" i="1"/>
  <c r="AC1873" i="1" s="1"/>
  <c r="AC1669" i="1"/>
  <c r="AB1679" i="1"/>
  <c r="AC1679" i="1" s="1"/>
  <c r="AC684" i="1"/>
  <c r="AC1047" i="1"/>
  <c r="AC192" i="1"/>
  <c r="AC562" i="1"/>
  <c r="AB448" i="1"/>
  <c r="AC448" i="1" s="1"/>
  <c r="AB914" i="1"/>
  <c r="AC914" i="1" s="1"/>
  <c r="AB328" i="1"/>
  <c r="AC328" i="1" s="1"/>
  <c r="AB884" i="1"/>
  <c r="AC884" i="1" s="1"/>
  <c r="AC2265" i="1"/>
  <c r="AB233" i="1"/>
  <c r="AC233" i="1" s="1"/>
  <c r="AC2634" i="1"/>
  <c r="AC2099" i="1"/>
  <c r="AB1888" i="1"/>
  <c r="AC1888" i="1" s="1"/>
  <c r="AC1289" i="1"/>
  <c r="AC222" i="1"/>
  <c r="AC185" i="1"/>
  <c r="AC387" i="1"/>
  <c r="AB861" i="1"/>
  <c r="AC861" i="1" s="1"/>
  <c r="AC36" i="1"/>
  <c r="AC2318" i="1"/>
  <c r="AB2751" i="1"/>
  <c r="AC2751" i="1" s="1"/>
  <c r="AC1796" i="1"/>
  <c r="AC1430" i="1"/>
  <c r="AC906" i="1"/>
  <c r="AC1180" i="1"/>
  <c r="AC123" i="1"/>
  <c r="AC163" i="1"/>
  <c r="AC995" i="1"/>
  <c r="AB743" i="1"/>
  <c r="AC743" i="1" s="1"/>
  <c r="AB206" i="1"/>
  <c r="AC206" i="1" s="1"/>
  <c r="AB21" i="1"/>
  <c r="AC21" i="1" s="1"/>
  <c r="AB588" i="1"/>
  <c r="AC588" i="1" s="1"/>
  <c r="AB2150" i="1"/>
  <c r="AC2150" i="1" s="1"/>
  <c r="AC2477" i="1"/>
  <c r="AB334" i="1"/>
  <c r="AC334" i="1" s="1"/>
  <c r="AB1713" i="1"/>
  <c r="AC1713" i="1" s="1"/>
  <c r="AC128" i="1"/>
  <c r="AC85" i="1"/>
  <c r="AB2481" i="1"/>
  <c r="AC2481" i="1" s="1"/>
  <c r="AC1743" i="1"/>
  <c r="AB2329" i="1"/>
  <c r="AC2329" i="1" s="1"/>
  <c r="AB2120" i="1"/>
  <c r="AC2120" i="1" s="1"/>
  <c r="AC1311" i="1"/>
  <c r="AC1122" i="1"/>
  <c r="AB2437" i="1"/>
  <c r="AC2437" i="1" s="1"/>
  <c r="AB886" i="1"/>
  <c r="AC886" i="1" s="1"/>
  <c r="AB659" i="1"/>
  <c r="AC659" i="1" s="1"/>
  <c r="AB2209" i="1"/>
  <c r="AC2209" i="1" s="1"/>
  <c r="AB2588" i="1"/>
  <c r="AC2588" i="1" s="1"/>
  <c r="AB300" i="1"/>
  <c r="AC300" i="1" s="1"/>
  <c r="AC2620" i="1"/>
  <c r="AB17" i="1"/>
  <c r="AC17" i="1" s="1"/>
  <c r="AC1837" i="1"/>
  <c r="AC1281" i="1"/>
  <c r="AC2503" i="1"/>
  <c r="AC1668" i="1"/>
  <c r="AB2868" i="1"/>
  <c r="AC2868" i="1" s="1"/>
  <c r="AB2694" i="1"/>
  <c r="AC2694" i="1" s="1"/>
  <c r="AC2640" i="1"/>
  <c r="AB2354" i="1"/>
  <c r="AC2354" i="1" s="1"/>
  <c r="AC1234" i="1"/>
  <c r="AC1053" i="1"/>
  <c r="AC1271" i="1"/>
  <c r="AC758" i="1"/>
  <c r="AC1273" i="1"/>
  <c r="AC429" i="1"/>
  <c r="AB2003" i="1"/>
  <c r="AC2003" i="1" s="1"/>
  <c r="AC2486" i="1"/>
  <c r="AC1550" i="1"/>
  <c r="AC1013" i="1"/>
  <c r="AC920" i="1"/>
  <c r="AC564" i="1"/>
  <c r="AB1776" i="1"/>
  <c r="AC1776" i="1" s="1"/>
  <c r="AB685" i="1"/>
  <c r="AC685" i="1" s="1"/>
  <c r="AC1088" i="1"/>
  <c r="AC2317" i="1"/>
  <c r="AB2375" i="1"/>
  <c r="AC2375" i="1" s="1"/>
  <c r="AC1350" i="1"/>
  <c r="AB179" i="1"/>
  <c r="AC179" i="1" s="1"/>
  <c r="AB1042" i="1"/>
  <c r="AC1042" i="1" s="1"/>
  <c r="AC460" i="1"/>
  <c r="AC2918" i="1"/>
  <c r="AB2790" i="1"/>
  <c r="AC2790" i="1" s="1"/>
  <c r="AB79" i="1"/>
  <c r="AC79" i="1" s="1"/>
  <c r="AC2370" i="1"/>
  <c r="AC1670" i="1"/>
  <c r="AC699" i="1"/>
  <c r="AC2784" i="1"/>
  <c r="AC1961" i="1"/>
  <c r="AB2714" i="1"/>
  <c r="AC2714" i="1" s="1"/>
  <c r="AC1722" i="1"/>
  <c r="AC44" i="1"/>
  <c r="AB58" i="1"/>
  <c r="AC58" i="1" s="1"/>
  <c r="AB2358" i="1"/>
  <c r="AC2358" i="1" s="1"/>
  <c r="AB347" i="1"/>
  <c r="AC347" i="1" s="1"/>
  <c r="AB651" i="1"/>
  <c r="AC651" i="1" s="1"/>
  <c r="AC1867" i="1"/>
  <c r="AC1738" i="1"/>
  <c r="AC790" i="1"/>
  <c r="AC1130" i="1"/>
  <c r="AB795" i="1"/>
  <c r="AC795" i="1" s="1"/>
  <c r="AC2247" i="1"/>
  <c r="AB2581" i="1"/>
  <c r="AC2581" i="1" s="1"/>
  <c r="AB960" i="1"/>
  <c r="AC960" i="1" s="1"/>
  <c r="AB254" i="1"/>
  <c r="AC254" i="1" s="1"/>
  <c r="AC167" i="1"/>
  <c r="AC2775" i="1"/>
  <c r="AC1892" i="1"/>
  <c r="AC2682" i="1"/>
  <c r="AB2697" i="1"/>
  <c r="AC2697" i="1" s="1"/>
  <c r="AC1923" i="1"/>
  <c r="AB1131" i="1"/>
  <c r="AC1131" i="1" s="1"/>
  <c r="AC2642" i="1"/>
  <c r="AB611" i="1"/>
  <c r="AC611" i="1" s="1"/>
  <c r="AC1076" i="1"/>
  <c r="AC2093" i="1"/>
  <c r="AC764" i="1"/>
  <c r="AC2402" i="1"/>
  <c r="AC1656" i="1"/>
  <c r="AC409" i="1"/>
  <c r="AC1470" i="1"/>
  <c r="AB1808" i="1"/>
  <c r="AC1808" i="1" s="1"/>
  <c r="AB1125" i="1"/>
  <c r="AC1125" i="1" s="1"/>
  <c r="AC1000" i="1"/>
  <c r="AC971" i="1"/>
  <c r="AC386" i="1"/>
  <c r="AB1730" i="1"/>
  <c r="AC1730" i="1" s="1"/>
  <c r="AC2068" i="1"/>
  <c r="AC2521" i="1"/>
  <c r="AB784" i="1"/>
  <c r="AC784" i="1" s="1"/>
  <c r="AC583" i="1"/>
  <c r="AC1019" i="1"/>
  <c r="AB250" i="1"/>
  <c r="AC250" i="1" s="1"/>
  <c r="AC2017" i="1"/>
  <c r="AC2049" i="1"/>
  <c r="AC1720" i="1"/>
  <c r="AC1969" i="1"/>
  <c r="AC1396" i="1"/>
  <c r="AB1343" i="1"/>
  <c r="AC1343" i="1" s="1"/>
  <c r="AB126" i="1"/>
  <c r="AC126" i="1" s="1"/>
  <c r="AC2491" i="1"/>
  <c r="AC889" i="1"/>
  <c r="AC1476" i="1"/>
  <c r="AB1965" i="1"/>
  <c r="AC1965" i="1" s="1"/>
  <c r="AC1688" i="1"/>
  <c r="AC1467" i="1"/>
  <c r="AB1916" i="1"/>
  <c r="AC1916" i="1" s="1"/>
  <c r="AC687" i="1"/>
  <c r="AC866" i="1"/>
  <c r="AB1090" i="1"/>
  <c r="AC1090" i="1" s="1"/>
  <c r="AB52" i="1"/>
  <c r="AC52" i="1" s="1"/>
  <c r="AC2635" i="1"/>
  <c r="AC2053" i="1"/>
  <c r="AB928" i="1"/>
  <c r="AC928" i="1" s="1"/>
  <c r="AC461" i="1"/>
  <c r="AC2692" i="1"/>
  <c r="AC2748" i="1"/>
  <c r="AC1444" i="1"/>
  <c r="AC2389" i="1"/>
  <c r="AC2413" i="1"/>
  <c r="AC1208" i="1"/>
  <c r="AB789" i="1"/>
  <c r="AC789" i="1" s="1"/>
  <c r="AC289" i="1"/>
  <c r="AC1872" i="1"/>
  <c r="AC2113" i="1"/>
  <c r="AC2911" i="1"/>
  <c r="AB1754" i="1"/>
  <c r="AC1754" i="1" s="1"/>
  <c r="AB1582" i="1"/>
  <c r="AC1582" i="1" s="1"/>
  <c r="AB1424" i="1"/>
  <c r="AC1424" i="1" s="1"/>
  <c r="AB2031" i="1"/>
  <c r="AC2031" i="1" s="1"/>
  <c r="AB551" i="1"/>
  <c r="AC551" i="1" s="1"/>
  <c r="AB769" i="1"/>
  <c r="AC769" i="1" s="1"/>
  <c r="AB663" i="1"/>
  <c r="AC663" i="1" s="1"/>
  <c r="AB854" i="1"/>
  <c r="AC854" i="1" s="1"/>
  <c r="AB618" i="1"/>
  <c r="AC618" i="1" s="1"/>
  <c r="AB45" i="1"/>
  <c r="AC45" i="1" s="1"/>
  <c r="AB1127" i="1"/>
  <c r="AC1127" i="1" s="1"/>
  <c r="AC2762" i="1"/>
  <c r="AC2742" i="1"/>
  <c r="AB2858" i="1"/>
  <c r="AC2858" i="1" s="1"/>
  <c r="AC2348" i="1"/>
  <c r="AB2889" i="1"/>
  <c r="AC2889" i="1" s="1"/>
  <c r="AB2612" i="1"/>
  <c r="AC2612" i="1" s="1"/>
  <c r="AB1448" i="1"/>
  <c r="AC1448" i="1" s="1"/>
  <c r="AC1811" i="1"/>
  <c r="AB2197" i="1"/>
  <c r="AC2197" i="1" s="1"/>
  <c r="AC2014" i="1"/>
  <c r="AC2310" i="1"/>
  <c r="AB544" i="1"/>
  <c r="AC544" i="1" s="1"/>
  <c r="AB648" i="1"/>
  <c r="AC648" i="1"/>
  <c r="AC966" i="1"/>
  <c r="AB2359" i="1"/>
  <c r="AC2359" i="1" s="1"/>
  <c r="AB1065" i="1"/>
  <c r="AC1065" i="1" s="1"/>
  <c r="AB38" i="1"/>
  <c r="AC38" i="1" s="1"/>
  <c r="AB20" i="1"/>
  <c r="AC20" i="1" s="1"/>
  <c r="AB1777" i="1"/>
  <c r="AC1777" i="1" s="1"/>
  <c r="AB2280" i="1"/>
  <c r="AC2280" i="1" s="1"/>
  <c r="AB2529" i="1"/>
  <c r="AC2529" i="1" s="1"/>
  <c r="AB2204" i="1"/>
  <c r="AC2204" i="1" s="1"/>
  <c r="AC2194" i="1"/>
  <c r="AC2346" i="1"/>
  <c r="AB2899" i="1"/>
  <c r="AC2899" i="1" s="1"/>
  <c r="AB2227" i="1"/>
  <c r="AC2227" i="1" s="1"/>
  <c r="AB2924" i="1"/>
  <c r="AC2924" i="1" s="1"/>
  <c r="AB2543" i="1"/>
  <c r="AC2543" i="1" s="1"/>
  <c r="AB1539" i="1"/>
  <c r="AC1539" i="1" s="1"/>
  <c r="AB791" i="1"/>
  <c r="AC791" i="1" s="1"/>
  <c r="AB1739" i="1"/>
  <c r="AC1739" i="1" s="1"/>
  <c r="AB1260" i="1"/>
  <c r="AC1260" i="1" s="1"/>
  <c r="AB1492" i="1"/>
  <c r="AC1492" i="1" s="1"/>
  <c r="AB1736" i="1"/>
  <c r="AC1736" i="1" s="1"/>
  <c r="AB1900" i="1"/>
  <c r="AC1900" i="1" s="1"/>
  <c r="AC2452" i="1"/>
  <c r="AC1929" i="1"/>
  <c r="AB537" i="1"/>
  <c r="AC537" i="1" s="1"/>
  <c r="AC1204" i="1"/>
  <c r="AB755" i="1"/>
  <c r="AC755" i="1" s="1"/>
  <c r="AB592" i="1"/>
  <c r="AC592" i="1" s="1"/>
  <c r="AB641" i="1"/>
  <c r="AC641" i="1" s="1"/>
  <c r="AB605" i="1"/>
  <c r="AC605" i="1" s="1"/>
  <c r="AC655" i="1"/>
  <c r="AB31" i="1"/>
  <c r="AC31" i="1" s="1"/>
  <c r="AB323" i="1"/>
  <c r="AC323" i="1" s="1"/>
  <c r="AB695" i="1"/>
  <c r="AC695" i="1" s="1"/>
  <c r="AC1327" i="1"/>
  <c r="AB2838" i="1"/>
  <c r="AC2838" i="1" s="1"/>
  <c r="AC1887" i="1"/>
  <c r="AB2684" i="1"/>
  <c r="AC2684" i="1" s="1"/>
  <c r="AB2425" i="1"/>
  <c r="AC2425" i="1" s="1"/>
  <c r="AC2462" i="1"/>
  <c r="AB2802" i="1"/>
  <c r="AC2802" i="1" s="1"/>
  <c r="AB2307" i="1"/>
  <c r="AC2307" i="1" s="1"/>
  <c r="AC2185" i="1"/>
  <c r="AC2420" i="1"/>
  <c r="AB1447" i="1"/>
  <c r="AC1447" i="1" s="1"/>
  <c r="AB2108" i="1"/>
  <c r="AC2108" i="1" s="1"/>
  <c r="AC2374" i="1"/>
  <c r="AB530" i="1"/>
  <c r="AC530" i="1" s="1"/>
  <c r="AC1583" i="1"/>
  <c r="AB748" i="1"/>
  <c r="AC748" i="1" s="1"/>
  <c r="AC1748" i="1"/>
  <c r="AB634" i="1"/>
  <c r="AC634" i="1" s="1"/>
  <c r="AB959" i="1"/>
  <c r="AC959" i="1" s="1"/>
  <c r="AC1542" i="1"/>
  <c r="AB1819" i="1"/>
  <c r="AC1819" i="1" s="1"/>
  <c r="AB1188" i="1"/>
  <c r="AC1188" i="1" s="1"/>
  <c r="AB517" i="1"/>
  <c r="AC517" i="1" s="1"/>
  <c r="AB293" i="1"/>
  <c r="AC293" i="1" s="1"/>
  <c r="AB2657" i="1"/>
  <c r="AC2657" i="1" s="1"/>
  <c r="AB1855" i="1"/>
  <c r="AC1855" i="1" s="1"/>
  <c r="AC2519" i="1"/>
  <c r="AC2617" i="1"/>
  <c r="AC2755" i="1"/>
  <c r="AB2772" i="1"/>
  <c r="AC2772" i="1" s="1"/>
  <c r="AB2780" i="1"/>
  <c r="AC2780" i="1" s="1"/>
  <c r="AB2538" i="1"/>
  <c r="AC2538" i="1" s="1"/>
  <c r="AC2572" i="1"/>
  <c r="AB1940" i="1"/>
  <c r="AC1940" i="1" s="1"/>
  <c r="AB2547" i="1"/>
  <c r="AC2547" i="1" s="1"/>
  <c r="AB2601" i="1"/>
  <c r="AC2601" i="1" s="1"/>
  <c r="AC1354" i="1"/>
  <c r="AB2057" i="1"/>
  <c r="AC2057" i="1" s="1"/>
  <c r="AC1135" i="1"/>
  <c r="AB856" i="1"/>
  <c r="AC856" i="1" s="1"/>
  <c r="AB578" i="1"/>
  <c r="AC578" i="1" s="1"/>
  <c r="AB627" i="1"/>
  <c r="AC627" i="1" s="1"/>
  <c r="AB540" i="1"/>
  <c r="AC540" i="1" s="1"/>
  <c r="AB278" i="1"/>
  <c r="AC278" i="1" s="1"/>
  <c r="AB2564" i="1"/>
  <c r="AC2564" i="1" s="1"/>
  <c r="AC2649" i="1"/>
  <c r="AB1823" i="1"/>
  <c r="AC1823" i="1" s="1"/>
  <c r="AC2887" i="1"/>
  <c r="AB2484" i="1"/>
  <c r="AC2484" i="1" s="1"/>
  <c r="AB2350" i="1"/>
  <c r="AC2350" i="1" s="1"/>
  <c r="AC2619" i="1"/>
  <c r="AC2628" i="1"/>
  <c r="AC2683" i="1"/>
  <c r="AB2575" i="1"/>
  <c r="AC2575" i="1" s="1"/>
  <c r="AB2487" i="1"/>
  <c r="AC2487" i="1" s="1"/>
  <c r="AB2278" i="1"/>
  <c r="AC2278" i="1" s="1"/>
  <c r="AB2550" i="1"/>
  <c r="AC2550" i="1" s="1"/>
  <c r="AC2502" i="1"/>
  <c r="AB2834" i="1"/>
  <c r="AC2834" i="1" s="1"/>
  <c r="AB2147" i="1"/>
  <c r="AC2147" i="1" s="1"/>
  <c r="AC2563" i="1"/>
  <c r="AB1389" i="1"/>
  <c r="AC1389" i="1" s="1"/>
  <c r="AC1266" i="1"/>
  <c r="AB1703" i="1"/>
  <c r="AC1703" i="1" s="1"/>
  <c r="AB1846" i="1"/>
  <c r="AC1846" i="1" s="1"/>
  <c r="AB1456" i="1"/>
  <c r="AC1456" i="1" s="1"/>
  <c r="AC1443" i="1"/>
  <c r="AB834" i="1"/>
  <c r="AC834" i="1"/>
  <c r="AB1871" i="1"/>
  <c r="AC1871" i="1" s="1"/>
  <c r="AB1228" i="1"/>
  <c r="AC1228" i="1" s="1"/>
  <c r="AB1336" i="1"/>
  <c r="AC1336" i="1" s="1"/>
  <c r="AB501" i="1"/>
  <c r="AC501" i="1" s="1"/>
  <c r="AB1549" i="1"/>
  <c r="AC1549" i="1" s="1"/>
  <c r="AB2905" i="1"/>
  <c r="AC2905" i="1" s="1"/>
  <c r="AB2940" i="1"/>
  <c r="AC2940" i="1" s="1"/>
  <c r="AC1643" i="1"/>
  <c r="AB2055" i="1"/>
  <c r="AC2055" i="1" s="1"/>
  <c r="AB2614" i="1"/>
  <c r="AC2614" i="1" s="1"/>
  <c r="AB2670" i="1"/>
  <c r="AC2670" i="1" s="1"/>
  <c r="AB1930" i="1"/>
  <c r="AC1930" i="1" s="1"/>
  <c r="AB431" i="1"/>
  <c r="AC431" i="1" s="1"/>
  <c r="AC1006" i="1"/>
  <c r="AC812" i="1"/>
  <c r="AC1035" i="1"/>
  <c r="AB810" i="1"/>
  <c r="AC810" i="1" s="1"/>
  <c r="AB1377" i="1"/>
  <c r="AC1377" i="1" s="1"/>
  <c r="AB1317" i="1"/>
  <c r="AC1317" i="1" s="1"/>
  <c r="AB493" i="1"/>
  <c r="AC493" i="1" s="1"/>
  <c r="AC1759" i="1"/>
  <c r="AB2608" i="1"/>
  <c r="AC2608" i="1" s="1"/>
  <c r="AB2384" i="1"/>
  <c r="AC2384" i="1" s="1"/>
  <c r="AB2476" i="1"/>
  <c r="AC2476" i="1" s="1"/>
  <c r="AB2408" i="1"/>
  <c r="AC2408" i="1" s="1"/>
  <c r="AB2356" i="1"/>
  <c r="AC2356" i="1" s="1"/>
  <c r="AB2816" i="1"/>
  <c r="AC2816" i="1" s="1"/>
  <c r="AB631" i="1"/>
  <c r="AC631" i="1" s="1"/>
  <c r="AB1623" i="1"/>
  <c r="AC1623" i="1" s="1"/>
  <c r="AC1801" i="1"/>
  <c r="AC2394" i="1"/>
  <c r="AB1695" i="1"/>
  <c r="AC1695" i="1" s="1"/>
  <c r="AB2151" i="1"/>
  <c r="AC2151" i="1" s="1"/>
  <c r="AB742" i="1"/>
  <c r="AC742" i="1" s="1"/>
  <c r="AB424" i="1"/>
  <c r="AC424" i="1" s="1"/>
  <c r="AB1277" i="1"/>
  <c r="AC1277" i="1" s="1"/>
  <c r="AB470" i="1"/>
  <c r="AC470" i="1" s="1"/>
  <c r="AC2569" i="1"/>
  <c r="AB2161" i="1"/>
  <c r="AC2161" i="1" s="1"/>
  <c r="AB2913" i="1"/>
  <c r="AC2913" i="1" s="1"/>
  <c r="AB2257" i="1"/>
  <c r="AC2257" i="1" s="1"/>
  <c r="AB2333" i="1"/>
  <c r="AC2333" i="1" s="1"/>
  <c r="AC2723" i="1"/>
  <c r="AB644" i="1"/>
  <c r="AC644" i="1" s="1"/>
  <c r="AB599" i="1"/>
  <c r="AC599" i="1" s="1"/>
  <c r="AC1600" i="1"/>
  <c r="AB1584" i="1"/>
  <c r="AC1584" i="1" s="1"/>
  <c r="AC2368" i="1"/>
  <c r="AB1316" i="1"/>
  <c r="AC1316" i="1" s="1"/>
  <c r="AB1591" i="1"/>
  <c r="AC1591" i="1" s="1"/>
  <c r="AB2314" i="1"/>
  <c r="AC2314" i="1" s="1"/>
  <c r="AB1058" i="1"/>
  <c r="AC1058" i="1" s="1"/>
  <c r="AB1848" i="1"/>
  <c r="AC1848" i="1" s="1"/>
  <c r="AB1760" i="1"/>
  <c r="AC1760" i="1" s="1"/>
  <c r="AC735" i="1"/>
  <c r="AB727" i="1"/>
  <c r="AC727" i="1" s="1"/>
  <c r="AC1139" i="1"/>
  <c r="AB1268" i="1"/>
  <c r="AC1268" i="1" s="1"/>
  <c r="AB454" i="1"/>
  <c r="AC454" i="1" s="1"/>
  <c r="AB422" i="1"/>
  <c r="AC422" i="1" s="1"/>
  <c r="AB1155" i="1"/>
  <c r="AC1155" i="1" s="1"/>
  <c r="AB35" i="1"/>
  <c r="AC35" i="1" s="1"/>
  <c r="AB887" i="1"/>
  <c r="AC887" i="1" s="1"/>
  <c r="AC2747" i="1"/>
  <c r="AB2897" i="1"/>
  <c r="AC2897" i="1" s="1"/>
  <c r="AC2562" i="1"/>
  <c r="AC2896" i="1"/>
  <c r="AC2498" i="1"/>
  <c r="AB2922" i="1"/>
  <c r="AC2922" i="1" s="1"/>
  <c r="AC2182" i="1"/>
  <c r="AB2466" i="1"/>
  <c r="AC2466" i="1" s="1"/>
  <c r="AC1540" i="1"/>
  <c r="AB2011" i="1"/>
  <c r="AC2011" i="1" s="1"/>
  <c r="AB2500" i="1"/>
  <c r="AC2500" i="1" s="1"/>
  <c r="AB2271" i="1"/>
  <c r="AC2271" i="1" s="1"/>
  <c r="AC2340" i="1"/>
  <c r="AC2586" i="1"/>
  <c r="AC1286" i="1"/>
  <c r="AB1973" i="1"/>
  <c r="AC1973" i="1" s="1"/>
  <c r="AB2116" i="1"/>
  <c r="AC2116" i="1" s="1"/>
  <c r="AC2430" i="1"/>
  <c r="AC2461" i="1"/>
  <c r="AB2256" i="1"/>
  <c r="AC2256" i="1" s="1"/>
  <c r="AC2367" i="1"/>
  <c r="AB2833" i="1"/>
  <c r="AC2833" i="1" s="1"/>
  <c r="AC2660" i="1"/>
  <c r="AC1413" i="1"/>
  <c r="AB612" i="1"/>
  <c r="AC612" i="1" s="1"/>
  <c r="AB567" i="1"/>
  <c r="AC567" i="1" s="1"/>
  <c r="AB2341" i="1"/>
  <c r="AC2341" i="1" s="1"/>
  <c r="AB1575" i="1"/>
  <c r="AC1575" i="1" s="1"/>
  <c r="AC2300" i="1"/>
  <c r="AB1031" i="1"/>
  <c r="AC1031" i="1" s="1"/>
  <c r="AB1414" i="1"/>
  <c r="AC1414" i="1" s="1"/>
  <c r="AB728" i="1"/>
  <c r="AC728" i="1" s="1"/>
  <c r="AB1353" i="1"/>
  <c r="AC1353" i="1" s="1"/>
  <c r="AB931" i="1"/>
  <c r="AC931" i="1" s="1"/>
  <c r="AB922" i="1"/>
  <c r="AC922" i="1" s="1"/>
  <c r="AC1565" i="1"/>
  <c r="AC1257" i="1"/>
  <c r="AB524" i="1"/>
  <c r="AC524" i="1" s="1"/>
  <c r="AB1468" i="1"/>
  <c r="AC1468" i="1" s="1"/>
  <c r="AB505" i="1"/>
  <c r="AC505" i="1" s="1"/>
  <c r="AC2706" i="1"/>
  <c r="AC2870" i="1"/>
  <c r="AC2071" i="1"/>
  <c r="AC2837" i="1"/>
  <c r="AB2892" i="1"/>
  <c r="AC2892" i="1" s="1"/>
  <c r="AC2434" i="1"/>
  <c r="AB2769" i="1"/>
  <c r="AC2769" i="1" s="1"/>
  <c r="AC1254" i="1"/>
  <c r="AC2140" i="1"/>
  <c r="AB2303" i="1"/>
  <c r="AC2303" i="1" s="1"/>
  <c r="AB535" i="1"/>
  <c r="AC535" i="1" s="1"/>
  <c r="AB1607" i="1"/>
  <c r="AC1607" i="1" s="1"/>
  <c r="AB1485" i="1"/>
  <c r="AC1485" i="1" s="1"/>
  <c r="AB2234" i="1"/>
  <c r="AC2234" i="1" s="1"/>
  <c r="AC1367" i="1"/>
  <c r="AC1559" i="1"/>
  <c r="AC2429" i="1"/>
  <c r="AB355" i="1"/>
  <c r="AC355" i="1" s="1"/>
  <c r="AB2320" i="1"/>
  <c r="AC2320" i="1" s="1"/>
  <c r="AC1114" i="1"/>
  <c r="AB1001" i="1"/>
  <c r="AC1001" i="1" s="1"/>
  <c r="AB407" i="1"/>
  <c r="AC407" i="1" s="1"/>
  <c r="AC376" i="1"/>
  <c r="AB434" i="1"/>
  <c r="AC434" i="1" s="1"/>
  <c r="AC189" i="1"/>
  <c r="AC2862" i="1"/>
  <c r="AB2372" i="1"/>
  <c r="AC2372" i="1" s="1"/>
  <c r="AB2912" i="1"/>
  <c r="AC2912" i="1" s="1"/>
  <c r="AC1982" i="1"/>
  <c r="AC2828" i="1"/>
  <c r="AB2540" i="1"/>
  <c r="AC2540" i="1" s="1"/>
  <c r="AC2848" i="1"/>
  <c r="AC1950" i="1"/>
  <c r="AC2133" i="1"/>
  <c r="AB2254" i="1"/>
  <c r="AC2254" i="1" s="1"/>
  <c r="AB2700" i="1"/>
  <c r="AC2700" i="1" s="1"/>
  <c r="AC2468" i="1"/>
  <c r="AB1391" i="1"/>
  <c r="AC1391" i="1" s="1"/>
  <c r="AB548" i="1"/>
  <c r="AC548" i="1" s="1"/>
  <c r="AB1531" i="1"/>
  <c r="AC1531" i="1" s="1"/>
  <c r="AB1529" i="1"/>
  <c r="AC1529" i="1" s="1"/>
  <c r="AC2144" i="1"/>
  <c r="AB1761" i="1"/>
  <c r="AC1761" i="1" s="1"/>
  <c r="AC1991" i="1"/>
  <c r="AC1684" i="1"/>
  <c r="AC1274" i="1"/>
  <c r="AB869" i="1"/>
  <c r="AC869" i="1" s="1"/>
  <c r="AB2306" i="1"/>
  <c r="AC2306" i="1" s="1"/>
  <c r="AC2673" i="1"/>
  <c r="AB2754" i="1"/>
  <c r="AC2754" i="1" s="1"/>
  <c r="AC2085" i="1"/>
  <c r="AB2388" i="1"/>
  <c r="AC2388" i="1" s="1"/>
  <c r="AB2534" i="1"/>
  <c r="AC2534" i="1" s="1"/>
  <c r="AB2817" i="1"/>
  <c r="AC2817" i="1" s="1"/>
  <c r="AB2805" i="1"/>
  <c r="AC2805" i="1" s="1"/>
  <c r="AC2826" i="1"/>
  <c r="AC2289" i="1"/>
  <c r="AC1190" i="1"/>
  <c r="AB2013" i="1"/>
  <c r="AC2013" i="1" s="1"/>
  <c r="AB1988" i="1"/>
  <c r="AC1988" i="1" s="1"/>
  <c r="AC2702" i="1"/>
  <c r="AC2218" i="1"/>
  <c r="AB2457" i="1"/>
  <c r="AC2457" i="1" s="1"/>
  <c r="AC516" i="1"/>
  <c r="AB1516" i="1"/>
  <c r="AC1516" i="1" s="1"/>
  <c r="AB471" i="1"/>
  <c r="AC471" i="1" s="1"/>
  <c r="AC2258" i="1"/>
  <c r="AB2101" i="1"/>
  <c r="AC2101" i="1" s="1"/>
  <c r="AC1676" i="1"/>
  <c r="AB274" i="1"/>
  <c r="AC274" i="1" s="1"/>
  <c r="AC1380" i="1"/>
  <c r="AB862" i="1"/>
  <c r="AC862" i="1" s="1"/>
  <c r="AC1782" i="1"/>
  <c r="AC1219" i="1"/>
  <c r="AB1298" i="1"/>
  <c r="AC1298" i="1" s="1"/>
  <c r="AB1098" i="1"/>
  <c r="AC1098" i="1" s="1"/>
  <c r="AB346" i="1"/>
  <c r="AC346" i="1" s="1"/>
  <c r="AB722" i="1"/>
  <c r="AC722" i="1" s="1"/>
  <c r="AB773" i="1"/>
  <c r="AC773" i="1" s="1"/>
  <c r="AC2678" i="1"/>
  <c r="AB2806" i="1"/>
  <c r="AC2806" i="1" s="1"/>
  <c r="AC2878" i="1"/>
  <c r="AB2342" i="1"/>
  <c r="AC2342" i="1" s="1"/>
  <c r="AB2474" i="1"/>
  <c r="AC2474" i="1" s="1"/>
  <c r="AB2739" i="1"/>
  <c r="AC2739" i="1" s="1"/>
  <c r="AC2929" i="1"/>
  <c r="AC2496" i="1"/>
  <c r="AC2076" i="1"/>
  <c r="AB1838" i="1"/>
  <c r="AC1838" i="1" s="1"/>
  <c r="AB2336" i="1"/>
  <c r="AC2336" i="1" s="1"/>
  <c r="AC2690" i="1"/>
  <c r="AC2313" i="1"/>
  <c r="AC2395" i="1"/>
  <c r="AB1369" i="1"/>
  <c r="AC1369" i="1" s="1"/>
  <c r="AB484" i="1"/>
  <c r="AC484" i="1" s="1"/>
  <c r="AB439" i="1"/>
  <c r="AC439" i="1" s="1"/>
  <c r="AC1553" i="1"/>
  <c r="AC1309" i="1"/>
  <c r="AB1454" i="1"/>
  <c r="AC1454" i="1" s="1"/>
  <c r="AB2299" i="1"/>
  <c r="AC2299" i="1" s="1"/>
  <c r="AC1709" i="1"/>
  <c r="AB509" i="1"/>
  <c r="AC509" i="1" s="1"/>
  <c r="AC983" i="1"/>
  <c r="AB1427" i="1"/>
  <c r="AC1427" i="1" s="1"/>
  <c r="AC1187" i="1"/>
  <c r="AB301" i="1"/>
  <c r="AC301" i="1" s="1"/>
  <c r="AC762" i="1"/>
  <c r="AC1370" i="1"/>
  <c r="AB2577" i="1"/>
  <c r="AC2577" i="1" s="1"/>
  <c r="AB2449" i="1"/>
  <c r="AC2449" i="1" s="1"/>
  <c r="AC2238" i="1"/>
  <c r="AC2901" i="1"/>
  <c r="AB2886" i="1"/>
  <c r="AC2886" i="1" s="1"/>
  <c r="AB2893" i="1"/>
  <c r="AC2893" i="1" s="1"/>
  <c r="AB2890" i="1"/>
  <c r="AC2890" i="1" s="1"/>
  <c r="AB2269" i="1"/>
  <c r="AC2269" i="1" s="1"/>
  <c r="AC1981" i="1"/>
  <c r="AC1126" i="1"/>
  <c r="AC1898" i="1"/>
  <c r="AB2812" i="1"/>
  <c r="AC2812" i="1" s="1"/>
  <c r="AB2326" i="1"/>
  <c r="AC2326" i="1" s="1"/>
  <c r="AC2175" i="1"/>
  <c r="AC2166" i="1"/>
  <c r="AC1911" i="1"/>
  <c r="AC2593" i="1"/>
  <c r="AC2181" i="1"/>
  <c r="AB2383" i="1"/>
  <c r="AC2383" i="1" s="1"/>
  <c r="AB2073" i="1"/>
  <c r="AC2073" i="1" s="1"/>
  <c r="AB2156" i="1"/>
  <c r="AC2156" i="1" s="1"/>
  <c r="AB1604" i="1"/>
  <c r="AC1604" i="1" s="1"/>
  <c r="AC1652" i="1"/>
  <c r="AC438" i="1"/>
  <c r="AB961" i="1"/>
  <c r="AC961" i="1" s="1"/>
  <c r="AC1212" i="1"/>
  <c r="AB1651" i="1"/>
  <c r="AC1651" i="1" s="1"/>
  <c r="AC1610" i="1"/>
  <c r="AB221" i="1"/>
  <c r="AC221" i="1" s="1"/>
  <c r="AC1030" i="1"/>
  <c r="AC741" i="1"/>
  <c r="AC2128" i="1"/>
  <c r="AC2644" i="1"/>
  <c r="AC2400" i="1"/>
  <c r="AB2726" i="1"/>
  <c r="AC2726" i="1" s="1"/>
  <c r="AC2272" i="1"/>
  <c r="AB1913" i="1"/>
  <c r="AC1913" i="1" s="1"/>
  <c r="AB2919" i="1"/>
  <c r="AC2919" i="1" s="1"/>
  <c r="AB1094" i="1"/>
  <c r="AC1094" i="1" s="1"/>
  <c r="AB2277" i="1"/>
  <c r="AC2277" i="1" s="1"/>
  <c r="AB2582" i="1"/>
  <c r="AC2582" i="1" s="1"/>
  <c r="AB2284" i="1"/>
  <c r="AC2284" i="1" s="1"/>
  <c r="AC2270" i="1"/>
  <c r="AC2009" i="1"/>
  <c r="AB420" i="1"/>
  <c r="AC420" i="1" s="1"/>
  <c r="AC1412" i="1"/>
  <c r="AB1418" i="1"/>
  <c r="AC1418" i="1" s="1"/>
  <c r="AB1589" i="1"/>
  <c r="AC1589" i="1" s="1"/>
  <c r="AB1284" i="1"/>
  <c r="AC1284" i="1" s="1"/>
  <c r="AB954" i="1"/>
  <c r="AC954" i="1" s="1"/>
  <c r="AB1222" i="1"/>
  <c r="AC1222" i="1" s="1"/>
  <c r="AC1603" i="1"/>
  <c r="AC1508" i="1"/>
  <c r="AB1376" i="1"/>
  <c r="AC1376" i="1" s="1"/>
  <c r="AC1587" i="1"/>
  <c r="AC503" i="1"/>
  <c r="AC2624" i="1"/>
  <c r="AC2393" i="1"/>
  <c r="AC2771" i="1"/>
  <c r="AC2835" i="1"/>
  <c r="AC2249" i="1"/>
  <c r="AC2311" i="1"/>
  <c r="AC2446" i="1"/>
  <c r="AC1935" i="1"/>
  <c r="AB1062" i="1"/>
  <c r="AC1062" i="1" s="1"/>
  <c r="AC1831" i="1"/>
  <c r="AC2236" i="1"/>
  <c r="AC2767" i="1"/>
  <c r="AC1318" i="1"/>
  <c r="AB388" i="1"/>
  <c r="AC388" i="1" s="1"/>
  <c r="AC1434" i="1"/>
  <c r="AC2103" i="1"/>
  <c r="AB1987" i="1"/>
  <c r="AC1987" i="1" s="1"/>
  <c r="AC1882" i="1"/>
  <c r="AB2060" i="1"/>
  <c r="AC2060" i="1" s="1"/>
  <c r="AC1778" i="1"/>
  <c r="AB157" i="1"/>
  <c r="AC157" i="1" s="1"/>
  <c r="AB901" i="1"/>
  <c r="AC901" i="1" s="1"/>
  <c r="AB1593" i="1"/>
  <c r="AC1593" i="1" s="1"/>
  <c r="AB1138" i="1"/>
  <c r="AC1138" i="1" s="1"/>
  <c r="AC613" i="1"/>
  <c r="AC674" i="1"/>
  <c r="AC2894" i="1"/>
  <c r="AB2803" i="1"/>
  <c r="AC2803" i="1" s="1"/>
  <c r="AB2810" i="1"/>
  <c r="AC2810" i="1" s="1"/>
  <c r="AB1791" i="1"/>
  <c r="AC1791" i="1" s="1"/>
  <c r="AC2220" i="1"/>
  <c r="AC2730" i="1"/>
  <c r="AC2925" i="1"/>
  <c r="AB1750" i="1"/>
  <c r="AC1750" i="1" s="1"/>
  <c r="AB2193" i="1"/>
  <c r="AC2193" i="1" s="1"/>
  <c r="AB2067" i="1"/>
  <c r="AC2067" i="1" s="1"/>
  <c r="AB356" i="1"/>
  <c r="AC356" i="1" s="1"/>
  <c r="AC2198" i="1"/>
  <c r="AC1596" i="1"/>
  <c r="AB1572" i="1"/>
  <c r="AC1572" i="1" s="1"/>
  <c r="AB1144" i="1"/>
  <c r="AC1144" i="1" s="1"/>
  <c r="AB879" i="1"/>
  <c r="AC879" i="1" s="1"/>
  <c r="AC1200" i="1"/>
  <c r="AB585" i="1"/>
  <c r="AC585" i="1" s="1"/>
  <c r="AC639" i="1"/>
  <c r="AC2945" i="1"/>
  <c r="AB2513" i="1"/>
  <c r="AC2513" i="1" s="1"/>
  <c r="AC2365" i="1"/>
  <c r="AB2906" i="1"/>
  <c r="AC2906" i="1" s="1"/>
  <c r="AB2604" i="1"/>
  <c r="AC2604" i="1" s="1"/>
  <c r="AB2794" i="1"/>
  <c r="AC2794" i="1" s="1"/>
  <c r="AC2698" i="1"/>
  <c r="AC2287" i="1"/>
  <c r="AB998" i="1"/>
  <c r="AC998" i="1" s="1"/>
  <c r="AB2115" i="1"/>
  <c r="AC2115" i="1" s="1"/>
  <c r="AB2691" i="1"/>
  <c r="AC2691" i="1" s="1"/>
  <c r="AB2652" i="1"/>
  <c r="AC2652" i="1" s="1"/>
  <c r="AB1129" i="1"/>
  <c r="AC1129" i="1" s="1"/>
  <c r="AB1310" i="1"/>
  <c r="AC1310" i="1" s="1"/>
  <c r="AC1462" i="1"/>
  <c r="AC1851" i="1"/>
  <c r="AC2221" i="1"/>
  <c r="AC1653" i="1"/>
  <c r="AC1214" i="1"/>
  <c r="AB827" i="1"/>
  <c r="AC827" i="1" s="1"/>
  <c r="AB1151" i="1"/>
  <c r="AC1151" i="1" s="1"/>
  <c r="AB1556" i="1"/>
  <c r="AC1556" i="1" s="1"/>
  <c r="AB669" i="1"/>
  <c r="AC669" i="1" s="1"/>
  <c r="AB1172" i="1"/>
  <c r="AC1172" i="1" s="1"/>
  <c r="AB1097" i="1"/>
  <c r="AC1097" i="1" s="1"/>
  <c r="AB130" i="1"/>
  <c r="AC130" i="1" s="1"/>
  <c r="AB144" i="1"/>
  <c r="AC144" i="1" s="1"/>
  <c r="AC2674" i="1"/>
  <c r="AB1839" i="1"/>
  <c r="AC1839" i="1" s="1"/>
  <c r="AB2607" i="1"/>
  <c r="AC2607" i="1" s="1"/>
  <c r="AB2097" i="1"/>
  <c r="AC2097" i="1" s="1"/>
  <c r="AB1102" i="1"/>
  <c r="AC1102" i="1" s="1"/>
  <c r="AB292" i="1"/>
  <c r="AC292" i="1" s="1"/>
  <c r="AB1398" i="1"/>
  <c r="AC1398" i="1" s="1"/>
  <c r="AB1426" i="1"/>
  <c r="AC1426" i="1" s="1"/>
  <c r="AC2736" i="1"/>
  <c r="AC1557" i="1"/>
  <c r="AB1634" i="1"/>
  <c r="AC1634" i="1" s="1"/>
  <c r="AB335" i="1"/>
  <c r="AC335" i="1" s="1"/>
  <c r="AC1489" i="1"/>
  <c r="AB1117" i="1"/>
  <c r="AC1117" i="1" s="1"/>
  <c r="AB1173" i="1"/>
  <c r="AC1173" i="1" s="1"/>
  <c r="AB1400" i="1"/>
  <c r="AC1400" i="1" s="1"/>
  <c r="AB1673" i="1"/>
  <c r="AC1673" i="1" s="1"/>
  <c r="AB1073" i="1"/>
  <c r="AC1073" i="1" s="1"/>
  <c r="AB620" i="1"/>
  <c r="AC620" i="1" s="1"/>
  <c r="AB821" i="1"/>
  <c r="AC821" i="1" s="1"/>
  <c r="AC2309" i="1"/>
  <c r="AC2783" i="1"/>
  <c r="AC1906" i="1"/>
  <c r="AB934" i="1"/>
  <c r="AC934" i="1" s="1"/>
  <c r="AB2865" i="1"/>
  <c r="AC2865" i="1" s="1"/>
  <c r="AB1816" i="1"/>
  <c r="AC1816" i="1" s="1"/>
  <c r="AC2075" i="1"/>
  <c r="AC1956" i="1"/>
  <c r="AC2509" i="1"/>
  <c r="AB1885" i="1"/>
  <c r="AC1885" i="1" s="1"/>
  <c r="AB2224" i="1"/>
  <c r="AC2224" i="1" s="1"/>
  <c r="AC1383" i="1"/>
  <c r="AC1942" i="1"/>
  <c r="AB308" i="1"/>
  <c r="AC308" i="1" s="1"/>
  <c r="AB1071" i="1"/>
  <c r="AC1071" i="1" s="1"/>
  <c r="AC805" i="1"/>
  <c r="AC1093" i="1"/>
  <c r="AB1378" i="1"/>
  <c r="AC1378" i="1" s="1"/>
  <c r="AB1662" i="1"/>
  <c r="AC1662" i="1" s="1"/>
  <c r="AB1066" i="1"/>
  <c r="AC1066" i="1" s="1"/>
  <c r="AB1564" i="1"/>
  <c r="AC1564" i="1" s="1"/>
  <c r="AB67" i="1"/>
  <c r="AC67" i="1" s="1"/>
  <c r="AB3" i="1"/>
  <c r="AC3" i="1" s="1"/>
  <c r="AB406" i="1"/>
  <c r="AC406" i="1" s="1"/>
  <c r="AB800" i="1"/>
  <c r="AC800" i="1" s="1"/>
  <c r="AC2439" i="1"/>
  <c r="AC2944" i="1"/>
  <c r="AB2765" i="1"/>
  <c r="AC2765" i="1" s="1"/>
  <c r="AC2930" i="1"/>
  <c r="AB2898" i="1"/>
  <c r="AC2898" i="1" s="1"/>
  <c r="AB2212" i="1"/>
  <c r="AC2212" i="1" s="1"/>
  <c r="AB2464" i="1"/>
  <c r="AC2464" i="1" s="1"/>
  <c r="AB2773" i="1"/>
  <c r="AC2773" i="1" s="1"/>
  <c r="AB2801" i="1"/>
  <c r="AC2801" i="1" s="1"/>
  <c r="AB2721" i="1"/>
  <c r="AC2721" i="1" s="1"/>
  <c r="AC1853" i="1"/>
  <c r="AB2051" i="1"/>
  <c r="AC2051" i="1" s="1"/>
  <c r="AB2387" i="1"/>
  <c r="AC2387" i="1" s="1"/>
  <c r="AB2554" i="1"/>
  <c r="AC2554" i="1" s="1"/>
  <c r="AB1233" i="1"/>
  <c r="AC1233" i="1" s="1"/>
  <c r="AB1998" i="1"/>
  <c r="AC1998" i="1" s="1"/>
  <c r="AB2080" i="1"/>
  <c r="AC2080" i="1" s="1"/>
  <c r="AB1505" i="1"/>
  <c r="AC1505" i="1" s="1"/>
  <c r="AB1119" i="1"/>
  <c r="AC1119" i="1" s="1"/>
  <c r="AB1512" i="1"/>
  <c r="AC1512" i="1" s="1"/>
  <c r="AB281" i="1"/>
  <c r="AC281" i="1" s="1"/>
  <c r="AB1061" i="1"/>
  <c r="AC1061" i="1" s="1"/>
  <c r="AB1149" i="1"/>
  <c r="AC1149" i="1" s="1"/>
  <c r="AC1328" i="1"/>
  <c r="AB1156" i="1"/>
  <c r="AC1156" i="1" s="1"/>
  <c r="AB1057" i="1"/>
  <c r="AC1057" i="1" s="1"/>
  <c r="AB391" i="1"/>
  <c r="AC391" i="1" s="1"/>
  <c r="AB398" i="1"/>
  <c r="AC398" i="1" s="1"/>
  <c r="AC2210" i="1"/>
  <c r="AC2920" i="1"/>
  <c r="AC2122" i="1"/>
  <c r="AB1784" i="1"/>
  <c r="AC1784" i="1" s="1"/>
  <c r="AC2646" i="1"/>
  <c r="AB2928" i="1"/>
  <c r="AC2928" i="1" s="1"/>
  <c r="AB870" i="1"/>
  <c r="AC870" i="1" s="1"/>
  <c r="AC2035" i="1"/>
  <c r="AB2512" i="1"/>
  <c r="AC2512" i="1" s="1"/>
  <c r="AB1947" i="1"/>
  <c r="AC1947" i="1" s="1"/>
  <c r="AB1865" i="1"/>
  <c r="AC1865" i="1" s="1"/>
  <c r="AB1034" i="1"/>
  <c r="AC1034" i="1" s="1"/>
  <c r="AB1226" i="1"/>
  <c r="AC1226" i="1" s="1"/>
  <c r="AB1631" i="1"/>
  <c r="AC1631" i="1" s="1"/>
  <c r="AB2154" i="1"/>
  <c r="AC2154" i="1" s="1"/>
  <c r="AB1497" i="1"/>
  <c r="AC1497" i="1" s="1"/>
  <c r="AB1527" i="1"/>
  <c r="AC1527" i="1" s="1"/>
  <c r="AC1511" i="1"/>
  <c r="AB1103" i="1"/>
  <c r="AC1103" i="1" s="1"/>
  <c r="AB1038" i="1"/>
  <c r="AC1038" i="1" s="1"/>
  <c r="AC1077" i="1"/>
  <c r="AB1142" i="1"/>
  <c r="AC1142" i="1" s="1"/>
  <c r="AB1441" i="1"/>
  <c r="AC1441" i="1" s="1"/>
  <c r="AC1240" i="1"/>
  <c r="AB1132" i="1"/>
  <c r="AC1132" i="1" s="1"/>
  <c r="AB1543" i="1"/>
  <c r="AC1543" i="1" s="1"/>
  <c r="AC1140" i="1"/>
  <c r="AB1049" i="1"/>
  <c r="AC1049" i="1"/>
  <c r="AC1693" i="1"/>
  <c r="AB1395" i="1"/>
  <c r="AC1395" i="1" s="1"/>
  <c r="AB383" i="1"/>
  <c r="AC383" i="1" s="1"/>
  <c r="AC2189" i="1"/>
  <c r="AC2590" i="1"/>
  <c r="AC2602" i="1"/>
  <c r="AB2609" i="1"/>
  <c r="AC2609" i="1" s="1"/>
  <c r="AC1770" i="1"/>
  <c r="AC2636" i="1"/>
  <c r="AB2605" i="1"/>
  <c r="AC2605" i="1" s="1"/>
  <c r="AC1787" i="1"/>
  <c r="AB838" i="1"/>
  <c r="AC838" i="1" s="1"/>
  <c r="AC1663" i="1"/>
  <c r="AC1007" i="1"/>
  <c r="AC1360" i="1"/>
  <c r="AC1712" i="1"/>
  <c r="AC2036" i="1"/>
  <c r="AB234" i="1"/>
  <c r="AC234" i="1" s="1"/>
  <c r="AB1029" i="1"/>
  <c r="AC1029" i="1" s="1"/>
  <c r="AB1028" i="1"/>
  <c r="AC1028" i="1" s="1"/>
  <c r="AB1060" i="1"/>
  <c r="AC1060" i="1" s="1"/>
  <c r="AB1420" i="1"/>
  <c r="AC1420" i="1" s="1"/>
  <c r="AB1140" i="1"/>
  <c r="AC1033" i="1"/>
  <c r="AC367" i="1"/>
  <c r="AB2412" i="1"/>
  <c r="AC2412" i="1" s="1"/>
  <c r="AC2738" i="1"/>
  <c r="AB1978" i="1"/>
  <c r="AC1978" i="1" s="1"/>
  <c r="AB2137" i="1"/>
  <c r="AC2137" i="1" s="1"/>
  <c r="AC1833" i="1"/>
  <c r="AB980" i="1"/>
  <c r="AC980" i="1" s="1"/>
  <c r="AB1325" i="1"/>
  <c r="AC1325" i="1" s="1"/>
  <c r="AB1445" i="1"/>
  <c r="AC1445" i="1" s="1"/>
  <c r="AB2297" i="1"/>
  <c r="AC2297" i="1" s="1"/>
  <c r="AB714" i="1"/>
  <c r="AC714" i="1" s="1"/>
  <c r="AB202" i="1"/>
  <c r="AC202" i="1" s="1"/>
  <c r="AB1044" i="1"/>
  <c r="AC1044" i="1" s="1"/>
  <c r="AB1191" i="1"/>
  <c r="AC1191" i="1" s="1"/>
  <c r="AB1002" i="1"/>
  <c r="AC1002" i="1" s="1"/>
  <c r="AB1416" i="1"/>
  <c r="AC1416" i="1" s="1"/>
  <c r="AB927" i="1"/>
  <c r="AC927" i="1" s="1"/>
  <c r="AC324" i="1"/>
  <c r="AB776" i="1"/>
  <c r="AC776" i="1" s="1"/>
  <c r="AB2385" i="1"/>
  <c r="AC2385" i="1" s="1"/>
  <c r="AC2134" i="1"/>
  <c r="AC2854" i="1"/>
  <c r="AC2077" i="1"/>
  <c r="AB2463" i="1"/>
  <c r="AC2463" i="1" s="1"/>
  <c r="AC2937" i="1"/>
  <c r="AB1735" i="1"/>
  <c r="AC1735" i="1" s="1"/>
  <c r="AB2800" i="1"/>
  <c r="AC2800" i="1" s="1"/>
  <c r="AB1949" i="1"/>
  <c r="AC1949" i="1" s="1"/>
  <c r="AC2704" i="1"/>
  <c r="AC1895" i="1"/>
  <c r="AC2672" i="1"/>
  <c r="AC2083" i="1"/>
  <c r="AB2390" i="1"/>
  <c r="AC2390" i="1" s="1"/>
  <c r="AB1504" i="1"/>
  <c r="AC1504" i="1" s="1"/>
  <c r="AB580" i="1"/>
  <c r="AC580" i="1" s="1"/>
  <c r="AB170" i="1"/>
  <c r="AC170" i="1" s="1"/>
  <c r="AB991" i="1"/>
  <c r="AC991" i="1" s="1"/>
  <c r="AC945" i="1"/>
  <c r="AC1012" i="1"/>
  <c r="AC1390" i="1"/>
  <c r="AC1067" i="1"/>
  <c r="AB1364" i="1"/>
  <c r="AC1364" i="1" s="1"/>
  <c r="AC944" i="1"/>
  <c r="AB1256" i="1"/>
  <c r="AC1256" i="1" s="1"/>
  <c r="AB270" i="1"/>
  <c r="AC270" i="1" s="1"/>
  <c r="AC840" i="1"/>
  <c r="AC1243" i="1"/>
  <c r="AC2127" i="1"/>
  <c r="AB2664" i="1"/>
  <c r="AC2664" i="1" s="1"/>
  <c r="AB2796" i="1"/>
  <c r="AC2796" i="1" s="1"/>
  <c r="AB2545" i="1"/>
  <c r="AC2545" i="1" s="1"/>
  <c r="AB2129" i="1"/>
  <c r="AC2129" i="1" s="1"/>
  <c r="AC2579" i="1"/>
  <c r="AC2557" i="1"/>
  <c r="AB1533" i="1"/>
  <c r="AC1533" i="1" s="1"/>
  <c r="AB2255" i="1"/>
  <c r="AC2255" i="1" s="1"/>
  <c r="AC2343" i="1"/>
  <c r="AB2237" i="1"/>
  <c r="AC2237" i="1" s="1"/>
  <c r="AB1944" i="1"/>
  <c r="AC1944" i="1" s="1"/>
  <c r="AC1810" i="1"/>
  <c r="AC2444" i="1"/>
  <c r="AC138" i="1"/>
  <c r="AB452" i="1"/>
  <c r="AC452" i="1" s="1"/>
  <c r="AB923" i="1"/>
  <c r="AC923" i="1" s="1"/>
  <c r="AB930" i="1"/>
  <c r="AC930" i="1" s="1"/>
  <c r="AB855" i="1"/>
  <c r="AC855" i="1" s="1"/>
  <c r="AB1003" i="1"/>
  <c r="AC1003" i="1" s="1"/>
  <c r="AB988" i="1"/>
  <c r="AC988" i="1" s="1"/>
  <c r="AB1335" i="1"/>
  <c r="AC1335" i="1" s="1"/>
  <c r="AB1538" i="1"/>
  <c r="AC1538" i="1" s="1"/>
  <c r="AB1243" i="1"/>
  <c r="AB1064" i="1"/>
  <c r="AC1064" i="1"/>
  <c r="AB403" i="1"/>
  <c r="AC403" i="1" s="1"/>
  <c r="AB449" i="1"/>
  <c r="AC449" i="1" s="1"/>
  <c r="AC2666" i="1"/>
  <c r="AC662" i="1"/>
  <c r="AB2671" i="1"/>
  <c r="AC2671" i="1" s="1"/>
  <c r="AC2821" i="1"/>
  <c r="AB2587" i="1"/>
  <c r="AC2587" i="1" s="1"/>
  <c r="AC1904" i="1"/>
  <c r="AB1845" i="1"/>
  <c r="AC1845" i="1" s="1"/>
  <c r="AB2138" i="1"/>
  <c r="AC2138" i="1" s="1"/>
  <c r="AB1794" i="1"/>
  <c r="AC1794" i="1" s="1"/>
  <c r="AC939" i="1"/>
  <c r="AB2094" i="1"/>
  <c r="AC2094" i="1" s="1"/>
  <c r="AB1302" i="1"/>
  <c r="AC1302" i="1" s="1"/>
  <c r="AC1800" i="1"/>
  <c r="AB2599" i="1"/>
  <c r="AC2599" i="1" s="1"/>
  <c r="AC2493" i="1"/>
  <c r="AB106" i="1"/>
  <c r="AC106" i="1" s="1"/>
  <c r="AB1422" i="1"/>
  <c r="AC1422" i="1" s="1"/>
  <c r="AB260" i="1"/>
  <c r="AC260" i="1" s="1"/>
  <c r="AB833" i="1"/>
  <c r="AC833" i="1"/>
  <c r="AB989" i="1"/>
  <c r="AC989" i="1" s="1"/>
  <c r="AB1340" i="1"/>
  <c r="AC1340" i="1" s="1"/>
  <c r="AB965" i="1"/>
  <c r="AC965" i="1" s="1"/>
  <c r="AB950" i="1"/>
  <c r="AC950" i="1" s="1"/>
  <c r="AC1306" i="1"/>
  <c r="AC783" i="1"/>
  <c r="AB1179" i="1"/>
  <c r="AC1179" i="1" s="1"/>
  <c r="AB830" i="1"/>
  <c r="AC830" i="1" s="1"/>
  <c r="AB646" i="1"/>
  <c r="AC646" i="1" s="1"/>
  <c r="AC231" i="1"/>
  <c r="AC2038" i="1"/>
  <c r="AB2065" i="1"/>
  <c r="AC2065" i="1" s="1"/>
  <c r="AC2426" i="1"/>
  <c r="AB2688" i="1"/>
  <c r="AC2688" i="1" s="1"/>
  <c r="AC2522" i="1"/>
  <c r="AC1642" i="1"/>
  <c r="AB2380" i="1"/>
  <c r="AC2380" i="1" s="1"/>
  <c r="AC1875" i="1"/>
  <c r="AB2508" i="1"/>
  <c r="AC2508" i="1" s="1"/>
  <c r="AC1714" i="1"/>
  <c r="AB912" i="1"/>
  <c r="AC912" i="1" s="1"/>
  <c r="AC1027" i="1"/>
  <c r="AB1964" i="1"/>
  <c r="AC1964" i="1" s="1"/>
  <c r="AB2111" i="1"/>
  <c r="AC2111" i="1" s="1"/>
  <c r="AB1295" i="1"/>
  <c r="AC1295" i="1" s="1"/>
  <c r="AC1755" i="1"/>
  <c r="AC1789" i="1"/>
  <c r="AB2403" i="1"/>
  <c r="AC2403" i="1" s="1"/>
  <c r="AC976" i="1"/>
  <c r="AB74" i="1"/>
  <c r="AC74" i="1" s="1"/>
  <c r="AB1382" i="1"/>
  <c r="AC1382" i="1" s="1"/>
  <c r="AB974" i="1"/>
  <c r="AC974" i="1" s="1"/>
  <c r="AB936" i="1"/>
  <c r="AC936" i="1" s="1"/>
  <c r="AB958" i="1"/>
  <c r="AC958" i="1" s="1"/>
  <c r="AB703" i="1"/>
  <c r="AC703" i="1" s="1"/>
  <c r="AC1503" i="1"/>
  <c r="AB771" i="1"/>
  <c r="AC771" i="1" s="1"/>
  <c r="AB379" i="1"/>
  <c r="AC379" i="1" s="1"/>
  <c r="AB907" i="1"/>
  <c r="AC907" i="1" s="1"/>
  <c r="AC1968" i="1"/>
  <c r="AB2831" i="1"/>
  <c r="AC2831" i="1" s="1"/>
  <c r="AB2542" i="1"/>
  <c r="AC2542" i="1" s="1"/>
  <c r="AC2440" i="1"/>
  <c r="AB2761" i="1"/>
  <c r="AC2761" i="1" s="1"/>
  <c r="AC2514" i="1"/>
  <c r="AC1635" i="1"/>
  <c r="AB2349" i="1"/>
  <c r="AC2349" i="1" s="1"/>
  <c r="AC2681" i="1"/>
  <c r="AC1822" i="1"/>
  <c r="AB1775" i="1"/>
  <c r="AC1775" i="1" s="1"/>
  <c r="AC885" i="1"/>
  <c r="AC1915" i="1"/>
  <c r="AB2102" i="1"/>
  <c r="AC2102" i="1" s="1"/>
  <c r="AC1952" i="1"/>
  <c r="AB42" i="1"/>
  <c r="AC42" i="1" s="1"/>
  <c r="AC1313" i="1"/>
  <c r="AB1751" i="1"/>
  <c r="AC1751" i="1" s="1"/>
  <c r="AB1655" i="1"/>
  <c r="AC1655" i="1" s="1"/>
  <c r="AB841" i="1"/>
  <c r="AC841" i="1" s="1"/>
  <c r="AB797" i="1"/>
  <c r="AC797" i="1" s="1"/>
  <c r="AC921" i="1"/>
  <c r="AC759" i="1"/>
  <c r="AB1347" i="1"/>
  <c r="AC1347" i="1" s="1"/>
  <c r="AC1567" i="1"/>
  <c r="AB558" i="1"/>
  <c r="AC558" i="1" s="1"/>
  <c r="AC2927" i="1"/>
  <c r="AC2641" i="1"/>
  <c r="AB2798" i="1"/>
  <c r="AC2798" i="1" s="1"/>
  <c r="AB2018" i="1"/>
  <c r="AC2018" i="1" s="1"/>
  <c r="AC2417" i="1"/>
  <c r="AC2472" i="1"/>
  <c r="AC1628" i="1"/>
  <c r="AC858" i="1"/>
  <c r="AC932" i="1"/>
  <c r="AC1523" i="1"/>
  <c r="AB2124" i="1"/>
  <c r="AC2124" i="1" s="1"/>
  <c r="AC1560" i="1"/>
  <c r="AC1877" i="1"/>
  <c r="AB902" i="1"/>
  <c r="AC902" i="1" s="1"/>
  <c r="AC10" i="1"/>
  <c r="AB1618" i="1"/>
  <c r="AC1618" i="1" s="1"/>
  <c r="AC705" i="1"/>
  <c r="AB733" i="1"/>
  <c r="AC733" i="1" s="1"/>
  <c r="AB952" i="1"/>
  <c r="AC952" i="1" s="1"/>
  <c r="AB1158" i="1"/>
  <c r="AC1158" i="1" s="1"/>
  <c r="AB891" i="1"/>
  <c r="AC891" i="1" s="1"/>
  <c r="AC752" i="1"/>
  <c r="AB1472" i="1"/>
  <c r="AC1472" i="1" s="1"/>
  <c r="AB729" i="1"/>
  <c r="AC729" i="1" s="1"/>
  <c r="AC1227" i="1"/>
  <c r="AB751" i="1"/>
  <c r="AC751" i="1" s="1"/>
  <c r="AB40" i="1"/>
  <c r="AC40" i="1" s="1"/>
  <c r="AB70" i="1"/>
  <c r="AC70" i="1" s="1"/>
  <c r="AB243" i="1"/>
  <c r="AC243" i="1" s="1"/>
  <c r="AB83" i="1"/>
  <c r="AC83" i="1" s="1"/>
  <c r="AB91" i="1"/>
  <c r="AC91" i="1" s="1"/>
  <c r="AB225" i="1"/>
  <c r="AC225" i="1" s="1"/>
  <c r="AB341" i="1"/>
  <c r="AC341" i="1" s="1"/>
  <c r="AB339" i="1"/>
  <c r="AC339" i="1" s="1"/>
  <c r="AB730" i="1"/>
  <c r="AC730" i="1" s="1"/>
  <c r="AB239" i="1"/>
  <c r="AC239" i="1" s="1"/>
  <c r="AB496" i="1"/>
  <c r="AC496" i="1" s="1"/>
  <c r="AB480" i="1"/>
  <c r="AC480" i="1" s="1"/>
  <c r="AB978" i="1"/>
  <c r="AC978" i="1" s="1"/>
  <c r="AB487" i="1"/>
  <c r="AC487" i="1" s="1"/>
  <c r="AC545" i="1"/>
  <c r="AB888" i="1"/>
  <c r="AC888" i="1" s="1"/>
  <c r="AB190" i="1"/>
  <c r="AC190" i="1" s="1"/>
  <c r="AC596" i="1"/>
  <c r="AB61" i="1"/>
  <c r="AC61" i="1" s="1"/>
  <c r="AB963" i="1"/>
  <c r="AC963" i="1" s="1"/>
  <c r="AB364" i="1"/>
  <c r="AC364" i="1" s="1"/>
  <c r="AB275" i="1"/>
  <c r="AC275" i="1" s="1"/>
  <c r="AB1016" i="1"/>
  <c r="AC1016" i="1" s="1"/>
  <c r="AB98" i="1"/>
  <c r="AC98" i="1" s="1"/>
  <c r="AB320" i="1"/>
  <c r="AC320" i="1" s="1"/>
  <c r="AC263" i="1"/>
  <c r="AB778" i="1"/>
  <c r="AC778" i="1" s="1"/>
  <c r="AB456" i="1"/>
  <c r="AC456" i="1" s="1"/>
  <c r="AB761" i="1"/>
  <c r="AC761" i="1" s="1"/>
  <c r="AB361" i="1"/>
  <c r="AC361" i="1" s="1"/>
  <c r="AB48" i="1"/>
  <c r="AC48" i="1" s="1"/>
  <c r="AB859" i="1"/>
  <c r="AC859" i="1" s="1"/>
  <c r="AC235" i="1"/>
  <c r="AB949" i="1"/>
  <c r="AC949" i="1" s="1"/>
  <c r="AB925" i="1"/>
  <c r="AC925" i="1" s="1"/>
  <c r="AB473" i="1"/>
  <c r="AC473" i="1" s="1"/>
  <c r="AB220" i="1"/>
  <c r="AC220" i="1" s="1"/>
  <c r="AB207" i="1"/>
  <c r="AC207" i="1" s="1"/>
  <c r="AC188" i="1"/>
  <c r="AC1104" i="1"/>
  <c r="AB522" i="1"/>
  <c r="AC522" i="1" s="1"/>
  <c r="AB1182" i="1"/>
  <c r="AC1182" i="1" s="1"/>
  <c r="AB667" i="1"/>
  <c r="AC667" i="1" s="1"/>
  <c r="AB84" i="1"/>
  <c r="AC84" i="1" s="1"/>
  <c r="AB372" i="1"/>
  <c r="AC372" i="1" s="1"/>
  <c r="AB519" i="1"/>
  <c r="AC519" i="1" s="1"/>
  <c r="AB264" i="1"/>
  <c r="AC264" i="1" s="1"/>
  <c r="AB294" i="1"/>
  <c r="AC294" i="1" s="1"/>
  <c r="AB875" i="1"/>
  <c r="AC875" i="1" s="1"/>
  <c r="AB788" i="1"/>
  <c r="AC788" i="1" s="1"/>
  <c r="AB229" i="1"/>
  <c r="AC229" i="1" s="1"/>
  <c r="AB430" i="1"/>
  <c r="AC430" i="1" s="1"/>
  <c r="AB242" i="1"/>
  <c r="AC242" i="1" s="1"/>
  <c r="AB287" i="1"/>
  <c r="AC287" i="1" s="1"/>
  <c r="AB754" i="1"/>
  <c r="AC754" i="1" s="1"/>
  <c r="AB1195" i="1"/>
  <c r="AC1195" i="1" s="1"/>
  <c r="AB1207" i="1"/>
  <c r="AC1207" i="1" s="1"/>
  <c r="AB304" i="1"/>
  <c r="AC304" i="1" s="1"/>
  <c r="AB127" i="1"/>
  <c r="AC127" i="1" s="1"/>
  <c r="AB279" i="1"/>
  <c r="AC279" i="1" s="1"/>
  <c r="AC808" i="1"/>
  <c r="AC775" i="1"/>
  <c r="AB312" i="1"/>
  <c r="AC312" i="1" s="1"/>
  <c r="AB232" i="1"/>
  <c r="AC232" i="1" s="1"/>
  <c r="AB186" i="1"/>
  <c r="AC186" i="1" s="1"/>
  <c r="AB680" i="1"/>
  <c r="AC680" i="1" s="1"/>
  <c r="AC104" i="1"/>
  <c r="AC837" i="1"/>
  <c r="AC93" i="1"/>
  <c r="AB432" i="1"/>
  <c r="AC432" i="1" s="1"/>
  <c r="AB559" i="1"/>
  <c r="AC559" i="1" s="1"/>
  <c r="AB257" i="1"/>
  <c r="AC257" i="1" s="1"/>
  <c r="AB2215" i="1"/>
  <c r="AC2215" i="1" s="1"/>
  <c r="AB29" i="1"/>
  <c r="AC29" i="1" s="1"/>
  <c r="AC787" i="1"/>
  <c r="AC691" i="1"/>
  <c r="AC259" i="1"/>
  <c r="AB302" i="1"/>
  <c r="AC302" i="1" s="1"/>
  <c r="AC723" i="1"/>
  <c r="AB63" i="1"/>
  <c r="AC63" i="1" s="1"/>
  <c r="AB197" i="1"/>
  <c r="AC197" i="1" s="1"/>
  <c r="AB807" i="1"/>
  <c r="AC807" i="1" s="1"/>
  <c r="AB589" i="1"/>
  <c r="AC589" i="1" s="1"/>
  <c r="AC181" i="1"/>
  <c r="AB1435" i="1"/>
  <c r="AC1435" i="1" s="1"/>
  <c r="AC396" i="1"/>
  <c r="AB716" i="1"/>
  <c r="AC716" i="1" s="1"/>
  <c r="AB249" i="1"/>
  <c r="AC249" i="1" s="1"/>
  <c r="AB236" i="1"/>
  <c r="AC236" i="1" s="1"/>
  <c r="AB200" i="1"/>
  <c r="AC200" i="1" s="1"/>
  <c r="AB309" i="1"/>
  <c r="AC309" i="1" s="1"/>
  <c r="AC793" i="1"/>
  <c r="AC97" i="1"/>
  <c r="AC5" i="1"/>
  <c r="AC849" i="1"/>
  <c r="AC486" i="1"/>
  <c r="AB632" i="1"/>
  <c r="AC632" i="1" s="1"/>
  <c r="AC291" i="1"/>
  <c r="AC336" i="1"/>
  <c r="AC671" i="1"/>
  <c r="AB637" i="1"/>
  <c r="AC637" i="1" s="1"/>
  <c r="AB172" i="1"/>
  <c r="AC172" i="1" s="1"/>
  <c r="AC694" i="1"/>
  <c r="AB348" i="1"/>
  <c r="AC348" i="1" s="1"/>
  <c r="AB443" i="1"/>
  <c r="AC443" i="1" s="1"/>
  <c r="AB441" i="1"/>
  <c r="AC441" i="1" s="1"/>
  <c r="AC504" i="1"/>
  <c r="AC668" i="1"/>
  <c r="AC1009" i="1"/>
  <c r="AC569" i="1"/>
  <c r="AB211" i="1"/>
  <c r="AC211" i="1" s="1"/>
  <c r="AB475" i="1"/>
  <c r="AC475" i="1" s="1"/>
  <c r="AB118" i="1"/>
  <c r="AC118" i="1" s="1"/>
  <c r="AC661" i="1"/>
  <c r="AC692" i="1"/>
  <c r="AB283" i="1"/>
  <c r="AC283" i="1" s="1"/>
  <c r="AB213" i="1"/>
  <c r="AC213" i="1" s="1"/>
  <c r="AB416" i="1"/>
  <c r="AC416" i="1" s="1"/>
  <c r="AC47" i="1"/>
  <c r="AC713" i="1"/>
  <c r="AC377" i="1"/>
  <c r="AC552" i="1"/>
  <c r="AC317" i="1"/>
  <c r="AB826" i="1"/>
  <c r="AC826" i="1" s="1"/>
  <c r="AC86" i="1"/>
  <c r="AC706" i="1"/>
  <c r="AC1341" i="1"/>
  <c r="AC647" i="1"/>
  <c r="AC546" i="1"/>
  <c r="AB935" i="1"/>
  <c r="AC935" i="1" s="1"/>
  <c r="AC252" i="1"/>
  <c r="AB575" i="1"/>
  <c r="AC575" i="1" s="1"/>
  <c r="AB829" i="1"/>
  <c r="AC829" i="1" s="1"/>
  <c r="AC817" i="1"/>
  <c r="AC2229" i="1"/>
  <c r="AC1936" i="1"/>
  <c r="AC640" i="1"/>
  <c r="AB1348" i="1"/>
  <c r="AC1348" i="1" s="1"/>
  <c r="AC1563" i="1"/>
  <c r="AC1442" i="1"/>
  <c r="AC536" i="1"/>
  <c r="AB796" i="1"/>
  <c r="AC796" i="1" s="1"/>
  <c r="AB525" i="1"/>
  <c r="AC525" i="1" s="1"/>
  <c r="AB204" i="1"/>
  <c r="AC204" i="1" s="1"/>
  <c r="AB269" i="1"/>
  <c r="AC269" i="1" s="1"/>
  <c r="AB77" i="1"/>
  <c r="AC77" i="1" s="1"/>
  <c r="AB1436" i="1"/>
  <c r="AC1436" i="1" s="1"/>
  <c r="AB399" i="1"/>
  <c r="AC399" i="1" s="1"/>
  <c r="AC804" i="1"/>
  <c r="AC1686" i="1"/>
  <c r="AC777" i="1"/>
  <c r="AC990" i="1"/>
  <c r="AC633" i="1"/>
  <c r="AC528" i="1"/>
  <c r="AB900" i="1"/>
  <c r="AC900" i="1" s="1"/>
  <c r="AB7" i="1"/>
  <c r="AC7" i="1" s="1"/>
  <c r="AB56" i="1"/>
  <c r="AC56" i="1" s="1"/>
  <c r="AB378" i="1"/>
  <c r="AC378" i="1" s="1"/>
  <c r="AB351" i="1"/>
  <c r="AC351" i="1" s="1"/>
  <c r="AC160" i="1"/>
  <c r="AC1562" i="1"/>
  <c r="AC772" i="1"/>
  <c r="AC1232" i="1"/>
  <c r="AC1951" i="1"/>
  <c r="AB2192" i="1"/>
  <c r="AC2192" i="1" s="1"/>
  <c r="AC770" i="1"/>
  <c r="AC1118" i="1"/>
  <c r="AC1092" i="1"/>
  <c r="AB682" i="1"/>
  <c r="AC682" i="1" s="1"/>
  <c r="AB654" i="1"/>
  <c r="AC654" i="1" s="1"/>
  <c r="AC801" i="1"/>
  <c r="AB904" i="1"/>
  <c r="AC904" i="1" s="1"/>
  <c r="AB626" i="1"/>
  <c r="AC626" i="1" s="1"/>
  <c r="AB373" i="1"/>
  <c r="AC373" i="1" s="1"/>
  <c r="AC218" i="1"/>
  <c r="AC26" i="1"/>
  <c r="AC740" i="1"/>
  <c r="AC1507" i="1"/>
  <c r="AC763" i="1"/>
  <c r="AC1270" i="1"/>
  <c r="AC1708" i="1"/>
  <c r="AC780" i="1"/>
  <c r="AC468" i="1"/>
  <c r="AB1225" i="1"/>
  <c r="AC1225" i="1" s="1"/>
  <c r="AB560" i="1"/>
  <c r="AC560" i="1" s="1"/>
  <c r="AC860" i="1"/>
  <c r="AB1296" i="1"/>
  <c r="AC1296" i="1" s="1"/>
  <c r="AC1685" i="1"/>
  <c r="AB2252" i="1"/>
  <c r="AC2252" i="1" s="1"/>
  <c r="AC708" i="1"/>
  <c r="AC1218" i="1"/>
  <c r="AC756" i="1"/>
  <c r="AC675" i="1"/>
  <c r="AB1537" i="1"/>
  <c r="AC1537" i="1" s="1"/>
  <c r="AB94" i="1"/>
  <c r="AC94" i="1" s="1"/>
  <c r="AC2362" i="1"/>
  <c r="AC2321" i="1"/>
  <c r="AC676" i="1"/>
  <c r="AC749" i="1"/>
  <c r="AC1134" i="1"/>
  <c r="AB1477" i="1"/>
  <c r="AC1477" i="1" s="1"/>
  <c r="AB1211" i="1"/>
  <c r="AC1211" i="1" s="1"/>
  <c r="AC1220" i="1"/>
  <c r="AC1484" i="1"/>
  <c r="AC744" i="1"/>
  <c r="AB1415" i="1"/>
  <c r="AC1415" i="1" s="1"/>
  <c r="AC112" i="1"/>
  <c r="AB415" i="1"/>
  <c r="AC415" i="1" s="1"/>
  <c r="R2111" i="1" l="1"/>
  <c r="S2506" i="1"/>
  <c r="S2084" i="1"/>
  <c r="S1727" i="1"/>
  <c r="S1522" i="1"/>
  <c r="P2506" i="1"/>
  <c r="A2506" i="1" s="1"/>
  <c r="Y2506" i="1" s="1"/>
  <c r="P2421" i="1"/>
  <c r="A2421" i="1" s="1"/>
  <c r="Y2421" i="1" s="1"/>
  <c r="P2084" i="1"/>
  <c r="A2084" i="1" s="1"/>
  <c r="Y2084" i="1" s="1"/>
  <c r="AA2084" i="1" s="1"/>
  <c r="AB2084" i="1" s="1"/>
  <c r="P1522" i="1"/>
  <c r="Q1522" i="1" s="1"/>
  <c r="D1522" i="1" s="1"/>
  <c r="Z1522" i="1" s="1"/>
  <c r="R2506" i="1"/>
  <c r="T2506" i="1" s="1"/>
  <c r="R2084" i="1"/>
  <c r="T2084" i="1" s="1"/>
  <c r="R1727" i="1"/>
  <c r="T1727" i="1" s="1"/>
  <c r="R1522" i="1"/>
  <c r="T1522" i="1" s="1"/>
  <c r="R2601" i="1"/>
  <c r="T2601" i="1" s="1"/>
  <c r="R2163" i="1"/>
  <c r="T2163" i="1" s="1"/>
  <c r="R2162" i="1"/>
  <c r="T2162" i="1" s="1"/>
  <c r="R550" i="1"/>
  <c r="T550" i="1" s="1"/>
  <c r="P2601" i="1"/>
  <c r="Q2601" i="1" s="1"/>
  <c r="P2163" i="1"/>
  <c r="Q2163" i="1" s="1"/>
  <c r="P2162" i="1"/>
  <c r="Q2162" i="1" s="1"/>
  <c r="P550" i="1"/>
  <c r="Q550" i="1" s="1"/>
  <c r="AA2506" i="1" l="1"/>
  <c r="AA2421" i="1"/>
  <c r="AB2421" i="1"/>
  <c r="Q2421" i="1"/>
  <c r="D2421" i="1" s="1"/>
  <c r="Z2421" i="1" s="1"/>
  <c r="AC2421" i="1" s="1"/>
  <c r="Q2506" i="1"/>
  <c r="D2506" i="1" s="1"/>
  <c r="Z2506" i="1" s="1"/>
  <c r="Q2084" i="1"/>
  <c r="D2084" i="1" s="1"/>
  <c r="Z2084" i="1" s="1"/>
  <c r="AC2084" i="1" s="1"/>
  <c r="A1522" i="1"/>
  <c r="Y1522" i="1" s="1"/>
  <c r="AA1522" i="1" l="1"/>
  <c r="AB1522" i="1"/>
  <c r="AC1522" i="1" s="1"/>
  <c r="AB2506" i="1"/>
  <c r="AC2506" i="1" s="1"/>
  <c r="P1727" i="1"/>
  <c r="Q1727" i="1" s="1"/>
</calcChain>
</file>

<file path=xl/sharedStrings.xml><?xml version="1.0" encoding="utf-8"?>
<sst xmlns="http://schemas.openxmlformats.org/spreadsheetml/2006/main" count="7456" uniqueCount="1121">
  <si>
    <t>Wavelength (Å)</t>
  </si>
  <si>
    <t>Intensity</t>
  </si>
  <si>
    <t>Line Character</t>
  </si>
  <si>
    <t>Wavenumber (cm⁻¹)</t>
  </si>
  <si>
    <t>Lower Level Int</t>
  </si>
  <si>
    <t>Lower Parity</t>
  </si>
  <si>
    <t>Lower J</t>
  </si>
  <si>
    <t>Upper Level Int</t>
  </si>
  <si>
    <t>Upper Parity</t>
  </si>
  <si>
    <t>Upper J</t>
  </si>
  <si>
    <t>Lower Level NIST (cm⁻¹)</t>
  </si>
  <si>
    <t>Upper Level NIST (cm⁻¹)</t>
  </si>
  <si>
    <t>Page</t>
  </si>
  <si>
    <t>Notes</t>
  </si>
  <si>
    <t>2103.455</t>
  </si>
  <si>
    <t>e</t>
  </si>
  <si>
    <t>9/2</t>
  </si>
  <si>
    <t>o</t>
  </si>
  <si>
    <t>7/2</t>
  </si>
  <si>
    <t>2102.907</t>
  </si>
  <si>
    <t>2102.492</t>
  </si>
  <si>
    <t>2101.877</t>
  </si>
  <si>
    <t>2101.778</t>
  </si>
  <si>
    <t>11/2</t>
  </si>
  <si>
    <t>2101.651</t>
  </si>
  <si>
    <t>2099.948</t>
  </si>
  <si>
    <t>2099.757</t>
  </si>
  <si>
    <t>**</t>
  </si>
  <si>
    <t>5/2</t>
  </si>
  <si>
    <t>3/2</t>
  </si>
  <si>
    <t>2099.402</t>
  </si>
  <si>
    <t>2098.974</t>
  </si>
  <si>
    <t>2098.903</t>
  </si>
  <si>
    <t>2098.523</t>
  </si>
  <si>
    <t>2098.275</t>
  </si>
  <si>
    <t>2097.806</t>
  </si>
  <si>
    <t>2097.601</t>
  </si>
  <si>
    <t>2097.513</t>
  </si>
  <si>
    <t>2097.284</t>
  </si>
  <si>
    <t>2097.234</t>
  </si>
  <si>
    <t>2097.160</t>
  </si>
  <si>
    <t>2097.075</t>
  </si>
  <si>
    <t>2096.985</t>
  </si>
  <si>
    <t>2096.890</t>
  </si>
  <si>
    <t>2096.832</t>
  </si>
  <si>
    <t>2096.787</t>
  </si>
  <si>
    <t>2096.496</t>
  </si>
  <si>
    <t>2094.953</t>
  </si>
  <si>
    <t>2094.676</t>
  </si>
  <si>
    <t>2094.155</t>
  </si>
  <si>
    <t>13/2</t>
  </si>
  <si>
    <t>2093.909</t>
  </si>
  <si>
    <t>2093.424</t>
  </si>
  <si>
    <t>2092.509</t>
  </si>
  <si>
    <t>2091.826</t>
  </si>
  <si>
    <t>2091.758</t>
  </si>
  <si>
    <t>2091.411</t>
  </si>
  <si>
    <t>15/2</t>
  </si>
  <si>
    <t>2091.238</t>
  </si>
  <si>
    <t>2090.153</t>
  </si>
  <si>
    <t>2089.744</t>
  </si>
  <si>
    <t>2089.473</t>
  </si>
  <si>
    <t>2089.306</t>
  </si>
  <si>
    <t>2088.848</t>
  </si>
  <si>
    <t>2088.769</t>
  </si>
  <si>
    <t>2088.632</t>
  </si>
  <si>
    <t>2088.346</t>
  </si>
  <si>
    <t>2088.042</t>
  </si>
  <si>
    <t>2087.387</t>
  </si>
  <si>
    <t>2087.300</t>
  </si>
  <si>
    <t>2087.200</t>
  </si>
  <si>
    <t>2086.712</t>
  </si>
  <si>
    <t>2085.246</t>
  </si>
  <si>
    <t>2085.148</t>
  </si>
  <si>
    <t>2084.954</t>
  </si>
  <si>
    <t>2084.699</t>
  </si>
  <si>
    <t>2084.344</t>
  </si>
  <si>
    <t>2083.504</t>
  </si>
  <si>
    <t>2083.412</t>
  </si>
  <si>
    <t>2083.123</t>
  </si>
  <si>
    <t>2082.879</t>
  </si>
  <si>
    <t>2082.810</t>
  </si>
  <si>
    <t>2082.653</t>
  </si>
  <si>
    <t>2081.788</t>
  </si>
  <si>
    <t>2080.866</t>
  </si>
  <si>
    <t>2080.280</t>
  </si>
  <si>
    <t>2079.497</t>
  </si>
  <si>
    <t>2079.441</t>
  </si>
  <si>
    <t>2079.020</t>
  </si>
  <si>
    <t>2078.645</t>
  </si>
  <si>
    <t>2078.489</t>
  </si>
  <si>
    <t>2078.426</t>
  </si>
  <si>
    <t>2077.544</t>
  </si>
  <si>
    <t>2077.450</t>
  </si>
  <si>
    <t>2077.337</t>
  </si>
  <si>
    <t>2076.841</t>
  </si>
  <si>
    <t>2076.505</t>
  </si>
  <si>
    <t>2076.358</t>
  </si>
  <si>
    <t>2075.991</t>
  </si>
  <si>
    <t>2075.747</t>
  </si>
  <si>
    <t>2074.851</t>
  </si>
  <si>
    <t>2073.739</t>
  </si>
  <si>
    <t>2073.462</t>
  </si>
  <si>
    <t>2073.215</t>
  </si>
  <si>
    <t>2072.886</t>
  </si>
  <si>
    <t>2072.580</t>
  </si>
  <si>
    <t>2072.534</t>
  </si>
  <si>
    <t>2071.991</t>
  </si>
  <si>
    <t>2071.533</t>
  </si>
  <si>
    <t>2070.768</t>
  </si>
  <si>
    <t>2070.649</t>
  </si>
  <si>
    <t>2070.338</t>
  </si>
  <si>
    <t>2070.042</t>
  </si>
  <si>
    <t>2069.258</t>
  </si>
  <si>
    <t>2068.559</t>
  </si>
  <si>
    <t>2068.261</t>
  </si>
  <si>
    <t>2067.712</t>
  </si>
  <si>
    <t>2067.034</t>
  </si>
  <si>
    <t>2066.270</t>
  </si>
  <si>
    <t>2065.895</t>
  </si>
  <si>
    <t>2065.177</t>
  </si>
  <si>
    <t>2064.736</t>
  </si>
  <si>
    <t>cl</t>
  </si>
  <si>
    <t>h</t>
  </si>
  <si>
    <t>bl</t>
  </si>
  <si>
    <t>w</t>
  </si>
  <si>
    <t>1896.430</t>
  </si>
  <si>
    <t>1896.409</t>
  </si>
  <si>
    <t>1896.290</t>
  </si>
  <si>
    <t>1895.474</t>
  </si>
  <si>
    <t>1895.146</t>
  </si>
  <si>
    <t>1894.672</t>
  </si>
  <si>
    <t>1894.520</t>
  </si>
  <si>
    <t>1894.358</t>
  </si>
  <si>
    <t>1893.864</t>
  </si>
  <si>
    <t>1893.751</t>
  </si>
  <si>
    <t>1893.569</t>
  </si>
  <si>
    <t>1893.334</t>
  </si>
  <si>
    <t>1893.181</t>
  </si>
  <si>
    <t>1892.506</t>
  </si>
  <si>
    <t>1892.266</t>
  </si>
  <si>
    <t>1892.183</t>
  </si>
  <si>
    <t>1892.050</t>
  </si>
  <si>
    <t>1891.609</t>
  </si>
  <si>
    <t>1890.948</t>
  </si>
  <si>
    <t>1890.827</t>
  </si>
  <si>
    <t>1890.665</t>
  </si>
  <si>
    <t>1889.832</t>
  </si>
  <si>
    <t>1889.674</t>
  </si>
  <si>
    <t>1888.294</t>
  </si>
  <si>
    <t>1887.490</t>
  </si>
  <si>
    <t>1887.180</t>
  </si>
  <si>
    <t>1886.792</t>
  </si>
  <si>
    <t>1886.624</t>
  </si>
  <si>
    <t>1886.491</t>
  </si>
  <si>
    <t>1886.412</t>
  </si>
  <si>
    <t>1886.132</t>
  </si>
  <si>
    <t>1885.940</t>
  </si>
  <si>
    <t>1885.869</t>
  </si>
  <si>
    <t>1885.328</t>
  </si>
  <si>
    <t>1885.015</t>
  </si>
  <si>
    <t>1884.653</t>
  </si>
  <si>
    <t>1884.399</t>
  </si>
  <si>
    <t>1884.152</t>
  </si>
  <si>
    <t>1884.105</t>
  </si>
  <si>
    <t>1883.789</t>
  </si>
  <si>
    <t>1883.700</t>
  </si>
  <si>
    <t>1883.647</t>
  </si>
  <si>
    <t>1883.315</t>
  </si>
  <si>
    <t>1883.184</t>
  </si>
  <si>
    <t>1883.007</t>
  </si>
  <si>
    <t>1882.932</t>
  </si>
  <si>
    <t>1882.843</t>
  </si>
  <si>
    <t>1882.031</t>
  </si>
  <si>
    <t>1881.224</t>
  </si>
  <si>
    <t>1880.919</t>
  </si>
  <si>
    <t>Wl/Wn mismatch (Δσ=2.0005 cm⁻¹) NOT corrected — NIST validation also failed, likely misaligned classification; Ritz mismatch: |53165.4500 - 53163.50| = 1.9500 cm⁻¹ (&gt; 1.5)</t>
  </si>
  <si>
    <t>1880.571</t>
  </si>
  <si>
    <t>1879.845</t>
  </si>
  <si>
    <t>1879.786</t>
  </si>
  <si>
    <t>1879.673</t>
  </si>
  <si>
    <t>1879.571</t>
  </si>
  <si>
    <t>1879.542</t>
  </si>
  <si>
    <t>1879.235</t>
  </si>
  <si>
    <t>1878.823</t>
  </si>
  <si>
    <t>1878.459</t>
  </si>
  <si>
    <t>1877.694</t>
  </si>
  <si>
    <t>1877.280</t>
  </si>
  <si>
    <t>1876.933</t>
  </si>
  <si>
    <t>1876.675</t>
  </si>
  <si>
    <t>1876.549</t>
  </si>
  <si>
    <t>1875.754</t>
  </si>
  <si>
    <t>1875.388</t>
  </si>
  <si>
    <t>1875.309</t>
  </si>
  <si>
    <t>1874.981</t>
  </si>
  <si>
    <t>1874.079</t>
  </si>
  <si>
    <t>1873.997</t>
  </si>
  <si>
    <t>1873.914</t>
  </si>
  <si>
    <t>1873.470</t>
  </si>
  <si>
    <t>1873.434</t>
  </si>
  <si>
    <t>1873.146</t>
  </si>
  <si>
    <t>1872.737</t>
  </si>
  <si>
    <t>1871.878</t>
  </si>
  <si>
    <t>1870.826</t>
  </si>
  <si>
    <t>1870.354</t>
  </si>
  <si>
    <t>1869.803</t>
  </si>
  <si>
    <t>1868.246</t>
  </si>
  <si>
    <t>1867.982</t>
  </si>
  <si>
    <t>1867.565</t>
  </si>
  <si>
    <t>1867.224</t>
  </si>
  <si>
    <t>1866.957</t>
  </si>
  <si>
    <t>1866.678</t>
  </si>
  <si>
    <t>1866.179</t>
  </si>
  <si>
    <t>1865.842</t>
  </si>
  <si>
    <t>1865.698</t>
  </si>
  <si>
    <t>1865.530</t>
  </si>
  <si>
    <t>1865.503</t>
  </si>
  <si>
    <t>1865.232</t>
  </si>
  <si>
    <t>1865.139</t>
  </si>
  <si>
    <t>1865.061</t>
  </si>
  <si>
    <t>1864.141</t>
  </si>
  <si>
    <t>1863.670</t>
  </si>
  <si>
    <t>1863.393</t>
  </si>
  <si>
    <t>1863.347</t>
  </si>
  <si>
    <t>1863.289</t>
  </si>
  <si>
    <t>1863.044</t>
  </si>
  <si>
    <t>1862.028</t>
  </si>
  <si>
    <t>1825.792</t>
  </si>
  <si>
    <t>1825.215</t>
  </si>
  <si>
    <t>1823.960</t>
  </si>
  <si>
    <t>1823.855</t>
  </si>
  <si>
    <t>1823.703</t>
  </si>
  <si>
    <t>1823.561</t>
  </si>
  <si>
    <t>1822.640</t>
  </si>
  <si>
    <t>1822.514</t>
  </si>
  <si>
    <t>1821.782</t>
  </si>
  <si>
    <t>1821.451</t>
  </si>
  <si>
    <t>1821.333</t>
  </si>
  <si>
    <t>1820.860</t>
  </si>
  <si>
    <t>1820.296</t>
  </si>
  <si>
    <t>1819.595</t>
  </si>
  <si>
    <t>1819.292</t>
  </si>
  <si>
    <t>1819.259</t>
  </si>
  <si>
    <t>1818.913</t>
  </si>
  <si>
    <t>1818.031</t>
  </si>
  <si>
    <t>1817.401</t>
  </si>
  <si>
    <t>1817.344</t>
  </si>
  <si>
    <t>1817.023</t>
  </si>
  <si>
    <t>1816.643</t>
  </si>
  <si>
    <t>1816.484</t>
  </si>
  <si>
    <t>1815.721</t>
  </si>
  <si>
    <t>1815.025</t>
  </si>
  <si>
    <t>1814.295</t>
  </si>
  <si>
    <t>1812.375</t>
  </si>
  <si>
    <t>1811.894</t>
  </si>
  <si>
    <t>1810.775</t>
  </si>
  <si>
    <t>1810.611</t>
  </si>
  <si>
    <t>1809.556</t>
  </si>
  <si>
    <t>1/2</t>
  </si>
  <si>
    <t>1808.516</t>
  </si>
  <si>
    <t>1808.106</t>
  </si>
  <si>
    <t>1807.913</t>
  </si>
  <si>
    <t>1807.776</t>
  </si>
  <si>
    <t>1805.481</t>
  </si>
  <si>
    <t>1804.775</t>
  </si>
  <si>
    <t>1804.354</t>
  </si>
  <si>
    <t>1803.399</t>
  </si>
  <si>
    <t>1803.231</t>
  </si>
  <si>
    <t>1803.100</t>
  </si>
  <si>
    <t>1802.430</t>
  </si>
  <si>
    <t>1802.292</t>
  </si>
  <si>
    <t>1802.186</t>
  </si>
  <si>
    <t>1801.964</t>
  </si>
  <si>
    <t>1801.172</t>
  </si>
  <si>
    <t>1800.902</t>
  </si>
  <si>
    <t>1800.839</t>
  </si>
  <si>
    <t>1799.453</t>
  </si>
  <si>
    <t>1798.347</t>
  </si>
  <si>
    <t>1797.273</t>
  </si>
  <si>
    <t>1797.085</t>
  </si>
  <si>
    <t>1797.011</t>
  </si>
  <si>
    <t>1795.721</t>
  </si>
  <si>
    <t>1795.662</t>
  </si>
  <si>
    <t>1794.822</t>
  </si>
  <si>
    <t>1794.614</t>
  </si>
  <si>
    <t>1794.164</t>
  </si>
  <si>
    <t>1793.973</t>
  </si>
  <si>
    <t>1793.695</t>
  </si>
  <si>
    <t>1793.502</t>
  </si>
  <si>
    <t>1792.983</t>
  </si>
  <si>
    <t>1792.794</t>
  </si>
  <si>
    <t>1792.569</t>
  </si>
  <si>
    <t>1792.101</t>
  </si>
  <si>
    <t>1791.938</t>
  </si>
  <si>
    <t>1791.690</t>
  </si>
  <si>
    <t>1791.274</t>
  </si>
  <si>
    <t>1790.071</t>
  </si>
  <si>
    <t>1790.027</t>
  </si>
  <si>
    <t>1789.955</t>
  </si>
  <si>
    <t>1789.656</t>
  </si>
  <si>
    <t>1789.247</t>
  </si>
  <si>
    <t>1789.129</t>
  </si>
  <si>
    <t>1788.462</t>
  </si>
  <si>
    <t>1787.770</t>
  </si>
  <si>
    <t>1787.635</t>
  </si>
  <si>
    <t>1787.154</t>
  </si>
  <si>
    <t>1786.964</t>
  </si>
  <si>
    <t>1786.691</t>
  </si>
  <si>
    <t>1786.141</t>
  </si>
  <si>
    <t>1785.885</t>
  </si>
  <si>
    <t>1785.330</t>
  </si>
  <si>
    <t>1780.963</t>
  </si>
  <si>
    <t>1780.596</t>
  </si>
  <si>
    <t>1780.210</t>
  </si>
  <si>
    <t>1779.460</t>
  </si>
  <si>
    <t>1779.025</t>
  </si>
  <si>
    <t>1778.732</t>
  </si>
  <si>
    <t>1778.422</t>
  </si>
  <si>
    <t>1777.716</t>
  </si>
  <si>
    <t>1777.452</t>
  </si>
  <si>
    <t>1776.879</t>
  </si>
  <si>
    <t>1776.515</t>
  </si>
  <si>
    <t>1774.491</t>
  </si>
  <si>
    <t>1774.257</t>
  </si>
  <si>
    <t>1773.023</t>
  </si>
  <si>
    <t>1772.390</t>
  </si>
  <si>
    <t>1772.129</t>
  </si>
  <si>
    <t>h**</t>
  </si>
  <si>
    <t>1502.688</t>
  </si>
  <si>
    <t>1502.435</t>
  </si>
  <si>
    <t>1502.305</t>
  </si>
  <si>
    <t>1501.676</t>
  </si>
  <si>
    <t>1501.054</t>
  </si>
  <si>
    <t>1500.901</t>
  </si>
  <si>
    <t>1500.675</t>
  </si>
  <si>
    <t>1500.445</t>
  </si>
  <si>
    <t>1500.080</t>
  </si>
  <si>
    <t>1499.756</t>
  </si>
  <si>
    <t>1499.586</t>
  </si>
  <si>
    <t>1499.112</t>
  </si>
  <si>
    <t>1498.566</t>
  </si>
  <si>
    <t>1498.426</t>
  </si>
  <si>
    <t>1497.724</t>
  </si>
  <si>
    <t>1497.352</t>
  </si>
  <si>
    <t>1496.880</t>
  </si>
  <si>
    <t>1496.831</t>
  </si>
  <si>
    <t>1496.247</t>
  </si>
  <si>
    <t>1495.999</t>
  </si>
  <si>
    <t>1495.547</t>
  </si>
  <si>
    <t>1495.506</t>
  </si>
  <si>
    <t>1495.220</t>
  </si>
  <si>
    <t>1495.047</t>
  </si>
  <si>
    <t>1494.944</t>
  </si>
  <si>
    <t>1494.747</t>
  </si>
  <si>
    <t>1494.200</t>
  </si>
  <si>
    <t>1493.724</t>
  </si>
  <si>
    <t>1493.694</t>
  </si>
  <si>
    <t>1493.590</t>
  </si>
  <si>
    <t>1492.951</t>
  </si>
  <si>
    <t>1492.874</t>
  </si>
  <si>
    <t>1492.352</t>
  </si>
  <si>
    <t>1491.830</t>
  </si>
  <si>
    <t>1491.713</t>
  </si>
  <si>
    <t>1490.867</t>
  </si>
  <si>
    <t>1490.494</t>
  </si>
  <si>
    <t>1490.431</t>
  </si>
  <si>
    <t>1490.014</t>
  </si>
  <si>
    <t>1489.937</t>
  </si>
  <si>
    <t>1489.689</t>
  </si>
  <si>
    <t>1489.567</t>
  </si>
  <si>
    <t>1489.319</t>
  </si>
  <si>
    <t>1489.187</t>
  </si>
  <si>
    <t>1489.073</t>
  </si>
  <si>
    <t>1488.984</t>
  </si>
  <si>
    <t>1488.202</t>
  </si>
  <si>
    <t>1488.071</t>
  </si>
  <si>
    <t>1487.843</t>
  </si>
  <si>
    <t>1487.723</t>
  </si>
  <si>
    <t>1487.561</t>
  </si>
  <si>
    <t>1487.137</t>
  </si>
  <si>
    <t>1486.827</t>
  </si>
  <si>
    <t>1486.630</t>
  </si>
  <si>
    <t>1486.538</t>
  </si>
  <si>
    <t>1485.425</t>
  </si>
  <si>
    <t>1484.932</t>
  </si>
  <si>
    <t>1484.661</t>
  </si>
  <si>
    <t>1484.298</t>
  </si>
  <si>
    <t>1484.211</t>
  </si>
  <si>
    <t>1484.046</t>
  </si>
  <si>
    <t>1483.825</t>
  </si>
  <si>
    <t>1483.598</t>
  </si>
  <si>
    <t>1483.508</t>
  </si>
  <si>
    <t>1483.470</t>
  </si>
  <si>
    <t>1483.400</t>
  </si>
  <si>
    <t>1482.662</t>
  </si>
  <si>
    <t>1482.585</t>
  </si>
  <si>
    <t>1482.548</t>
  </si>
  <si>
    <t>1482.417</t>
  </si>
  <si>
    <t>1482.127</t>
  </si>
  <si>
    <t>1481.704</t>
  </si>
  <si>
    <t>1481.609</t>
  </si>
  <si>
    <t>1481.475</t>
  </si>
  <si>
    <t>1481.193</t>
  </si>
  <si>
    <t>1481.123</t>
  </si>
  <si>
    <t>1481.035</t>
  </si>
  <si>
    <t>1480.953</t>
  </si>
  <si>
    <t>1480.527</t>
  </si>
  <si>
    <t>1480.093</t>
  </si>
  <si>
    <t>1479.953</t>
  </si>
  <si>
    <t>1479.887</t>
  </si>
  <si>
    <t>1479.849</t>
  </si>
  <si>
    <t>1479.695</t>
  </si>
  <si>
    <t>1479.549</t>
  </si>
  <si>
    <t>1479.300</t>
  </si>
  <si>
    <t>1479.136</t>
  </si>
  <si>
    <t>1479.083</t>
  </si>
  <si>
    <t>1478.974</t>
  </si>
  <si>
    <t>1478.835</t>
  </si>
  <si>
    <t>1478.618</t>
  </si>
  <si>
    <t>1478.572</t>
  </si>
  <si>
    <t>1478.527</t>
  </si>
  <si>
    <t>1478.436</t>
  </si>
  <si>
    <t>1478.324</t>
  </si>
  <si>
    <t>1478.253</t>
  </si>
  <si>
    <t>1478.120</t>
  </si>
  <si>
    <t>1478.048</t>
  </si>
  <si>
    <t>1477.977</t>
  </si>
  <si>
    <t>1477.650</t>
  </si>
  <si>
    <t>1477.559</t>
  </si>
  <si>
    <t>1477.506</t>
  </si>
  <si>
    <t>1477.109</t>
  </si>
  <si>
    <t>1477.046</t>
  </si>
  <si>
    <t>1476.843</t>
  </si>
  <si>
    <t>1476.566</t>
  </si>
  <si>
    <t>1476.516</t>
  </si>
  <si>
    <t>1476.274</t>
  </si>
  <si>
    <t>1475.801</t>
  </si>
  <si>
    <t>1475.700</t>
  </si>
  <si>
    <t>1475.562</t>
  </si>
  <si>
    <t>1475.508</t>
  </si>
  <si>
    <t>1475.411</t>
  </si>
  <si>
    <t>1474.094</t>
  </si>
  <si>
    <t>1474.013</t>
  </si>
  <si>
    <t>1473.818</t>
  </si>
  <si>
    <t>1473.720</t>
  </si>
  <si>
    <t>1473.364</t>
  </si>
  <si>
    <t>1473.155</t>
  </si>
  <si>
    <t>1472.995</t>
  </si>
  <si>
    <t>1472.456</t>
  </si>
  <si>
    <t>1472.332</t>
  </si>
  <si>
    <t>1472.142</t>
  </si>
  <si>
    <t>1472.102</t>
  </si>
  <si>
    <t>1471.895</t>
  </si>
  <si>
    <t>1471.767</t>
  </si>
  <si>
    <t>1471.518</t>
  </si>
  <si>
    <t>1471.255</t>
  </si>
  <si>
    <t>1470.908</t>
  </si>
  <si>
    <t>1470.805</t>
  </si>
  <si>
    <t>1470.324</t>
  </si>
  <si>
    <t>1470.261</t>
  </si>
  <si>
    <t>1470.045</t>
  </si>
  <si>
    <t>1469.887</t>
  </si>
  <si>
    <t>1469.649</t>
  </si>
  <si>
    <t>1469.511</t>
  </si>
  <si>
    <t>1469.369</t>
  </si>
  <si>
    <t>1468.902</t>
  </si>
  <si>
    <t>1468.779</t>
  </si>
  <si>
    <t>1468.573</t>
  </si>
  <si>
    <t>1468.399</t>
  </si>
  <si>
    <t>1468.227</t>
  </si>
  <si>
    <t>1467.698</t>
  </si>
  <si>
    <t>1467.646</t>
  </si>
  <si>
    <t>1467.595</t>
  </si>
  <si>
    <t>1467.409</t>
  </si>
  <si>
    <t>1467.247</t>
  </si>
  <si>
    <t>1467.153</t>
  </si>
  <si>
    <t>1467.081</t>
  </si>
  <si>
    <t>1466.971</t>
  </si>
  <si>
    <t>1466.320</t>
  </si>
  <si>
    <t>1466.011</t>
  </si>
  <si>
    <t>1465.984</t>
  </si>
  <si>
    <t>1465.899</t>
  </si>
  <si>
    <t>1465.216</t>
  </si>
  <si>
    <t>1465.124</t>
  </si>
  <si>
    <t>1465.021</t>
  </si>
  <si>
    <t>1464.853</t>
  </si>
  <si>
    <t>1464.742</t>
  </si>
  <si>
    <t>1464.502</t>
  </si>
  <si>
    <t>1464.400</t>
  </si>
  <si>
    <t>1464.013</t>
  </si>
  <si>
    <t>1463.825</t>
  </si>
  <si>
    <t>1463.756</t>
  </si>
  <si>
    <t>1463.554</t>
  </si>
  <si>
    <t>1463.332</t>
  </si>
  <si>
    <t>1463.233</t>
  </si>
  <si>
    <t>1462.700</t>
  </si>
  <si>
    <t>1462.585</t>
  </si>
  <si>
    <t>1462.155</t>
  </si>
  <si>
    <t>1462.019</t>
  </si>
  <si>
    <t>1461.616</t>
  </si>
  <si>
    <t>1461.504</t>
  </si>
  <si>
    <t>1461.405</t>
  </si>
  <si>
    <t>1461.218</t>
  </si>
  <si>
    <t>1460.632</t>
  </si>
  <si>
    <t>1460.440</t>
  </si>
  <si>
    <t>1460.223</t>
  </si>
  <si>
    <t>1460.050</t>
  </si>
  <si>
    <t>1459.674</t>
  </si>
  <si>
    <t>1459.405</t>
  </si>
  <si>
    <t>1459.339</t>
  </si>
  <si>
    <t>1459.257</t>
  </si>
  <si>
    <t>1459.033</t>
  </si>
  <si>
    <t>1458.771</t>
  </si>
  <si>
    <t>1458.701</t>
  </si>
  <si>
    <t>1458.614</t>
  </si>
  <si>
    <t>1458.202</t>
  </si>
  <si>
    <t>1458.130</t>
  </si>
  <si>
    <t>1457.894</t>
  </si>
  <si>
    <t>1457.784</t>
  </si>
  <si>
    <t>1457.512</t>
  </si>
  <si>
    <t>1457.433</t>
  </si>
  <si>
    <t>1457.357</t>
  </si>
  <si>
    <t>1457.257</t>
  </si>
  <si>
    <t>1456.949</t>
  </si>
  <si>
    <t>1456.787</t>
  </si>
  <si>
    <t>1456.738</t>
  </si>
  <si>
    <t>1456.574</t>
  </si>
  <si>
    <t>1455.583</t>
  </si>
  <si>
    <t>17/2</t>
  </si>
  <si>
    <t>1333.802</t>
  </si>
  <si>
    <t>1332.359</t>
  </si>
  <si>
    <t>1331.490</t>
  </si>
  <si>
    <t>1330.985</t>
  </si>
  <si>
    <t>1329.459</t>
  </si>
  <si>
    <t>1328.452</t>
  </si>
  <si>
    <t>1328.207</t>
  </si>
  <si>
    <t>1325.155</t>
  </si>
  <si>
    <t>1324.595</t>
  </si>
  <si>
    <t>1322.376</t>
  </si>
  <si>
    <t>1321.520</t>
  </si>
  <si>
    <t>1319.844</t>
  </si>
  <si>
    <t>1319.796</t>
  </si>
  <si>
    <t>1316.719</t>
  </si>
  <si>
    <t>1316.264</t>
  </si>
  <si>
    <t>1315.596</t>
  </si>
  <si>
    <t>1314.573</t>
  </si>
  <si>
    <t>1314.136</t>
  </si>
  <si>
    <t>1313.582</t>
  </si>
  <si>
    <t>1313.538</t>
  </si>
  <si>
    <t>1313.376</t>
  </si>
  <si>
    <t>Wavelength typo: 1312.336 → 1312.356; Corrections: λ_orig=1312.336</t>
  </si>
  <si>
    <t>1310.972</t>
  </si>
  <si>
    <t>1310.898</t>
  </si>
  <si>
    <t>1310.307</t>
  </si>
  <si>
    <t>1310.001</t>
  </si>
  <si>
    <t>1309.831</t>
  </si>
  <si>
    <t>1308.577</t>
  </si>
  <si>
    <t>1308.234</t>
  </si>
  <si>
    <t>1307.215</t>
  </si>
  <si>
    <t>1306.420</t>
  </si>
  <si>
    <t>1305.892</t>
  </si>
  <si>
    <t>1305.771</t>
  </si>
  <si>
    <t>1305.623</t>
  </si>
  <si>
    <t>1303.501</t>
  </si>
  <si>
    <t>1302.961</t>
  </si>
  <si>
    <t>1302.884</t>
  </si>
  <si>
    <t>1302.696</t>
  </si>
  <si>
    <t>1300.617</t>
  </si>
  <si>
    <t>1300.285</t>
  </si>
  <si>
    <t>1299.811</t>
  </si>
  <si>
    <t>1299.407</t>
  </si>
  <si>
    <t>1299.193</t>
  </si>
  <si>
    <t>1298.693</t>
  </si>
  <si>
    <t>1298.630</t>
  </si>
  <si>
    <t>1298.410</t>
  </si>
  <si>
    <t>1298.139</t>
  </si>
  <si>
    <t>1297.828</t>
  </si>
  <si>
    <t>1295.473</t>
  </si>
  <si>
    <t>1294.860</t>
  </si>
  <si>
    <t>1294.456</t>
  </si>
  <si>
    <t>1294.103</t>
  </si>
  <si>
    <t>1294.043</t>
  </si>
  <si>
    <t>1293.079</t>
  </si>
  <si>
    <t>1292.456</t>
  </si>
  <si>
    <t>1292.062</t>
  </si>
  <si>
    <t>1291.104</t>
  </si>
  <si>
    <t>1289.817</t>
  </si>
  <si>
    <t>1288.999</t>
  </si>
  <si>
    <t>1287.736</t>
  </si>
  <si>
    <t>1286.935</t>
  </si>
  <si>
    <t>1286.530</t>
  </si>
  <si>
    <t>1286.233</t>
  </si>
  <si>
    <t>1284.023</t>
  </si>
  <si>
    <t>1278.394</t>
  </si>
  <si>
    <t>1277.726</t>
  </si>
  <si>
    <t>1277.553</t>
  </si>
  <si>
    <t>1277.286</t>
  </si>
  <si>
    <t>1276.937</t>
  </si>
  <si>
    <t>1276.817</t>
  </si>
  <si>
    <t>1276.612</t>
  </si>
  <si>
    <t>1276.327</t>
  </si>
  <si>
    <t>1275.701</t>
  </si>
  <si>
    <t>1274.924</t>
  </si>
  <si>
    <t>1273.361</t>
  </si>
  <si>
    <t>1272.901</t>
  </si>
  <si>
    <t>1272.820</t>
  </si>
  <si>
    <t>1272.690</t>
  </si>
  <si>
    <t>1271.934</t>
  </si>
  <si>
    <t>1271.829</t>
  </si>
  <si>
    <t>1269.499</t>
  </si>
  <si>
    <t>1269.345</t>
  </si>
  <si>
    <t>1269.232</t>
  </si>
  <si>
    <t>1268.819</t>
  </si>
  <si>
    <t>1268.084</t>
  </si>
  <si>
    <t>1267.783</t>
  </si>
  <si>
    <t>1267.235</t>
  </si>
  <si>
    <t>1266.730</t>
  </si>
  <si>
    <t>1265.676</t>
  </si>
  <si>
    <t>1265.347</t>
  </si>
  <si>
    <t>1264.221</t>
  </si>
  <si>
    <t>1263.489</t>
  </si>
  <si>
    <t>1263.274</t>
  </si>
  <si>
    <t>1263.160</t>
  </si>
  <si>
    <t>1261.871</t>
  </si>
  <si>
    <t>1260.991</t>
  </si>
  <si>
    <t>1259.747</t>
  </si>
  <si>
    <t>1258.859</t>
  </si>
  <si>
    <t>Wavenumber typo: 84612.00 → 84613.00; Corrections: σ_orig=84612.0</t>
  </si>
  <si>
    <t>cl**</t>
  </si>
  <si>
    <t>Wavelength typo: 1087.252 → 1087.262; Corrections: λ_orig=1087.252</t>
  </si>
  <si>
    <t>1085.112</t>
  </si>
  <si>
    <t>1084.976</t>
  </si>
  <si>
    <t>1084.873</t>
  </si>
  <si>
    <t>1084.417</t>
  </si>
  <si>
    <t>19/2</t>
  </si>
  <si>
    <t>1084.262</t>
  </si>
  <si>
    <t>1084.204</t>
  </si>
  <si>
    <t>1084.157</t>
  </si>
  <si>
    <t>1084.071</t>
  </si>
  <si>
    <t>1083.936</t>
  </si>
  <si>
    <t>1083.876</t>
  </si>
  <si>
    <t>Ritz mismatch: |92256.5800 - 92261.50| = 4.9200 cm⁻¹ (&gt; 1.5); Misalignment unresolved: Ritz σ=92256.58 matches row with σ_obs=92256.40 (Δ=0.1800), but target is classified — needs manual review</t>
  </si>
  <si>
    <t>1083.815</t>
  </si>
  <si>
    <t>1083.747</t>
  </si>
  <si>
    <t>1083.697</t>
  </si>
  <si>
    <t>1083.548</t>
  </si>
  <si>
    <t>1083.393</t>
  </si>
  <si>
    <t>1083.348</t>
  </si>
  <si>
    <t>1083.285</t>
  </si>
  <si>
    <t>1083.001</t>
  </si>
  <si>
    <t>1082.881</t>
  </si>
  <si>
    <t>1082.824</t>
  </si>
  <si>
    <t>1082.704</t>
  </si>
  <si>
    <t>1082.445</t>
  </si>
  <si>
    <t>1082.091</t>
  </si>
  <si>
    <t>1082.045</t>
  </si>
  <si>
    <t>1081.807</t>
  </si>
  <si>
    <t>1081.746</t>
  </si>
  <si>
    <t>1081.574</t>
  </si>
  <si>
    <t>1081.356</t>
  </si>
  <si>
    <t>1081.252</t>
  </si>
  <si>
    <t>1081.210</t>
  </si>
  <si>
    <t>1080.898</t>
  </si>
  <si>
    <t>1080.797</t>
  </si>
  <si>
    <t>1080.553</t>
  </si>
  <si>
    <t>1080.459</t>
  </si>
  <si>
    <t>1080.187</t>
  </si>
  <si>
    <t>1080.110</t>
  </si>
  <si>
    <t>1080.019</t>
  </si>
  <si>
    <t>1079.947</t>
  </si>
  <si>
    <t>1079.921</t>
  </si>
  <si>
    <t>1079.727</t>
  </si>
  <si>
    <t>1079.698</t>
  </si>
  <si>
    <t>1079.452</t>
  </si>
  <si>
    <t>1079.268</t>
  </si>
  <si>
    <t>1079.204</t>
  </si>
  <si>
    <t>1079.078</t>
  </si>
  <si>
    <t>1079.058</t>
  </si>
  <si>
    <t>1079.013</t>
  </si>
  <si>
    <t>1078.672</t>
  </si>
  <si>
    <t>1078.516</t>
  </si>
  <si>
    <t>1077.972</t>
  </si>
  <si>
    <t>1077.851</t>
  </si>
  <si>
    <t>1077.782</t>
  </si>
  <si>
    <t>1077.742</t>
  </si>
  <si>
    <t>1077.623</t>
  </si>
  <si>
    <t>1077.571</t>
  </si>
  <si>
    <t>1077.451</t>
  </si>
  <si>
    <t>1077.382</t>
  </si>
  <si>
    <t>1076.902</t>
  </si>
  <si>
    <t>Wl/Wn mismatch (Δσ=2.9602 cm⁻¹) NOT corrected — NIST validation also failed, likely misaligned classification; Ritz mismatch: |92859.1400 - 92856.00| = 3.1400 cm⁻¹ (&gt; 1.5)</t>
  </si>
  <si>
    <t>Wl/Wn mismatch (Δσ=2.9602 cm⁻¹) NOT corrected — NIST validation also failed, likely misaligned classification; Ritz mismatch: |92859.1800 - 92856.00| = 3.1800 cm⁻¹ (&gt; 1.5)</t>
  </si>
  <si>
    <t>1076.831</t>
  </si>
  <si>
    <t>1076.790</t>
  </si>
  <si>
    <t>1076.708</t>
  </si>
  <si>
    <t>1076.325</t>
  </si>
  <si>
    <t>1076.137</t>
  </si>
  <si>
    <t>1075.961</t>
  </si>
  <si>
    <t>1075.707</t>
  </si>
  <si>
    <t>1075.586</t>
  </si>
  <si>
    <t>1075.565</t>
  </si>
  <si>
    <t>1075.532</t>
  </si>
  <si>
    <t>1075.448</t>
  </si>
  <si>
    <t>1075.147</t>
  </si>
  <si>
    <t>1074.855</t>
  </si>
  <si>
    <t>1074.726</t>
  </si>
  <si>
    <t>1074.669</t>
  </si>
  <si>
    <t>1074.590</t>
  </si>
  <si>
    <t>1074.515</t>
  </si>
  <si>
    <t>1074.474</t>
  </si>
  <si>
    <t>1074.353</t>
  </si>
  <si>
    <t>1074.171</t>
  </si>
  <si>
    <t>1074.041</t>
  </si>
  <si>
    <t>1073.901</t>
  </si>
  <si>
    <t>1073.801</t>
  </si>
  <si>
    <t>1073.661</t>
  </si>
  <si>
    <t>1073.340</t>
  </si>
  <si>
    <t>1073.308</t>
  </si>
  <si>
    <t>1073.126</t>
  </si>
  <si>
    <t>1072.600</t>
  </si>
  <si>
    <t>1072.529</t>
  </si>
  <si>
    <t>1072.466</t>
  </si>
  <si>
    <t>1072.425</t>
  </si>
  <si>
    <t>1072.342</t>
  </si>
  <si>
    <t>1072.237</t>
  </si>
  <si>
    <t>1072.108</t>
  </si>
  <si>
    <t>1072.076</t>
  </si>
  <si>
    <t>1072.009</t>
  </si>
  <si>
    <t>1071.968</t>
  </si>
  <si>
    <t>1071.865</t>
  </si>
  <si>
    <t>1071.487</t>
  </si>
  <si>
    <t>1071.422</t>
  </si>
  <si>
    <t>1071.334</t>
  </si>
  <si>
    <t>1071.213</t>
  </si>
  <si>
    <t>1070.750</t>
  </si>
  <si>
    <t>1070.617</t>
  </si>
  <si>
    <t>1070.554</t>
  </si>
  <si>
    <t>1070.461</t>
  </si>
  <si>
    <t>1070.336</t>
  </si>
  <si>
    <t>1070.246</t>
  </si>
  <si>
    <t>1069.881</t>
  </si>
  <si>
    <t>1069.768</t>
  </si>
  <si>
    <t>1069.710</t>
  </si>
  <si>
    <t>1069.622</t>
  </si>
  <si>
    <t>1069.520</t>
  </si>
  <si>
    <t>1069.385</t>
  </si>
  <si>
    <t>1069.265</t>
  </si>
  <si>
    <t>1069.108</t>
  </si>
  <si>
    <t>1068.852</t>
  </si>
  <si>
    <t>1068.820</t>
  </si>
  <si>
    <t>1068.761</t>
  </si>
  <si>
    <t>1068.641</t>
  </si>
  <si>
    <t>1068.397</t>
  </si>
  <si>
    <t>1068.270</t>
  </si>
  <si>
    <t>1068.014</t>
  </si>
  <si>
    <t>1067.950</t>
  </si>
  <si>
    <t>1067.910</t>
  </si>
  <si>
    <t>1067.848</t>
  </si>
  <si>
    <t>1067.779</t>
  </si>
  <si>
    <t>1067.503</t>
  </si>
  <si>
    <t>1067.416</t>
  </si>
  <si>
    <t>1067.167</t>
  </si>
  <si>
    <t>1067.117</t>
  </si>
  <si>
    <t>1067.068</t>
  </si>
  <si>
    <t>1067.000</t>
  </si>
  <si>
    <t>1066.896</t>
  </si>
  <si>
    <t>1066.570</t>
  </si>
  <si>
    <t>1066.520</t>
  </si>
  <si>
    <t>1066.465</t>
  </si>
  <si>
    <t>1066.345</t>
  </si>
  <si>
    <t>1066.223</t>
  </si>
  <si>
    <t>1066.177</t>
  </si>
  <si>
    <t>1066.089</t>
  </si>
  <si>
    <t>1066.034</t>
  </si>
  <si>
    <t>1065.791</t>
  </si>
  <si>
    <t>1065.625</t>
  </si>
  <si>
    <t>1065.586</t>
  </si>
  <si>
    <t>1065.524</t>
  </si>
  <si>
    <t>1065.464</t>
  </si>
  <si>
    <t>1065.331</t>
  </si>
  <si>
    <t>1065.224</t>
  </si>
  <si>
    <t>1065.128</t>
  </si>
  <si>
    <t>1064.971</t>
  </si>
  <si>
    <t>1064.874</t>
  </si>
  <si>
    <t>1064.795</t>
  </si>
  <si>
    <t>1064.640</t>
  </si>
  <si>
    <t>1064.585</t>
  </si>
  <si>
    <t>1064.499</t>
  </si>
  <si>
    <t>1064.390</t>
  </si>
  <si>
    <t>1064.289</t>
  </si>
  <si>
    <t>1064.127</t>
  </si>
  <si>
    <t>1064.102</t>
  </si>
  <si>
    <t>1063.926</t>
  </si>
  <si>
    <t>1063.858</t>
  </si>
  <si>
    <t>1063.746</t>
  </si>
  <si>
    <t>1063.653</t>
  </si>
  <si>
    <t>1063.362</t>
  </si>
  <si>
    <t>1063.255</t>
  </si>
  <si>
    <t>1063.163</t>
  </si>
  <si>
    <t>1063.104</t>
  </si>
  <si>
    <t>1062.911</t>
  </si>
  <si>
    <t>1062.819</t>
  </si>
  <si>
    <t>1062.673</t>
  </si>
  <si>
    <t>1062.392</t>
  </si>
  <si>
    <t>1062.356</t>
  </si>
  <si>
    <t>1062.095</t>
  </si>
  <si>
    <t>1061.975</t>
  </si>
  <si>
    <t>1061.909</t>
  </si>
  <si>
    <t>1061.887</t>
  </si>
  <si>
    <t>1061.830</t>
  </si>
  <si>
    <t>1061.695</t>
  </si>
  <si>
    <t>1061.599</t>
  </si>
  <si>
    <t>1061.519</t>
  </si>
  <si>
    <t>1061.328</t>
  </si>
  <si>
    <t>1061.162</t>
  </si>
  <si>
    <t>1061.120</t>
  </si>
  <si>
    <t>1061.072</t>
  </si>
  <si>
    <t>1061.051</t>
  </si>
  <si>
    <t>1060.993</t>
  </si>
  <si>
    <t>1060.857</t>
  </si>
  <si>
    <t>1060.734</t>
  </si>
  <si>
    <t>1060.546</t>
  </si>
  <si>
    <t>1060.486</t>
  </si>
  <si>
    <t>1060.250</t>
  </si>
  <si>
    <t>1060.160</t>
  </si>
  <si>
    <t>1060.077</t>
  </si>
  <si>
    <t>1059.926</t>
  </si>
  <si>
    <t>1059.822</t>
  </si>
  <si>
    <t>1059.714</t>
  </si>
  <si>
    <t>1059.631</t>
  </si>
  <si>
    <t>1059.587</t>
  </si>
  <si>
    <t>1059.410</t>
  </si>
  <si>
    <t>1059.281</t>
  </si>
  <si>
    <t>1059.250</t>
  </si>
  <si>
    <t>1059.157</t>
  </si>
  <si>
    <t>1059.022</t>
  </si>
  <si>
    <t>1058.948</t>
  </si>
  <si>
    <t>1058.769</t>
  </si>
  <si>
    <t>1058.510</t>
  </si>
  <si>
    <t>1058.393</t>
  </si>
  <si>
    <t>1058.348</t>
  </si>
  <si>
    <t>1058.150</t>
  </si>
  <si>
    <t>1058.018</t>
  </si>
  <si>
    <t>1057.903</t>
  </si>
  <si>
    <t>1057.885</t>
  </si>
  <si>
    <t>1057.783</t>
  </si>
  <si>
    <t>1057.721</t>
  </si>
  <si>
    <t>1057.490</t>
  </si>
  <si>
    <t>1057.456</t>
  </si>
  <si>
    <t>1057.310</t>
  </si>
  <si>
    <t>1057.228</t>
  </si>
  <si>
    <t>1057.080</t>
  </si>
  <si>
    <t>1056.815</t>
  </si>
  <si>
    <t>1056.619</t>
  </si>
  <si>
    <t>1056.518</t>
  </si>
  <si>
    <t>1056.314</t>
  </si>
  <si>
    <t>1056.211</t>
  </si>
  <si>
    <t>1056.030</t>
  </si>
  <si>
    <t>1055.857</t>
  </si>
  <si>
    <t>1055.668</t>
  </si>
  <si>
    <t>1055.297</t>
  </si>
  <si>
    <t>1055.143</t>
  </si>
  <si>
    <t>1055.072</t>
  </si>
  <si>
    <t>1054.613</t>
  </si>
  <si>
    <t>1054.558</t>
  </si>
  <si>
    <t>1054.525</t>
  </si>
  <si>
    <t>1054.441</t>
  </si>
  <si>
    <t>1054.388</t>
  </si>
  <si>
    <t>1054.263</t>
  </si>
  <si>
    <t>1053.876</t>
  </si>
  <si>
    <t>1053.584</t>
  </si>
  <si>
    <t>1053.542</t>
  </si>
  <si>
    <t>1053.412</t>
  </si>
  <si>
    <t>1053.344</t>
  </si>
  <si>
    <t>1053.260</t>
  </si>
  <si>
    <t>1053.177</t>
  </si>
  <si>
    <t>1053.105</t>
  </si>
  <si>
    <t>1053.021</t>
  </si>
  <si>
    <t>1052.860</t>
  </si>
  <si>
    <t>1052.815</t>
  </si>
  <si>
    <t>1052.633</t>
  </si>
  <si>
    <t>1052.571</t>
  </si>
  <si>
    <t>1052.456</t>
  </si>
  <si>
    <t>1052.262</t>
  </si>
  <si>
    <t>1052.202</t>
  </si>
  <si>
    <t>1052.133</t>
  </si>
  <si>
    <t>1051.929</t>
  </si>
  <si>
    <t>1051.851</t>
  </si>
  <si>
    <t>1051.792</t>
  </si>
  <si>
    <t>1051.732</t>
  </si>
  <si>
    <t>1051.568</t>
  </si>
  <si>
    <t>1051.423</t>
  </si>
  <si>
    <t>1051.347</t>
  </si>
  <si>
    <t>1051.313</t>
  </si>
  <si>
    <t>1051.093</t>
  </si>
  <si>
    <t>1050.961</t>
  </si>
  <si>
    <t>1050.881</t>
  </si>
  <si>
    <t>1050.770</t>
  </si>
  <si>
    <t>1050.652</t>
  </si>
  <si>
    <t>1050.595</t>
  </si>
  <si>
    <t>1050.433</t>
  </si>
  <si>
    <t>1050.323</t>
  </si>
  <si>
    <t>1050.107</t>
  </si>
  <si>
    <t>1050.056</t>
  </si>
  <si>
    <t>1049.914</t>
  </si>
  <si>
    <t>1049.546</t>
  </si>
  <si>
    <t>1049.456</t>
  </si>
  <si>
    <t>1049.228</t>
  </si>
  <si>
    <t>1049.086</t>
  </si>
  <si>
    <t>1048.951</t>
  </si>
  <si>
    <t>1048.923</t>
  </si>
  <si>
    <t>1048.703</t>
  </si>
  <si>
    <t>1048.672</t>
  </si>
  <si>
    <t>1048.643</t>
  </si>
  <si>
    <t>1048.413</t>
  </si>
  <si>
    <t>1048.318</t>
  </si>
  <si>
    <t>1048.255</t>
  </si>
  <si>
    <t>1048.122</t>
  </si>
  <si>
    <t>1047.966</t>
  </si>
  <si>
    <t>1047.924</t>
  </si>
  <si>
    <t>1047.811</t>
  </si>
  <si>
    <t>Wavelength typo: 1045.447 → 1045.467; Unclassified line; Corrections: λ_orig=1045.447</t>
  </si>
  <si>
    <t>1035.675</t>
  </si>
  <si>
    <t>1035.554</t>
  </si>
  <si>
    <t>1035.386</t>
  </si>
  <si>
    <t>1035.312</t>
  </si>
  <si>
    <t>1035.260</t>
  </si>
  <si>
    <t>Wavelength typo: 1035.111 → 1035.121; Corrections: λ_orig=1035.111</t>
  </si>
  <si>
    <t>1035.063</t>
  </si>
  <si>
    <t>1034.937</t>
  </si>
  <si>
    <t>1034.826</t>
  </si>
  <si>
    <t>1034.804</t>
  </si>
  <si>
    <t>1034.338</t>
  </si>
  <si>
    <t>1034.114</t>
  </si>
  <si>
    <t>1034.045</t>
  </si>
  <si>
    <t>1034.012</t>
  </si>
  <si>
    <t>1033.827</t>
  </si>
  <si>
    <t>1033.787</t>
  </si>
  <si>
    <t>1033.738</t>
  </si>
  <si>
    <t>1033.680</t>
  </si>
  <si>
    <t>1033.652</t>
  </si>
  <si>
    <t>1033.582</t>
  </si>
  <si>
    <t>1033.424</t>
  </si>
  <si>
    <t>1033.329</t>
  </si>
  <si>
    <t>1033.238</t>
  </si>
  <si>
    <t>1033.207</t>
  </si>
  <si>
    <t>1033.070</t>
  </si>
  <si>
    <t>1032.977</t>
  </si>
  <si>
    <t>1032.798</t>
  </si>
  <si>
    <t>1032.496</t>
  </si>
  <si>
    <t>1032.450</t>
  </si>
  <si>
    <t>1032.299</t>
  </si>
  <si>
    <t>1032.221</t>
  </si>
  <si>
    <t>1032.147</t>
  </si>
  <si>
    <t>1032.083</t>
  </si>
  <si>
    <t>1031.870</t>
  </si>
  <si>
    <t>1031.635</t>
  </si>
  <si>
    <t>1031.536</t>
  </si>
  <si>
    <t>1031.435</t>
  </si>
  <si>
    <t>1031.360</t>
  </si>
  <si>
    <t>1031.297</t>
  </si>
  <si>
    <t>1031.171</t>
  </si>
  <si>
    <t>1030.944</t>
  </si>
  <si>
    <t>1030.851</t>
  </si>
  <si>
    <t>1030.687</t>
  </si>
  <si>
    <t>1030.600</t>
  </si>
  <si>
    <t>1030.500</t>
  </si>
  <si>
    <t>1030.329</t>
  </si>
  <si>
    <t>1030.193</t>
  </si>
  <si>
    <t>1030.125</t>
  </si>
  <si>
    <t>1030.047</t>
  </si>
  <si>
    <t>1029.785</t>
  </si>
  <si>
    <t>1029.711</t>
  </si>
  <si>
    <t>1029.631</t>
  </si>
  <si>
    <t>1029.393</t>
  </si>
  <si>
    <t>1029.284</t>
  </si>
  <si>
    <t>1029.212</t>
  </si>
  <si>
    <t>1029.158</t>
  </si>
  <si>
    <t>1029.032</t>
  </si>
  <si>
    <t>1028.901</t>
  </si>
  <si>
    <t>1028.711</t>
  </si>
  <si>
    <t>1028.277</t>
  </si>
  <si>
    <t>1028.164</t>
  </si>
  <si>
    <t>1028.029</t>
  </si>
  <si>
    <t>1027.569</t>
  </si>
  <si>
    <t>1027.488</t>
  </si>
  <si>
    <t>1027.226</t>
  </si>
  <si>
    <t>1027.146</t>
  </si>
  <si>
    <t>1026.922</t>
  </si>
  <si>
    <t>1026.706</t>
  </si>
  <si>
    <t>1026.477</t>
  </si>
  <si>
    <t>1026.415</t>
  </si>
  <si>
    <t>1026.333</t>
  </si>
  <si>
    <t>1026.251</t>
  </si>
  <si>
    <t>1026.183</t>
  </si>
  <si>
    <t>1026.030</t>
  </si>
  <si>
    <t>1025.999</t>
  </si>
  <si>
    <t>1025.945</t>
  </si>
  <si>
    <t>1025.694</t>
  </si>
  <si>
    <t>1025.243</t>
  </si>
  <si>
    <t>1025.144</t>
  </si>
  <si>
    <t>1024.944</t>
  </si>
  <si>
    <t>1024.711</t>
  </si>
  <si>
    <t>1024.358</t>
  </si>
  <si>
    <t>1024.308</t>
  </si>
  <si>
    <t>1024.210</t>
  </si>
  <si>
    <t>1024.123</t>
  </si>
  <si>
    <t>1024.036</t>
  </si>
  <si>
    <t>1023.976</t>
  </si>
  <si>
    <t>1023.670</t>
  </si>
  <si>
    <t>1023.573</t>
  </si>
  <si>
    <t>1023.268</t>
  </si>
  <si>
    <t>1023.223</t>
  </si>
  <si>
    <t>1022.935</t>
  </si>
  <si>
    <t>1022.900</t>
  </si>
  <si>
    <t>1022.756</t>
  </si>
  <si>
    <t>1022.560</t>
  </si>
  <si>
    <t>1022.395</t>
  </si>
  <si>
    <t>1022.301</t>
  </si>
  <si>
    <t>1022.146</t>
  </si>
  <si>
    <t>1022.077</t>
  </si>
  <si>
    <t>1021.865</t>
  </si>
  <si>
    <t>Wl/Wn mismatch (Δσ=2.9582 cm⁻¹) NOT corrected — NIST validation also failed, likely misaligned classification; Ritz mismatch: |97869.8400 - 97867.00| = 2.8400 cm⁻¹ (&gt; 1.5)</t>
  </si>
  <si>
    <t>841.990</t>
  </si>
  <si>
    <t>841.779</t>
  </si>
  <si>
    <t>841.628</t>
  </si>
  <si>
    <t>841.426</t>
  </si>
  <si>
    <t>841.015</t>
  </si>
  <si>
    <t>840.890</t>
  </si>
  <si>
    <t>840.871</t>
  </si>
  <si>
    <t>840.459</t>
  </si>
  <si>
    <t>840.282</t>
  </si>
  <si>
    <t>840.057</t>
  </si>
  <si>
    <t>839.995</t>
  </si>
  <si>
    <t>839.619</t>
  </si>
  <si>
    <t>839.529</t>
  </si>
  <si>
    <t>839.474</t>
  </si>
  <si>
    <t>839.358</t>
  </si>
  <si>
    <t>838.933</t>
  </si>
  <si>
    <t>838.809</t>
  </si>
  <si>
    <t>837.712</t>
  </si>
  <si>
    <t>837.223</t>
  </si>
  <si>
    <t>836.744</t>
  </si>
  <si>
    <t>836.295</t>
  </si>
  <si>
    <t>835.843</t>
  </si>
  <si>
    <t>834.617</t>
  </si>
  <si>
    <t>833.478</t>
  </si>
  <si>
    <t>833.190</t>
  </si>
  <si>
    <t>832.631</t>
  </si>
  <si>
    <t>832.164</t>
  </si>
  <si>
    <t>832.013</t>
  </si>
  <si>
    <t>831.919</t>
  </si>
  <si>
    <t>831.846</t>
  </si>
  <si>
    <t>831.136</t>
  </si>
  <si>
    <t>830.927</t>
  </si>
  <si>
    <t>830.386</t>
  </si>
  <si>
    <t>830.061</t>
  </si>
  <si>
    <t>829.325</t>
  </si>
  <si>
    <t>828.364</t>
  </si>
  <si>
    <t>828.169</t>
  </si>
  <si>
    <t>828.134</t>
  </si>
  <si>
    <t>827.345</t>
  </si>
  <si>
    <t>825.989</t>
  </si>
  <si>
    <t>825.404</t>
  </si>
  <si>
    <t>824.880</t>
  </si>
  <si>
    <t>824.542</t>
  </si>
  <si>
    <t>823.117</t>
  </si>
  <si>
    <t>822.725</t>
  </si>
  <si>
    <t>822.467</t>
  </si>
  <si>
    <t>821.942</t>
  </si>
  <si>
    <t>wl_orig</t>
  </si>
  <si>
    <t>rwn</t>
  </si>
  <si>
    <t>wl
from wn</t>
  </si>
  <si>
    <t>rwl</t>
  </si>
  <si>
    <t>Action</t>
  </si>
  <si>
    <t>Dup line from OCR deleted</t>
  </si>
  <si>
    <t>67870.76</t>
  </si>
  <si>
    <t>Upper: Level 68787 parity=o J=9/2 not found in NIST ASD (undetected OCR error)</t>
  </si>
  <si>
    <t>Lower: Corrected: J 7/2→5/2 (NIST); Corrections: lower_J_orig=7/2 (Sugar error)</t>
  </si>
  <si>
    <t>Upper: Corrected: J 5/2→9/2 (NIST); Corrections: upper_J_orig=5/2 (Sugar error)</t>
  </si>
  <si>
    <t>Dup line deleted (OCR error)</t>
  </si>
  <si>
    <t>Script action adopted (Sugar error)</t>
  </si>
  <si>
    <t>Orig. wl restored,wn corrected (Sugar error)</t>
  </si>
  <si>
    <t>Unclassified line; [iter 1] Classification moved from misaligned row (Ritz σ=91812.82, Δ=0.4800) (OCR error)</t>
  </si>
  <si>
    <t>wl, intens, wn moved from next row. OCR/script error.</t>
  </si>
  <si>
    <t>** deleted from char (script error)</t>
  </si>
  <si>
    <t>Next line deleted (OCR error)</t>
  </si>
  <si>
    <t>wn corrected: 92856.0 -&gt; 92859.0 (Sugar error)</t>
  </si>
  <si>
    <t>Orig. wl restored,wn corrected (Sugar/journal error)</t>
  </si>
  <si>
    <t>Dup line deleted after this (OCR error)</t>
  </si>
  <si>
    <t>Script correction adopted (Sugar error)</t>
  </si>
  <si>
    <t>Lower: Parity corrected: e→o (likely ° misread); Upper: Parity corrected: o→e (likely ° misread); Corrections: lower_par_orig=e, upper_par_orig=o (OCR error)</t>
  </si>
  <si>
    <t>Lower: Parity corrected: e→o (likely ° misread); Corrections: lower_par_orig=e (OCR error)</t>
  </si>
  <si>
    <t>Lower: Corrected: J 11/2→13/2 (NIST); Corrections: lower_J_orig=11/2 (OCR error)</t>
  </si>
  <si>
    <t>Dup. line deleted (Sugar error)</t>
  </si>
  <si>
    <t>Unclassified line; [iter 1] Classification moved from misaligned row (Ritz σ=47976.80, Δ=0.1000) (OCR error)</t>
  </si>
  <si>
    <t>Unclassified line; [iter 1] Classification moved from misaligned row (Ritz σ=82762.65, Δ=0.1500) (OCR error)</t>
  </si>
  <si>
    <t>Unclassified line; [iter 1] Classification moved from misaligned row (Ritz σ=99435.44, Δ=0.1600) (OCR error)</t>
  </si>
  <si>
    <t>Unclassified line; [iter 1] Classification moved from misaligned row (Ritz σ=47624.54, Δ=0.0600) (Sugar error)</t>
  </si>
  <si>
    <t>Upper: Corrected: J 9/2→7/2 (NIST); Corrections: upper_J_orig=9/2 (OCR error)</t>
  </si>
  <si>
    <t>Upper class restored (OCR/script error)</t>
  </si>
  <si>
    <t>Upper: Corrected: J 0→11/2 (NIST) (OCR error)</t>
  </si>
  <si>
    <t>Script cor adopted (Sugar error)</t>
  </si>
  <si>
    <t>Orig. wl restored,wn corrected (script error)</t>
  </si>
  <si>
    <t>wn corrected: 53163.5 -&gt; 53165.5 (Sugar error)</t>
  </si>
  <si>
    <t>wn corrected: 97867.0 -&gt; 97870.0 (Sugar error)</t>
  </si>
  <si>
    <t>Sugar error</t>
  </si>
  <si>
    <t>OCR error (manual fix)</t>
  </si>
  <si>
    <t>Script error (manual fix)</t>
  </si>
  <si>
    <t>OCR error (auto-fixed)</t>
  </si>
  <si>
    <t>wl
adopted</t>
  </si>
  <si>
    <t>wn
adopted</t>
  </si>
  <si>
    <t>wn
from wl</t>
  </si>
  <si>
    <t>max allowed
wn dif</t>
  </si>
  <si>
    <t>chk
wn</t>
  </si>
  <si>
    <t>precision
wl</t>
  </si>
  <si>
    <t>precision
wn</t>
  </si>
  <si>
    <t>wn_mean</t>
  </si>
  <si>
    <t>wn from
wl_orig</t>
  </si>
  <si>
    <t>wl_mean</t>
  </si>
  <si>
    <t>wl changed: 831.265 -&gt; 831.266; wn changed: 120298.4 -&gt; 120298.5 (Sugar error, not caught by script)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</si>
</sst>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00"/>
    <numFmt numFmtId="165" formatCode="0.0"/>
    <numFmt numFmtId="166" formatCode="0.0000"/>
    <numFmt numFmtId="171" formatCode="0.0E+00"/>
  </numFmts>
  <fonts count="1" x14ac:knownFonts="1">
    <font>
      <sz val="11"/>
      <color theme="1"/>
      <name val="Calibri"/>
      <family val="2"/>
      <scheme val="minor"/>
    </font>
  </fonts>
  <fills count="5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0.79998168889431442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2">
    <xf numFmtId="0" fontId="0" fillId="0" borderId="0" xfId="0"/>
    <xf numFmtId="164" fontId="0" fillId="0" borderId="0" xfId="0" applyNumberFormat="1"/>
    <xf numFmtId="165" fontId="0" fillId="0" borderId="0" xfId="0" applyNumberFormat="1"/>
    <xf numFmtId="0" fontId="0" fillId="0" borderId="0" xfId="0" applyAlignment="1">
      <alignment wrapText="1"/>
    </xf>
    <xf numFmtId="0" fontId="0" fillId="2" borderId="0" xfId="0" applyFill="1"/>
    <xf numFmtId="164" fontId="0" fillId="2" borderId="0" xfId="0" applyNumberFormat="1" applyFill="1"/>
    <xf numFmtId="165" fontId="0" fillId="2" borderId="0" xfId="0" applyNumberFormat="1" applyFill="1"/>
    <xf numFmtId="49" fontId="0" fillId="3" borderId="0" xfId="0" applyNumberFormat="1" applyFill="1"/>
    <xf numFmtId="166" fontId="0" fillId="0" borderId="0" xfId="0" applyNumberFormat="1"/>
    <xf numFmtId="0" fontId="0" fillId="4" borderId="0" xfId="0" applyFill="1"/>
    <xf numFmtId="2" fontId="0" fillId="0" borderId="0" xfId="0" applyNumberFormat="1"/>
    <xf numFmtId="171" fontId="0" fillId="0" borderId="0" xfId="0" applyNumberForma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AE2954"/>
  <sheetViews>
    <sheetView tabSelected="1" topLeftCell="L1" workbookViewId="0">
      <pane ySplit="1" topLeftCell="A2924" activePane="bottomLeft" state="frozen"/>
      <selection pane="bottomLeft" activeCell="D2931" sqref="D2931"/>
    </sheetView>
  </sheetViews>
  <sheetFormatPr defaultRowHeight="15" x14ac:dyDescent="0.25"/>
  <cols>
    <col min="1" max="1" width="17.28515625" style="1" bestFit="1" customWidth="1"/>
    <col min="2" max="2" width="11.140625" bestFit="1" customWidth="1"/>
    <col min="3" max="3" width="16" customWidth="1"/>
    <col min="4" max="4" width="21.140625" style="2" bestFit="1" customWidth="1"/>
    <col min="5" max="5" width="16.85546875" bestFit="1" customWidth="1"/>
    <col min="6" max="6" width="14.28515625" bestFit="1" customWidth="1"/>
    <col min="7" max="7" width="9.85546875" bestFit="1" customWidth="1"/>
    <col min="8" max="8" width="16.85546875" bestFit="1" customWidth="1"/>
    <col min="9" max="9" width="14.28515625" bestFit="1" customWidth="1"/>
    <col min="10" max="10" width="9.85546875" bestFit="1" customWidth="1"/>
    <col min="11" max="12" width="24.42578125" bestFit="1" customWidth="1"/>
    <col min="13" max="13" width="7.5703125" bestFit="1" customWidth="1"/>
    <col min="14" max="14" width="66.28515625" customWidth="1"/>
    <col min="15" max="15" width="31.28515625" customWidth="1"/>
    <col min="16" max="16" width="10.85546875" customWidth="1"/>
    <col min="17" max="17" width="10.5703125" bestFit="1" customWidth="1"/>
    <col min="18" max="18" width="9" bestFit="1" customWidth="1"/>
    <col min="19" max="22" width="10.85546875" customWidth="1"/>
    <col min="23" max="23" width="12" bestFit="1" customWidth="1"/>
    <col min="24" max="24" width="12" customWidth="1"/>
    <col min="25" max="27" width="10.85546875" customWidth="1"/>
    <col min="28" max="31" width="13.42578125" customWidth="1"/>
  </cols>
  <sheetData>
    <row r="1" spans="1:31" ht="30" x14ac:dyDescent="0.25">
      <c r="A1" s="1" t="s">
        <v>0</v>
      </c>
      <c r="B1" t="s">
        <v>1</v>
      </c>
      <c r="C1" t="s">
        <v>2</v>
      </c>
      <c r="D1" s="2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  <c r="K1" t="s">
        <v>10</v>
      </c>
      <c r="L1" t="s">
        <v>11</v>
      </c>
      <c r="M1" t="s">
        <v>12</v>
      </c>
      <c r="N1" t="s">
        <v>13</v>
      </c>
      <c r="O1" t="s">
        <v>1074</v>
      </c>
      <c r="P1" t="s">
        <v>1070</v>
      </c>
      <c r="Q1" s="3" t="s">
        <v>1118</v>
      </c>
      <c r="R1" t="s">
        <v>1071</v>
      </c>
      <c r="S1" s="3" t="s">
        <v>1072</v>
      </c>
      <c r="T1" t="s">
        <v>1073</v>
      </c>
      <c r="U1" s="3" t="s">
        <v>1115</v>
      </c>
      <c r="V1" s="3" t="s">
        <v>1116</v>
      </c>
      <c r="W1" s="3" t="s">
        <v>1117</v>
      </c>
      <c r="X1" s="3" t="s">
        <v>1119</v>
      </c>
      <c r="Y1" s="3" t="s">
        <v>1110</v>
      </c>
      <c r="Z1" s="3" t="s">
        <v>1111</v>
      </c>
      <c r="AA1" s="3" t="s">
        <v>1112</v>
      </c>
      <c r="AB1" s="3" t="s">
        <v>1113</v>
      </c>
      <c r="AC1" s="3" t="s">
        <v>1114</v>
      </c>
      <c r="AD1" s="3"/>
      <c r="AE1" s="3"/>
    </row>
    <row r="2" spans="1:31" x14ac:dyDescent="0.25">
      <c r="A2" s="1" t="s">
        <v>14</v>
      </c>
      <c r="B2">
        <v>3</v>
      </c>
      <c r="D2" s="2">
        <v>47540.800000000003</v>
      </c>
      <c r="E2">
        <v>23844</v>
      </c>
      <c r="F2" t="s">
        <v>15</v>
      </c>
      <c r="G2" t="s">
        <v>16</v>
      </c>
      <c r="H2">
        <v>71385</v>
      </c>
      <c r="I2" t="s">
        <v>17</v>
      </c>
      <c r="J2" t="s">
        <v>18</v>
      </c>
      <c r="K2">
        <v>23844.58</v>
      </c>
      <c r="L2">
        <v>71385.600000000006</v>
      </c>
      <c r="M2">
        <v>1</v>
      </c>
      <c r="N2" t="s">
        <v>1099</v>
      </c>
      <c r="Y2" s="1">
        <f>ROUND($A2,3)+0</f>
        <v>2103.4549999999999</v>
      </c>
      <c r="Z2" s="2">
        <f>ROUND($D2,1)+0</f>
        <v>47540.800000000003</v>
      </c>
      <c r="AA2" s="2">
        <f>100000000/Y2</f>
        <v>47540.831631767738</v>
      </c>
      <c r="AB2" s="1">
        <f>0.0005/$Y2*AA2+0.05</f>
        <v>6.1300653361200441E-2</v>
      </c>
      <c r="AC2" s="1" t="b">
        <f>ABS(Z2-AA2)&lt;AB2</f>
        <v>1</v>
      </c>
      <c r="AD2" s="1"/>
      <c r="AE2" s="1"/>
    </row>
    <row r="3" spans="1:31" x14ac:dyDescent="0.25">
      <c r="A3" s="1" t="s">
        <v>19</v>
      </c>
      <c r="B3">
        <v>20</v>
      </c>
      <c r="D3" s="2">
        <v>47553.2</v>
      </c>
      <c r="M3">
        <v>1</v>
      </c>
      <c r="Y3" s="1">
        <f t="shared" ref="Y3:Y66" si="0">ROUND($A3,3)+0</f>
        <v>2102.9070000000002</v>
      </c>
      <c r="Z3" s="2">
        <f t="shared" ref="Z3:Z66" si="1">ROUND($D3,1)+0</f>
        <v>47553.2</v>
      </c>
      <c r="AA3" s="2">
        <f t="shared" ref="AA3:AA66" si="2">100000000/Y3</f>
        <v>47553.22037541365</v>
      </c>
      <c r="AB3" s="1">
        <f t="shared" ref="AB3:AB66" si="3">0.0005/$Y3*AA3+0.05</f>
        <v>6.1306543840363284E-2</v>
      </c>
      <c r="AC3" s="1" t="b">
        <f t="shared" ref="AC3:AC66" si="4">ABS(Z3-AA3)&lt;AB3</f>
        <v>1</v>
      </c>
    </row>
    <row r="4" spans="1:31" x14ac:dyDescent="0.25">
      <c r="A4" s="1" t="s">
        <v>20</v>
      </c>
      <c r="B4">
        <v>3</v>
      </c>
      <c r="D4" s="2">
        <v>47562.6</v>
      </c>
      <c r="M4">
        <v>1</v>
      </c>
      <c r="Y4" s="1">
        <f t="shared" si="0"/>
        <v>2102.4920000000002</v>
      </c>
      <c r="Z4" s="2">
        <f t="shared" si="1"/>
        <v>47562.6</v>
      </c>
      <c r="AA4" s="2">
        <f t="shared" si="2"/>
        <v>47562.606659145429</v>
      </c>
      <c r="AB4" s="1">
        <f t="shared" si="3"/>
        <v>6.1311007761062929E-2</v>
      </c>
      <c r="AC4" s="1" t="b">
        <f t="shared" si="4"/>
        <v>1</v>
      </c>
    </row>
    <row r="5" spans="1:31" x14ac:dyDescent="0.25">
      <c r="A5" s="1" t="s">
        <v>21</v>
      </c>
      <c r="B5">
        <v>10</v>
      </c>
      <c r="D5" s="2">
        <v>47576.5</v>
      </c>
      <c r="M5">
        <v>1</v>
      </c>
      <c r="Y5" s="1">
        <f t="shared" si="0"/>
        <v>2101.877</v>
      </c>
      <c r="Z5" s="2">
        <f t="shared" si="1"/>
        <v>47576.5</v>
      </c>
      <c r="AA5" s="2">
        <f t="shared" si="2"/>
        <v>47576.523269439647</v>
      </c>
      <c r="AB5" s="1">
        <f t="shared" si="3"/>
        <v>6.1317627832037661E-2</v>
      </c>
      <c r="AC5" s="1" t="b">
        <f t="shared" si="4"/>
        <v>1</v>
      </c>
    </row>
    <row r="6" spans="1:31" x14ac:dyDescent="0.25">
      <c r="A6" s="1" t="s">
        <v>22</v>
      </c>
      <c r="B6">
        <v>100</v>
      </c>
      <c r="D6" s="2">
        <v>47578.8</v>
      </c>
      <c r="E6">
        <v>23442</v>
      </c>
      <c r="F6" t="s">
        <v>15</v>
      </c>
      <c r="G6" t="s">
        <v>23</v>
      </c>
      <c r="H6">
        <v>71021</v>
      </c>
      <c r="I6" t="s">
        <v>17</v>
      </c>
      <c r="J6" t="s">
        <v>16</v>
      </c>
      <c r="K6">
        <v>23442.25</v>
      </c>
      <c r="L6">
        <v>71021.100000000006</v>
      </c>
      <c r="M6">
        <v>1</v>
      </c>
      <c r="Y6" s="1">
        <f t="shared" si="0"/>
        <v>2101.7779999999998</v>
      </c>
      <c r="Z6" s="2">
        <f t="shared" si="1"/>
        <v>47578.8</v>
      </c>
      <c r="AA6" s="2">
        <f t="shared" si="2"/>
        <v>47578.764265302998</v>
      </c>
      <c r="AB6" s="1">
        <f t="shared" si="3"/>
        <v>6.1318694045066374E-2</v>
      </c>
      <c r="AC6" s="1" t="b">
        <f t="shared" si="4"/>
        <v>1</v>
      </c>
    </row>
    <row r="7" spans="1:31" x14ac:dyDescent="0.25">
      <c r="A7" s="1" t="s">
        <v>24</v>
      </c>
      <c r="B7">
        <v>2</v>
      </c>
      <c r="D7" s="2">
        <v>47581.599999999999</v>
      </c>
      <c r="M7">
        <v>1</v>
      </c>
      <c r="Y7" s="1">
        <f t="shared" si="0"/>
        <v>2101.6509999999998</v>
      </c>
      <c r="Z7" s="2">
        <f t="shared" si="1"/>
        <v>47581.599999999999</v>
      </c>
      <c r="AA7" s="2">
        <f t="shared" si="2"/>
        <v>47581.639387319781</v>
      </c>
      <c r="AB7" s="1">
        <f t="shared" si="3"/>
        <v>6.1320062033924705E-2</v>
      </c>
      <c r="AC7" s="1" t="b">
        <f t="shared" si="4"/>
        <v>1</v>
      </c>
    </row>
    <row r="8" spans="1:31" x14ac:dyDescent="0.25">
      <c r="A8" s="1" t="s">
        <v>25</v>
      </c>
      <c r="B8">
        <v>5</v>
      </c>
      <c r="D8" s="2">
        <v>47620.2</v>
      </c>
      <c r="E8">
        <v>25409</v>
      </c>
      <c r="F8" t="s">
        <v>15</v>
      </c>
      <c r="G8" t="s">
        <v>18</v>
      </c>
      <c r="H8">
        <v>73029</v>
      </c>
      <c r="I8" t="s">
        <v>17</v>
      </c>
      <c r="J8" t="s">
        <v>16</v>
      </c>
      <c r="K8">
        <v>25409.74</v>
      </c>
      <c r="L8">
        <v>73029.899999999994</v>
      </c>
      <c r="M8">
        <v>1</v>
      </c>
      <c r="Y8" s="1">
        <f t="shared" si="0"/>
        <v>2099.9479999999999</v>
      </c>
      <c r="Z8" s="2">
        <f t="shared" si="1"/>
        <v>47620.2</v>
      </c>
      <c r="AA8" s="2">
        <f t="shared" si="2"/>
        <v>47620.226786568048</v>
      </c>
      <c r="AB8" s="1">
        <f t="shared" si="3"/>
        <v>6.133842999602087E-2</v>
      </c>
      <c r="AC8" s="1" t="b">
        <f t="shared" si="4"/>
        <v>1</v>
      </c>
    </row>
    <row r="9" spans="1:31" x14ac:dyDescent="0.25">
      <c r="A9" s="1" t="s">
        <v>26</v>
      </c>
      <c r="B9">
        <v>50</v>
      </c>
      <c r="D9" s="2">
        <v>47624.6</v>
      </c>
      <c r="E9">
        <v>29267</v>
      </c>
      <c r="F9" t="s">
        <v>15</v>
      </c>
      <c r="G9" t="s">
        <v>28</v>
      </c>
      <c r="H9">
        <v>76892</v>
      </c>
      <c r="I9" t="s">
        <v>17</v>
      </c>
      <c r="J9" t="s">
        <v>29</v>
      </c>
      <c r="K9">
        <v>29267.86</v>
      </c>
      <c r="L9">
        <v>76892.399999999994</v>
      </c>
      <c r="M9">
        <v>1</v>
      </c>
      <c r="N9" t="s">
        <v>1098</v>
      </c>
      <c r="O9" s="4" t="s">
        <v>1094</v>
      </c>
      <c r="Y9" s="1">
        <f t="shared" si="0"/>
        <v>2099.7570000000001</v>
      </c>
      <c r="Z9" s="2">
        <f t="shared" si="1"/>
        <v>47624.6</v>
      </c>
      <c r="AA9" s="2">
        <f t="shared" si="2"/>
        <v>47624.558460812368</v>
      </c>
      <c r="AB9" s="1">
        <f t="shared" si="3"/>
        <v>6.1340492842936675E-2</v>
      </c>
      <c r="AC9" s="1" t="b">
        <f t="shared" si="4"/>
        <v>1</v>
      </c>
    </row>
    <row r="10" spans="1:31" x14ac:dyDescent="0.25">
      <c r="A10" s="1" t="s">
        <v>30</v>
      </c>
      <c r="B10">
        <v>200</v>
      </c>
      <c r="D10" s="2">
        <v>47632.6</v>
      </c>
      <c r="E10">
        <v>16135</v>
      </c>
      <c r="F10" t="s">
        <v>15</v>
      </c>
      <c r="G10" t="s">
        <v>18</v>
      </c>
      <c r="H10">
        <v>63768</v>
      </c>
      <c r="I10" t="s">
        <v>17</v>
      </c>
      <c r="J10" t="s">
        <v>18</v>
      </c>
      <c r="K10">
        <v>16135.97</v>
      </c>
      <c r="L10">
        <v>63768.66</v>
      </c>
      <c r="M10">
        <v>1</v>
      </c>
      <c r="Y10" s="1">
        <f t="shared" si="0"/>
        <v>2099.402</v>
      </c>
      <c r="Z10" s="2">
        <f t="shared" si="1"/>
        <v>47632.6</v>
      </c>
      <c r="AA10" s="2">
        <f t="shared" si="2"/>
        <v>47632.611572247719</v>
      </c>
      <c r="AB10" s="1">
        <f t="shared" si="3"/>
        <v>6.1344328425963136E-2</v>
      </c>
      <c r="AC10" s="1" t="b">
        <f t="shared" si="4"/>
        <v>1</v>
      </c>
    </row>
    <row r="11" spans="1:31" x14ac:dyDescent="0.25">
      <c r="A11" s="1" t="s">
        <v>31</v>
      </c>
      <c r="B11">
        <v>3</v>
      </c>
      <c r="D11" s="2">
        <v>47642.3</v>
      </c>
      <c r="M11">
        <v>1</v>
      </c>
      <c r="Y11" s="1">
        <f t="shared" si="0"/>
        <v>2098.9740000000002</v>
      </c>
      <c r="Z11" s="2">
        <f t="shared" si="1"/>
        <v>47642.3</v>
      </c>
      <c r="AA11" s="2">
        <f t="shared" si="2"/>
        <v>47642.3242974901</v>
      </c>
      <c r="AB11" s="1">
        <f t="shared" si="3"/>
        <v>6.1348955322336085E-2</v>
      </c>
      <c r="AC11" s="1" t="b">
        <f t="shared" si="4"/>
        <v>1</v>
      </c>
    </row>
    <row r="12" spans="1:31" x14ac:dyDescent="0.25">
      <c r="A12" s="1" t="s">
        <v>32</v>
      </c>
      <c r="B12">
        <v>20</v>
      </c>
      <c r="D12" s="2">
        <v>47643.9</v>
      </c>
      <c r="E12">
        <v>20848</v>
      </c>
      <c r="F12" t="s">
        <v>15</v>
      </c>
      <c r="G12" t="s">
        <v>28</v>
      </c>
      <c r="H12">
        <v>68492</v>
      </c>
      <c r="I12" t="s">
        <v>17</v>
      </c>
      <c r="J12" t="s">
        <v>18</v>
      </c>
      <c r="K12">
        <v>20848.39</v>
      </c>
      <c r="L12">
        <v>68492.429999999993</v>
      </c>
      <c r="M12">
        <v>1</v>
      </c>
      <c r="Y12" s="1">
        <f t="shared" si="0"/>
        <v>2098.9029999999998</v>
      </c>
      <c r="Z12" s="2">
        <f t="shared" si="1"/>
        <v>47643.9</v>
      </c>
      <c r="AA12" s="2">
        <f t="shared" si="2"/>
        <v>47643.935903660153</v>
      </c>
      <c r="AB12" s="1">
        <f t="shared" si="3"/>
        <v>6.134972314196039E-2</v>
      </c>
      <c r="AC12" s="1" t="b">
        <f t="shared" si="4"/>
        <v>1</v>
      </c>
    </row>
    <row r="13" spans="1:31" x14ac:dyDescent="0.25">
      <c r="A13" s="1" t="s">
        <v>33</v>
      </c>
      <c r="B13">
        <v>100</v>
      </c>
      <c r="D13" s="2">
        <v>47652.6</v>
      </c>
      <c r="E13">
        <v>21755</v>
      </c>
      <c r="F13" t="s">
        <v>15</v>
      </c>
      <c r="G13" t="s">
        <v>23</v>
      </c>
      <c r="H13">
        <v>69408</v>
      </c>
      <c r="I13" t="s">
        <v>17</v>
      </c>
      <c r="J13" t="s">
        <v>23</v>
      </c>
      <c r="K13">
        <v>21755.84</v>
      </c>
      <c r="L13">
        <v>69408.509999999995</v>
      </c>
      <c r="M13">
        <v>1</v>
      </c>
      <c r="Y13" s="1">
        <f t="shared" si="0"/>
        <v>2098.5230000000001</v>
      </c>
      <c r="Z13" s="2">
        <f t="shared" si="1"/>
        <v>47652.6</v>
      </c>
      <c r="AA13" s="2">
        <f t="shared" si="2"/>
        <v>47652.563255203779</v>
      </c>
      <c r="AB13" s="1">
        <f t="shared" si="3"/>
        <v>6.1353833923955992E-2</v>
      </c>
      <c r="AC13" s="1" t="b">
        <f t="shared" si="4"/>
        <v>1</v>
      </c>
    </row>
    <row r="14" spans="1:31" x14ac:dyDescent="0.25">
      <c r="A14" s="1" t="s">
        <v>34</v>
      </c>
      <c r="B14">
        <v>5</v>
      </c>
      <c r="D14" s="2">
        <v>47658.2</v>
      </c>
      <c r="E14">
        <v>26446</v>
      </c>
      <c r="F14" t="s">
        <v>15</v>
      </c>
      <c r="G14" t="s">
        <v>18</v>
      </c>
      <c r="H14">
        <v>74105</v>
      </c>
      <c r="I14" t="s">
        <v>17</v>
      </c>
      <c r="J14" t="s">
        <v>28</v>
      </c>
      <c r="K14">
        <v>26446.97</v>
      </c>
      <c r="L14">
        <v>74105.2</v>
      </c>
      <c r="M14">
        <v>1</v>
      </c>
      <c r="Y14" s="1">
        <f t="shared" si="0"/>
        <v>2098.2750000000001</v>
      </c>
      <c r="Z14" s="2">
        <f t="shared" si="1"/>
        <v>47658.2</v>
      </c>
      <c r="AA14" s="2">
        <f t="shared" si="2"/>
        <v>47658.195422430326</v>
      </c>
      <c r="AB14" s="1">
        <f t="shared" si="3"/>
        <v>6.1356517954612798E-2</v>
      </c>
      <c r="AC14" s="1" t="b">
        <f t="shared" si="4"/>
        <v>1</v>
      </c>
    </row>
    <row r="15" spans="1:31" x14ac:dyDescent="0.25">
      <c r="A15" s="1" t="s">
        <v>35</v>
      </c>
      <c r="B15">
        <v>100</v>
      </c>
      <c r="D15" s="2">
        <v>47668.800000000003</v>
      </c>
      <c r="E15">
        <v>17627</v>
      </c>
      <c r="F15" t="s">
        <v>15</v>
      </c>
      <c r="G15" t="s">
        <v>16</v>
      </c>
      <c r="H15">
        <v>65295</v>
      </c>
      <c r="I15" t="s">
        <v>17</v>
      </c>
      <c r="J15" t="s">
        <v>18</v>
      </c>
      <c r="K15">
        <v>17627</v>
      </c>
      <c r="L15">
        <v>65295.9</v>
      </c>
      <c r="M15">
        <v>1</v>
      </c>
      <c r="Y15" s="1">
        <f t="shared" si="0"/>
        <v>2097.806</v>
      </c>
      <c r="Z15" s="2">
        <f t="shared" si="1"/>
        <v>47668.800000000003</v>
      </c>
      <c r="AA15" s="2">
        <f t="shared" si="2"/>
        <v>47668.850217798972</v>
      </c>
      <c r="AB15" s="1">
        <f t="shared" si="3"/>
        <v>6.1361596405434773E-2</v>
      </c>
      <c r="AC15" s="1" t="b">
        <f t="shared" si="4"/>
        <v>1</v>
      </c>
    </row>
    <row r="16" spans="1:31" x14ac:dyDescent="0.25">
      <c r="A16" s="1" t="s">
        <v>36</v>
      </c>
      <c r="B16">
        <v>1000</v>
      </c>
      <c r="D16" s="2">
        <v>47673.5</v>
      </c>
      <c r="E16">
        <v>12846</v>
      </c>
      <c r="F16" t="s">
        <v>15</v>
      </c>
      <c r="G16" t="s">
        <v>16</v>
      </c>
      <c r="H16">
        <v>60520</v>
      </c>
      <c r="I16" t="s">
        <v>17</v>
      </c>
      <c r="J16" t="s">
        <v>18</v>
      </c>
      <c r="K16">
        <v>12846.66</v>
      </c>
      <c r="L16">
        <v>60520.32</v>
      </c>
      <c r="M16">
        <v>1</v>
      </c>
      <c r="Y16" s="1">
        <f t="shared" si="0"/>
        <v>2097.6010000000001</v>
      </c>
      <c r="Z16" s="2">
        <f t="shared" si="1"/>
        <v>47673.5</v>
      </c>
      <c r="AA16" s="2">
        <f t="shared" si="2"/>
        <v>47673.508927579649</v>
      </c>
      <c r="AB16" s="1">
        <f t="shared" si="3"/>
        <v>6.1363817267340082E-2</v>
      </c>
      <c r="AC16" s="1" t="b">
        <f t="shared" si="4"/>
        <v>1</v>
      </c>
    </row>
    <row r="17" spans="1:29" x14ac:dyDescent="0.25">
      <c r="A17" s="1" t="s">
        <v>37</v>
      </c>
      <c r="B17">
        <v>500</v>
      </c>
      <c r="D17" s="2">
        <v>47675.5</v>
      </c>
      <c r="E17">
        <v>14859</v>
      </c>
      <c r="F17" t="s">
        <v>15</v>
      </c>
      <c r="G17" t="s">
        <v>23</v>
      </c>
      <c r="H17">
        <v>62535</v>
      </c>
      <c r="I17" t="s">
        <v>17</v>
      </c>
      <c r="J17" t="s">
        <v>16</v>
      </c>
      <c r="K17">
        <v>14859.96</v>
      </c>
      <c r="L17">
        <v>62535.62</v>
      </c>
      <c r="M17">
        <v>1</v>
      </c>
      <c r="Y17" s="1">
        <f t="shared" si="0"/>
        <v>2097.5129999999999</v>
      </c>
      <c r="Z17" s="2">
        <f t="shared" si="1"/>
        <v>47675.5</v>
      </c>
      <c r="AA17" s="2">
        <f t="shared" si="2"/>
        <v>47675.509043328937</v>
      </c>
      <c r="AB17" s="1">
        <f t="shared" si="3"/>
        <v>6.1364770812702696E-2</v>
      </c>
      <c r="AC17" s="1" t="b">
        <f t="shared" si="4"/>
        <v>1</v>
      </c>
    </row>
    <row r="18" spans="1:29" x14ac:dyDescent="0.25">
      <c r="A18" s="1" t="s">
        <v>38</v>
      </c>
      <c r="B18">
        <v>20</v>
      </c>
      <c r="D18" s="2">
        <v>47680.7</v>
      </c>
      <c r="E18">
        <v>18241</v>
      </c>
      <c r="F18" t="s">
        <v>15</v>
      </c>
      <c r="G18" t="s">
        <v>23</v>
      </c>
      <c r="H18">
        <v>65922</v>
      </c>
      <c r="I18" t="s">
        <v>17</v>
      </c>
      <c r="J18" t="s">
        <v>23</v>
      </c>
      <c r="K18">
        <v>18241.54</v>
      </c>
      <c r="L18">
        <v>65922.42</v>
      </c>
      <c r="M18">
        <v>1</v>
      </c>
      <c r="Y18" s="1">
        <f t="shared" si="0"/>
        <v>2097.2840000000001</v>
      </c>
      <c r="Z18" s="2">
        <f t="shared" si="1"/>
        <v>47680.7</v>
      </c>
      <c r="AA18" s="2">
        <f t="shared" si="2"/>
        <v>47680.714676696145</v>
      </c>
      <c r="AB18" s="1">
        <f t="shared" si="3"/>
        <v>6.1367252760402537E-2</v>
      </c>
      <c r="AC18" s="1" t="b">
        <f t="shared" si="4"/>
        <v>1</v>
      </c>
    </row>
    <row r="19" spans="1:29" x14ac:dyDescent="0.25">
      <c r="A19" s="1" t="s">
        <v>39</v>
      </c>
      <c r="B19">
        <v>100</v>
      </c>
      <c r="D19" s="2">
        <v>47681.8</v>
      </c>
      <c r="E19">
        <v>14558</v>
      </c>
      <c r="F19" t="s">
        <v>15</v>
      </c>
      <c r="G19" t="s">
        <v>16</v>
      </c>
      <c r="H19">
        <v>62240</v>
      </c>
      <c r="I19" t="s">
        <v>17</v>
      </c>
      <c r="J19" t="s">
        <v>23</v>
      </c>
      <c r="K19">
        <v>14558.82</v>
      </c>
      <c r="L19">
        <v>62240.83</v>
      </c>
      <c r="M19">
        <v>1</v>
      </c>
      <c r="Y19" s="1">
        <f t="shared" si="0"/>
        <v>2097.2339999999999</v>
      </c>
      <c r="Z19" s="2">
        <f t="shared" si="1"/>
        <v>47681.8</v>
      </c>
      <c r="AA19" s="2">
        <f t="shared" si="2"/>
        <v>47681.851429072769</v>
      </c>
      <c r="AB19" s="1">
        <f t="shared" si="3"/>
        <v>6.1367794778520848E-2</v>
      </c>
      <c r="AC19" s="1" t="b">
        <f t="shared" si="4"/>
        <v>1</v>
      </c>
    </row>
    <row r="20" spans="1:29" x14ac:dyDescent="0.25">
      <c r="A20" s="1" t="s">
        <v>40</v>
      </c>
      <c r="B20">
        <v>40</v>
      </c>
      <c r="D20" s="2">
        <v>47683.5</v>
      </c>
      <c r="E20">
        <v>21294</v>
      </c>
      <c r="F20" t="s">
        <v>15</v>
      </c>
      <c r="G20" t="s">
        <v>18</v>
      </c>
      <c r="H20">
        <v>68978</v>
      </c>
      <c r="I20" t="s">
        <v>17</v>
      </c>
      <c r="J20" t="s">
        <v>28</v>
      </c>
      <c r="K20">
        <v>21294.89</v>
      </c>
      <c r="L20">
        <v>68978.55</v>
      </c>
      <c r="M20">
        <v>1</v>
      </c>
      <c r="Y20" s="1">
        <f t="shared" si="0"/>
        <v>2097.16</v>
      </c>
      <c r="Z20" s="2">
        <f t="shared" si="1"/>
        <v>47683.5</v>
      </c>
      <c r="AA20" s="2">
        <f t="shared" si="2"/>
        <v>47683.533922066039</v>
      </c>
      <c r="AB20" s="1">
        <f t="shared" si="3"/>
        <v>6.1368597036484118E-2</v>
      </c>
      <c r="AC20" s="1" t="b">
        <f t="shared" si="4"/>
        <v>1</v>
      </c>
    </row>
    <row r="21" spans="1:29" x14ac:dyDescent="0.25">
      <c r="A21" s="1" t="s">
        <v>41</v>
      </c>
      <c r="B21">
        <v>5</v>
      </c>
      <c r="D21" s="2">
        <v>47685.5</v>
      </c>
      <c r="E21">
        <v>24309</v>
      </c>
      <c r="F21" t="s">
        <v>15</v>
      </c>
      <c r="G21" t="s">
        <v>29</v>
      </c>
      <c r="H21">
        <v>71994</v>
      </c>
      <c r="I21" t="s">
        <v>17</v>
      </c>
      <c r="J21" t="s">
        <v>28</v>
      </c>
      <c r="K21">
        <v>24309.200000000001</v>
      </c>
      <c r="L21">
        <v>71994.81</v>
      </c>
      <c r="M21">
        <v>1</v>
      </c>
      <c r="Y21" s="1">
        <f t="shared" si="0"/>
        <v>2097.0749999999998</v>
      </c>
      <c r="Z21" s="2">
        <f t="shared" si="1"/>
        <v>47685.5</v>
      </c>
      <c r="AA21" s="2">
        <f t="shared" si="2"/>
        <v>47685.466661898121</v>
      </c>
      <c r="AB21" s="1">
        <f t="shared" si="3"/>
        <v>6.1369518653814986E-2</v>
      </c>
      <c r="AC21" s="1" t="b">
        <f t="shared" si="4"/>
        <v>1</v>
      </c>
    </row>
    <row r="22" spans="1:29" x14ac:dyDescent="0.25">
      <c r="A22" s="1" t="s">
        <v>42</v>
      </c>
      <c r="B22">
        <v>5</v>
      </c>
      <c r="D22" s="2">
        <v>47687.5</v>
      </c>
      <c r="M22">
        <v>1</v>
      </c>
      <c r="Y22" s="1">
        <f t="shared" si="0"/>
        <v>2096.9850000000001</v>
      </c>
      <c r="Z22" s="2">
        <f t="shared" si="1"/>
        <v>47687.5</v>
      </c>
      <c r="AA22" s="2">
        <f t="shared" si="2"/>
        <v>47687.513263089626</v>
      </c>
      <c r="AB22" s="1">
        <f t="shared" si="3"/>
        <v>6.1370494606086748E-2</v>
      </c>
      <c r="AC22" s="1" t="b">
        <f t="shared" si="4"/>
        <v>1</v>
      </c>
    </row>
    <row r="23" spans="1:29" x14ac:dyDescent="0.25">
      <c r="A23" s="1" t="s">
        <v>43</v>
      </c>
      <c r="B23">
        <v>5</v>
      </c>
      <c r="D23" s="2">
        <v>47689.7</v>
      </c>
      <c r="E23">
        <v>27604</v>
      </c>
      <c r="F23" t="s">
        <v>15</v>
      </c>
      <c r="G23" t="s">
        <v>16</v>
      </c>
      <c r="H23">
        <v>75294</v>
      </c>
      <c r="I23" t="s">
        <v>17</v>
      </c>
      <c r="J23" t="s">
        <v>18</v>
      </c>
      <c r="K23">
        <v>27604.26</v>
      </c>
      <c r="L23">
        <v>75294</v>
      </c>
      <c r="M23">
        <v>1</v>
      </c>
      <c r="Y23" s="1">
        <f t="shared" si="0"/>
        <v>2096.89</v>
      </c>
      <c r="Z23" s="2">
        <f t="shared" si="1"/>
        <v>47689.7</v>
      </c>
      <c r="AA23" s="2">
        <f t="shared" si="2"/>
        <v>47689.673754941847</v>
      </c>
      <c r="AB23" s="1">
        <f t="shared" si="3"/>
        <v>6.1371524914263946E-2</v>
      </c>
      <c r="AC23" s="1" t="b">
        <f t="shared" si="4"/>
        <v>1</v>
      </c>
    </row>
    <row r="24" spans="1:29" x14ac:dyDescent="0.25">
      <c r="A24" s="1" t="s">
        <v>44</v>
      </c>
      <c r="B24">
        <v>200</v>
      </c>
      <c r="D24" s="2">
        <v>47691</v>
      </c>
      <c r="E24">
        <v>18990</v>
      </c>
      <c r="F24" t="s">
        <v>15</v>
      </c>
      <c r="G24" t="s">
        <v>18</v>
      </c>
      <c r="H24">
        <v>66681</v>
      </c>
      <c r="I24" t="s">
        <v>17</v>
      </c>
      <c r="J24" t="s">
        <v>28</v>
      </c>
      <c r="K24">
        <v>18990.080000000002</v>
      </c>
      <c r="L24">
        <v>66681.14</v>
      </c>
      <c r="M24">
        <v>1</v>
      </c>
      <c r="Y24" s="1">
        <f t="shared" si="0"/>
        <v>2096.8319999999999</v>
      </c>
      <c r="Z24" s="2">
        <f t="shared" si="1"/>
        <v>47691</v>
      </c>
      <c r="AA24" s="2">
        <f t="shared" si="2"/>
        <v>47690.992888319146</v>
      </c>
      <c r="AB24" s="1">
        <f t="shared" si="3"/>
        <v>6.1372154013368541E-2</v>
      </c>
      <c r="AC24" s="1" t="b">
        <f t="shared" si="4"/>
        <v>1</v>
      </c>
    </row>
    <row r="25" spans="1:29" x14ac:dyDescent="0.25">
      <c r="A25" s="1" t="s">
        <v>45</v>
      </c>
      <c r="B25">
        <v>6</v>
      </c>
      <c r="D25" s="2">
        <v>47692</v>
      </c>
      <c r="E25">
        <v>21294</v>
      </c>
      <c r="F25" t="s">
        <v>15</v>
      </c>
      <c r="G25" t="s">
        <v>18</v>
      </c>
      <c r="H25">
        <v>68987</v>
      </c>
      <c r="I25" t="s">
        <v>17</v>
      </c>
      <c r="J25" t="s">
        <v>18</v>
      </c>
      <c r="K25">
        <v>21294.89</v>
      </c>
      <c r="L25">
        <v>68987.070000000007</v>
      </c>
      <c r="M25">
        <v>1</v>
      </c>
      <c r="Y25" s="1">
        <f t="shared" si="0"/>
        <v>2096.7869999999998</v>
      </c>
      <c r="Z25" s="2">
        <f t="shared" si="1"/>
        <v>47692</v>
      </c>
      <c r="AA25" s="2">
        <f t="shared" si="2"/>
        <v>47692.016404145965</v>
      </c>
      <c r="AB25" s="1">
        <f t="shared" si="3"/>
        <v>6.1372642143466639E-2</v>
      </c>
      <c r="AC25" s="1" t="b">
        <f t="shared" si="4"/>
        <v>1</v>
      </c>
    </row>
    <row r="26" spans="1:29" x14ac:dyDescent="0.25">
      <c r="A26" s="1" t="s">
        <v>46</v>
      </c>
      <c r="B26">
        <v>400</v>
      </c>
      <c r="D26" s="2">
        <v>47698.6</v>
      </c>
      <c r="E26">
        <v>14859</v>
      </c>
      <c r="F26" t="s">
        <v>15</v>
      </c>
      <c r="G26" t="s">
        <v>23</v>
      </c>
      <c r="H26">
        <v>62558</v>
      </c>
      <c r="I26" t="s">
        <v>17</v>
      </c>
      <c r="J26" t="s">
        <v>23</v>
      </c>
      <c r="K26">
        <v>14859.96</v>
      </c>
      <c r="L26">
        <v>62558.67</v>
      </c>
      <c r="M26">
        <v>1</v>
      </c>
      <c r="Y26" s="1">
        <f t="shared" si="0"/>
        <v>2096.4960000000001</v>
      </c>
      <c r="Z26" s="2">
        <f t="shared" si="1"/>
        <v>47698.6</v>
      </c>
      <c r="AA26" s="2">
        <f t="shared" si="2"/>
        <v>47698.636200593748</v>
      </c>
      <c r="AB26" s="1">
        <f t="shared" si="3"/>
        <v>6.1375799476982962E-2</v>
      </c>
      <c r="AC26" s="1" t="b">
        <f t="shared" si="4"/>
        <v>1</v>
      </c>
    </row>
    <row r="27" spans="1:29" x14ac:dyDescent="0.25">
      <c r="A27" s="1" t="s">
        <v>47</v>
      </c>
      <c r="B27">
        <v>20</v>
      </c>
      <c r="D27" s="2">
        <v>47733.8</v>
      </c>
      <c r="E27">
        <v>23651</v>
      </c>
      <c r="F27" t="s">
        <v>15</v>
      </c>
      <c r="G27" t="s">
        <v>18</v>
      </c>
      <c r="H27">
        <v>71385</v>
      </c>
      <c r="I27" t="s">
        <v>17</v>
      </c>
      <c r="J27" t="s">
        <v>18</v>
      </c>
      <c r="K27">
        <v>23651.88</v>
      </c>
      <c r="L27">
        <v>71385.600000000006</v>
      </c>
      <c r="M27">
        <v>1</v>
      </c>
      <c r="Y27" s="1">
        <f t="shared" si="0"/>
        <v>2094.953</v>
      </c>
      <c r="Z27" s="2">
        <f t="shared" si="1"/>
        <v>47733.8</v>
      </c>
      <c r="AA27" s="2">
        <f t="shared" si="2"/>
        <v>47733.767774265107</v>
      </c>
      <c r="AB27" s="1">
        <f t="shared" si="3"/>
        <v>6.1392562929637351E-2</v>
      </c>
      <c r="AC27" s="1" t="b">
        <f t="shared" si="4"/>
        <v>1</v>
      </c>
    </row>
    <row r="28" spans="1:29" x14ac:dyDescent="0.25">
      <c r="A28" s="1" t="s">
        <v>48</v>
      </c>
      <c r="B28">
        <v>400</v>
      </c>
      <c r="D28" s="2">
        <v>47740.1</v>
      </c>
      <c r="E28">
        <v>19308</v>
      </c>
      <c r="F28" t="s">
        <v>15</v>
      </c>
      <c r="G28" t="s">
        <v>23</v>
      </c>
      <c r="H28">
        <v>67049</v>
      </c>
      <c r="I28" t="s">
        <v>17</v>
      </c>
      <c r="J28" t="s">
        <v>16</v>
      </c>
      <c r="K28">
        <v>19308.93</v>
      </c>
      <c r="L28">
        <v>67049.179999999993</v>
      </c>
      <c r="M28">
        <v>1</v>
      </c>
      <c r="Y28" s="1">
        <f t="shared" si="0"/>
        <v>2094.6759999999999</v>
      </c>
      <c r="Z28" s="2">
        <f t="shared" si="1"/>
        <v>47740.1</v>
      </c>
      <c r="AA28" s="2">
        <f t="shared" si="2"/>
        <v>47740.080088758361</v>
      </c>
      <c r="AB28" s="1">
        <f t="shared" si="3"/>
        <v>6.1395576234405315E-2</v>
      </c>
      <c r="AC28" s="1" t="b">
        <f t="shared" si="4"/>
        <v>1</v>
      </c>
    </row>
    <row r="29" spans="1:29" x14ac:dyDescent="0.25">
      <c r="A29" s="1" t="s">
        <v>49</v>
      </c>
      <c r="B29">
        <v>4000</v>
      </c>
      <c r="D29" s="2">
        <v>47752</v>
      </c>
      <c r="E29">
        <v>17113</v>
      </c>
      <c r="F29" t="s">
        <v>15</v>
      </c>
      <c r="G29" t="s">
        <v>50</v>
      </c>
      <c r="H29">
        <v>64865</v>
      </c>
      <c r="I29" t="s">
        <v>17</v>
      </c>
      <c r="J29" t="s">
        <v>23</v>
      </c>
      <c r="K29">
        <v>17113.189999999999</v>
      </c>
      <c r="L29">
        <v>64865.15</v>
      </c>
      <c r="M29">
        <v>1</v>
      </c>
      <c r="Y29" s="1">
        <f t="shared" si="0"/>
        <v>2094.1550000000002</v>
      </c>
      <c r="Z29" s="2">
        <f t="shared" si="1"/>
        <v>47752</v>
      </c>
      <c r="AA29" s="2">
        <f t="shared" si="2"/>
        <v>47751.957233347101</v>
      </c>
      <c r="AB29" s="1">
        <f t="shared" si="3"/>
        <v>6.1401247098077052E-2</v>
      </c>
      <c r="AC29" s="1" t="b">
        <f t="shared" si="4"/>
        <v>1</v>
      </c>
    </row>
    <row r="30" spans="1:29" x14ac:dyDescent="0.25">
      <c r="A30" s="1" t="s">
        <v>51</v>
      </c>
      <c r="B30">
        <v>5</v>
      </c>
      <c r="D30" s="2">
        <v>47757.599999999999</v>
      </c>
      <c r="M30">
        <v>1</v>
      </c>
      <c r="Y30" s="1">
        <f t="shared" si="0"/>
        <v>2093.9090000000001</v>
      </c>
      <c r="Z30" s="2">
        <f t="shared" si="1"/>
        <v>47757.599999999999</v>
      </c>
      <c r="AA30" s="2">
        <f t="shared" si="2"/>
        <v>47757.567305933539</v>
      </c>
      <c r="AB30" s="1">
        <f t="shared" si="3"/>
        <v>6.1403926174903867E-2</v>
      </c>
      <c r="AC30" s="1" t="b">
        <f t="shared" si="4"/>
        <v>1</v>
      </c>
    </row>
    <row r="31" spans="1:29" x14ac:dyDescent="0.25">
      <c r="A31" s="1" t="s">
        <v>52</v>
      </c>
      <c r="B31">
        <v>40</v>
      </c>
      <c r="D31" s="2">
        <v>47768.6</v>
      </c>
      <c r="M31">
        <v>1</v>
      </c>
      <c r="Y31" s="1">
        <f t="shared" si="0"/>
        <v>2093.424</v>
      </c>
      <c r="Z31" s="2">
        <f t="shared" si="1"/>
        <v>47768.6</v>
      </c>
      <c r="AA31" s="2">
        <f t="shared" si="2"/>
        <v>47768.631677099336</v>
      </c>
      <c r="AB31" s="1">
        <f t="shared" si="3"/>
        <v>6.1409210861511895E-2</v>
      </c>
      <c r="AC31" s="1" t="b">
        <f t="shared" si="4"/>
        <v>1</v>
      </c>
    </row>
    <row r="32" spans="1:29" x14ac:dyDescent="0.25">
      <c r="A32" s="1" t="s">
        <v>53</v>
      </c>
      <c r="B32">
        <v>10</v>
      </c>
      <c r="D32" s="2">
        <v>47789.5</v>
      </c>
      <c r="M32">
        <v>1</v>
      </c>
      <c r="Y32" s="1">
        <f t="shared" si="0"/>
        <v>2092.509</v>
      </c>
      <c r="Z32" s="2">
        <f t="shared" si="1"/>
        <v>47789.5</v>
      </c>
      <c r="AA32" s="2">
        <f t="shared" si="2"/>
        <v>47789.519662758918</v>
      </c>
      <c r="AB32" s="1">
        <f t="shared" si="3"/>
        <v>6.1419190947986112E-2</v>
      </c>
      <c r="AC32" s="1" t="b">
        <f t="shared" si="4"/>
        <v>1</v>
      </c>
    </row>
    <row r="33" spans="1:29" x14ac:dyDescent="0.25">
      <c r="A33" s="1" t="s">
        <v>54</v>
      </c>
      <c r="B33">
        <v>30</v>
      </c>
      <c r="D33" s="2">
        <v>47805.1</v>
      </c>
      <c r="E33">
        <v>20160</v>
      </c>
      <c r="F33" t="s">
        <v>15</v>
      </c>
      <c r="G33" t="s">
        <v>29</v>
      </c>
      <c r="H33">
        <v>67965</v>
      </c>
      <c r="I33" t="s">
        <v>17</v>
      </c>
      <c r="J33" t="s">
        <v>29</v>
      </c>
      <c r="K33">
        <v>20160.36</v>
      </c>
      <c r="L33">
        <v>67965.47</v>
      </c>
      <c r="M33">
        <v>1</v>
      </c>
      <c r="Y33" s="1">
        <f t="shared" si="0"/>
        <v>2091.826</v>
      </c>
      <c r="Z33" s="2">
        <f t="shared" si="1"/>
        <v>47805.1</v>
      </c>
      <c r="AA33" s="2">
        <f t="shared" si="2"/>
        <v>47805.123370681882</v>
      </c>
      <c r="AB33" s="1">
        <f t="shared" si="3"/>
        <v>6.1426649102430578E-2</v>
      </c>
      <c r="AC33" s="1" t="b">
        <f t="shared" si="4"/>
        <v>1</v>
      </c>
    </row>
    <row r="34" spans="1:29" x14ac:dyDescent="0.25">
      <c r="A34" s="1" t="s">
        <v>55</v>
      </c>
      <c r="B34">
        <v>20</v>
      </c>
      <c r="D34" s="2">
        <v>47806.7</v>
      </c>
      <c r="E34">
        <v>19872</v>
      </c>
      <c r="F34" t="s">
        <v>15</v>
      </c>
      <c r="G34" t="s">
        <v>18</v>
      </c>
      <c r="H34">
        <v>67679</v>
      </c>
      <c r="I34" t="s">
        <v>17</v>
      </c>
      <c r="J34" t="s">
        <v>18</v>
      </c>
      <c r="K34">
        <v>19872.43</v>
      </c>
      <c r="L34">
        <v>67679.210000000006</v>
      </c>
      <c r="M34">
        <v>1</v>
      </c>
      <c r="Y34" s="1">
        <f t="shared" si="0"/>
        <v>2091.7579999999998</v>
      </c>
      <c r="Z34" s="2">
        <f t="shared" si="1"/>
        <v>47806.7</v>
      </c>
      <c r="AA34" s="2">
        <f t="shared" si="2"/>
        <v>47806.677445478876</v>
      </c>
      <c r="AB34" s="1">
        <f t="shared" si="3"/>
        <v>6.1427392041880295E-2</v>
      </c>
      <c r="AC34" s="1" t="b">
        <f t="shared" si="4"/>
        <v>1</v>
      </c>
    </row>
    <row r="35" spans="1:29" x14ac:dyDescent="0.25">
      <c r="A35" s="1" t="s">
        <v>56</v>
      </c>
      <c r="B35">
        <v>4000</v>
      </c>
      <c r="D35" s="2">
        <v>47814.6</v>
      </c>
      <c r="E35">
        <v>18921</v>
      </c>
      <c r="F35" t="s">
        <v>15</v>
      </c>
      <c r="G35" t="s">
        <v>57</v>
      </c>
      <c r="H35">
        <v>66735</v>
      </c>
      <c r="I35" t="s">
        <v>17</v>
      </c>
      <c r="J35" t="s">
        <v>50</v>
      </c>
      <c r="K35">
        <v>18921.240000000002</v>
      </c>
      <c r="L35">
        <v>66735.88</v>
      </c>
      <c r="M35">
        <v>1</v>
      </c>
      <c r="Y35" s="1">
        <f t="shared" si="0"/>
        <v>2091.4110000000001</v>
      </c>
      <c r="Z35" s="2">
        <f t="shared" si="1"/>
        <v>47814.6</v>
      </c>
      <c r="AA35" s="2">
        <f t="shared" si="2"/>
        <v>47814.609371376551</v>
      </c>
      <c r="AB35" s="1">
        <f t="shared" si="3"/>
        <v>6.1431184346686651E-2</v>
      </c>
      <c r="AC35" s="1" t="b">
        <f t="shared" si="4"/>
        <v>1</v>
      </c>
    </row>
    <row r="36" spans="1:29" x14ac:dyDescent="0.25">
      <c r="A36" s="1" t="s">
        <v>58</v>
      </c>
      <c r="B36">
        <v>100</v>
      </c>
      <c r="D36" s="2">
        <v>47818.6</v>
      </c>
      <c r="E36">
        <v>14859</v>
      </c>
      <c r="F36" t="s">
        <v>15</v>
      </c>
      <c r="G36" t="s">
        <v>23</v>
      </c>
      <c r="H36">
        <v>62678</v>
      </c>
      <c r="I36" t="s">
        <v>17</v>
      </c>
      <c r="J36" t="s">
        <v>50</v>
      </c>
      <c r="K36">
        <v>14859.96</v>
      </c>
      <c r="L36">
        <v>62678.7</v>
      </c>
      <c r="M36">
        <v>1</v>
      </c>
      <c r="Y36" s="1">
        <f t="shared" si="0"/>
        <v>2091.2379999999998</v>
      </c>
      <c r="Z36" s="2">
        <f t="shared" si="1"/>
        <v>47818.6</v>
      </c>
      <c r="AA36" s="2">
        <f t="shared" si="2"/>
        <v>47818.564888358</v>
      </c>
      <c r="AB36" s="1">
        <f t="shared" si="3"/>
        <v>6.1433075739910525E-2</v>
      </c>
      <c r="AC36" s="1" t="b">
        <f t="shared" si="4"/>
        <v>1</v>
      </c>
    </row>
    <row r="37" spans="1:29" x14ac:dyDescent="0.25">
      <c r="A37" s="1" t="s">
        <v>59</v>
      </c>
      <c r="B37">
        <v>20</v>
      </c>
      <c r="D37" s="2">
        <v>47843.4</v>
      </c>
      <c r="E37">
        <v>21294</v>
      </c>
      <c r="F37" t="s">
        <v>15</v>
      </c>
      <c r="G37" t="s">
        <v>18</v>
      </c>
      <c r="H37">
        <v>69138</v>
      </c>
      <c r="I37" t="s">
        <v>17</v>
      </c>
      <c r="J37" t="s">
        <v>16</v>
      </c>
      <c r="K37">
        <v>21294.89</v>
      </c>
      <c r="L37">
        <v>69138.28</v>
      </c>
      <c r="M37">
        <v>1</v>
      </c>
      <c r="Y37" s="1">
        <f t="shared" si="0"/>
        <v>2090.1529999999998</v>
      </c>
      <c r="Z37" s="2">
        <f t="shared" si="1"/>
        <v>47843.4</v>
      </c>
      <c r="AA37" s="2">
        <f t="shared" si="2"/>
        <v>47843.387541486205</v>
      </c>
      <c r="AB37" s="1">
        <f t="shared" si="3"/>
        <v>6.1444948657224191E-2</v>
      </c>
      <c r="AC37" s="1" t="b">
        <f t="shared" si="4"/>
        <v>1</v>
      </c>
    </row>
    <row r="38" spans="1:29" x14ac:dyDescent="0.25">
      <c r="A38" s="1" t="s">
        <v>60</v>
      </c>
      <c r="B38">
        <v>1</v>
      </c>
      <c r="D38" s="2">
        <v>47852.7</v>
      </c>
      <c r="E38">
        <v>23532</v>
      </c>
      <c r="F38" t="s">
        <v>15</v>
      </c>
      <c r="G38" t="s">
        <v>28</v>
      </c>
      <c r="H38">
        <v>71385</v>
      </c>
      <c r="I38" t="s">
        <v>17</v>
      </c>
      <c r="J38" t="s">
        <v>18</v>
      </c>
      <c r="K38">
        <v>23532.86</v>
      </c>
      <c r="L38">
        <v>71385.600000000006</v>
      </c>
      <c r="M38">
        <v>1</v>
      </c>
      <c r="Y38" s="1">
        <f t="shared" si="0"/>
        <v>2089.7440000000001</v>
      </c>
      <c r="Z38" s="2">
        <f t="shared" si="1"/>
        <v>47852.7</v>
      </c>
      <c r="AA38" s="2">
        <f t="shared" si="2"/>
        <v>47852.751341791147</v>
      </c>
      <c r="AB38" s="1">
        <f t="shared" si="3"/>
        <v>6.1449429054896476E-2</v>
      </c>
      <c r="AC38" s="1" t="b">
        <f t="shared" si="4"/>
        <v>1</v>
      </c>
    </row>
    <row r="39" spans="1:29" x14ac:dyDescent="0.25">
      <c r="A39" s="1" t="s">
        <v>61</v>
      </c>
      <c r="B39">
        <v>10</v>
      </c>
      <c r="D39" s="2">
        <v>47859</v>
      </c>
      <c r="E39">
        <v>18063</v>
      </c>
      <c r="F39" t="s">
        <v>15</v>
      </c>
      <c r="G39" t="s">
        <v>16</v>
      </c>
      <c r="H39">
        <v>65922</v>
      </c>
      <c r="I39" t="s">
        <v>17</v>
      </c>
      <c r="J39" t="s">
        <v>23</v>
      </c>
      <c r="K39">
        <v>18063.36</v>
      </c>
      <c r="L39">
        <v>65922.42</v>
      </c>
      <c r="M39">
        <v>1</v>
      </c>
      <c r="Y39" s="1">
        <f t="shared" si="0"/>
        <v>2089.473</v>
      </c>
      <c r="Z39" s="2">
        <f t="shared" si="1"/>
        <v>47859</v>
      </c>
      <c r="AA39" s="2">
        <f t="shared" si="2"/>
        <v>47858.957737190191</v>
      </c>
      <c r="AB39" s="1">
        <f t="shared" si="3"/>
        <v>6.1452399178450787E-2</v>
      </c>
      <c r="AC39" s="1" t="b">
        <f t="shared" si="4"/>
        <v>1</v>
      </c>
    </row>
    <row r="40" spans="1:29" x14ac:dyDescent="0.25">
      <c r="A40" s="1" t="s">
        <v>62</v>
      </c>
      <c r="B40">
        <v>5</v>
      </c>
      <c r="D40" s="2">
        <v>47862.8</v>
      </c>
      <c r="E40">
        <v>18990</v>
      </c>
      <c r="F40" t="s">
        <v>15</v>
      </c>
      <c r="G40" t="s">
        <v>18</v>
      </c>
      <c r="H40">
        <v>66852</v>
      </c>
      <c r="I40" t="s">
        <v>17</v>
      </c>
      <c r="J40" t="s">
        <v>18</v>
      </c>
      <c r="K40">
        <v>18990.080000000002</v>
      </c>
      <c r="L40">
        <v>66852.87</v>
      </c>
      <c r="M40">
        <v>1</v>
      </c>
      <c r="Y40" s="1">
        <f t="shared" si="0"/>
        <v>2089.306</v>
      </c>
      <c r="Z40" s="2">
        <f t="shared" si="1"/>
        <v>47862.8</v>
      </c>
      <c r="AA40" s="2">
        <f t="shared" si="2"/>
        <v>47862.783144259382</v>
      </c>
      <c r="AB40" s="1">
        <f t="shared" si="3"/>
        <v>6.1454230051572002E-2</v>
      </c>
      <c r="AC40" s="1" t="b">
        <f t="shared" si="4"/>
        <v>1</v>
      </c>
    </row>
    <row r="41" spans="1:29" x14ac:dyDescent="0.25">
      <c r="A41" s="1" t="s">
        <v>63</v>
      </c>
      <c r="B41">
        <v>2</v>
      </c>
      <c r="D41" s="2">
        <v>47873.3</v>
      </c>
      <c r="E41">
        <v>21535</v>
      </c>
      <c r="F41" t="s">
        <v>15</v>
      </c>
      <c r="G41" t="s">
        <v>16</v>
      </c>
      <c r="H41">
        <v>69408</v>
      </c>
      <c r="I41" t="s">
        <v>17</v>
      </c>
      <c r="J41" t="s">
        <v>23</v>
      </c>
      <c r="K41">
        <v>21535.17</v>
      </c>
      <c r="L41">
        <v>69408.509999999995</v>
      </c>
      <c r="M41">
        <v>1</v>
      </c>
      <c r="Y41" s="1">
        <f t="shared" si="0"/>
        <v>2088.848</v>
      </c>
      <c r="Z41" s="2">
        <f t="shared" si="1"/>
        <v>47873.3</v>
      </c>
      <c r="AA41" s="2">
        <f t="shared" si="2"/>
        <v>47873.277519474854</v>
      </c>
      <c r="AB41" s="1">
        <f t="shared" si="3"/>
        <v>6.1459253502283283E-2</v>
      </c>
      <c r="AC41" s="1" t="b">
        <f t="shared" si="4"/>
        <v>1</v>
      </c>
    </row>
    <row r="42" spans="1:29" x14ac:dyDescent="0.25">
      <c r="A42" s="1" t="s">
        <v>64</v>
      </c>
      <c r="B42">
        <v>10</v>
      </c>
      <c r="D42" s="2">
        <v>47875.1</v>
      </c>
      <c r="E42">
        <v>32288</v>
      </c>
      <c r="F42" t="s">
        <v>15</v>
      </c>
      <c r="G42" t="s">
        <v>29</v>
      </c>
      <c r="H42">
        <v>80164</v>
      </c>
      <c r="I42" t="s">
        <v>17</v>
      </c>
      <c r="J42" t="s">
        <v>29</v>
      </c>
      <c r="K42">
        <v>32288.92</v>
      </c>
      <c r="L42">
        <v>80164.039999999994</v>
      </c>
      <c r="M42">
        <v>1</v>
      </c>
      <c r="Y42" s="1">
        <f t="shared" si="0"/>
        <v>2088.7689999999998</v>
      </c>
      <c r="Z42" s="2">
        <f t="shared" si="1"/>
        <v>47875.1</v>
      </c>
      <c r="AA42" s="2">
        <f t="shared" si="2"/>
        <v>47875.088150006064</v>
      </c>
      <c r="AB42" s="1">
        <f t="shared" si="3"/>
        <v>6.1460120326854259E-2</v>
      </c>
      <c r="AC42" s="1" t="b">
        <f t="shared" si="4"/>
        <v>1</v>
      </c>
    </row>
    <row r="43" spans="1:29" x14ac:dyDescent="0.25">
      <c r="A43" s="1" t="s">
        <v>65</v>
      </c>
      <c r="B43">
        <v>10</v>
      </c>
      <c r="D43" s="2">
        <v>47878.2</v>
      </c>
      <c r="M43">
        <v>1</v>
      </c>
      <c r="Y43" s="1">
        <f t="shared" si="0"/>
        <v>2088.6320000000001</v>
      </c>
      <c r="Z43" s="2">
        <f t="shared" si="1"/>
        <v>47878.2</v>
      </c>
      <c r="AA43" s="2">
        <f t="shared" si="2"/>
        <v>47878.228428942959</v>
      </c>
      <c r="AB43" s="1">
        <f t="shared" si="3"/>
        <v>6.1461623787470214E-2</v>
      </c>
      <c r="AC43" s="1" t="b">
        <f t="shared" si="4"/>
        <v>1</v>
      </c>
    </row>
    <row r="44" spans="1:29" x14ac:dyDescent="0.25">
      <c r="A44" s="1" t="s">
        <v>66</v>
      </c>
      <c r="B44">
        <v>400</v>
      </c>
      <c r="D44" s="2">
        <v>47884.800000000003</v>
      </c>
      <c r="E44">
        <v>16516</v>
      </c>
      <c r="F44" t="s">
        <v>15</v>
      </c>
      <c r="G44" t="s">
        <v>18</v>
      </c>
      <c r="H44">
        <v>64401</v>
      </c>
      <c r="I44" t="s">
        <v>17</v>
      </c>
      <c r="J44" t="s">
        <v>28</v>
      </c>
      <c r="K44">
        <v>16516.150000000001</v>
      </c>
      <c r="L44">
        <v>64401.03</v>
      </c>
      <c r="M44">
        <v>1</v>
      </c>
      <c r="Y44" s="1">
        <f t="shared" si="0"/>
        <v>2088.346</v>
      </c>
      <c r="Z44" s="2">
        <f t="shared" si="1"/>
        <v>47884.800000000003</v>
      </c>
      <c r="AA44" s="2">
        <f t="shared" si="2"/>
        <v>47884.785375603467</v>
      </c>
      <c r="AB44" s="1">
        <f t="shared" si="3"/>
        <v>6.1464763352338039E-2</v>
      </c>
      <c r="AC44" s="1" t="b">
        <f t="shared" si="4"/>
        <v>1</v>
      </c>
    </row>
    <row r="45" spans="1:29" x14ac:dyDescent="0.25">
      <c r="A45" s="1" t="s">
        <v>67</v>
      </c>
      <c r="B45">
        <v>5</v>
      </c>
      <c r="D45" s="2">
        <v>47891.8</v>
      </c>
      <c r="E45">
        <v>23844</v>
      </c>
      <c r="F45" t="s">
        <v>15</v>
      </c>
      <c r="G45" t="s">
        <v>16</v>
      </c>
      <c r="H45">
        <v>71736</v>
      </c>
      <c r="I45" t="s">
        <v>17</v>
      </c>
      <c r="J45" t="s">
        <v>23</v>
      </c>
      <c r="K45">
        <v>23844.58</v>
      </c>
      <c r="L45">
        <v>71736.45</v>
      </c>
      <c r="M45">
        <v>1</v>
      </c>
      <c r="Y45" s="1">
        <f t="shared" si="0"/>
        <v>2088.0419999999999</v>
      </c>
      <c r="Z45" s="2">
        <f t="shared" si="1"/>
        <v>47891.8</v>
      </c>
      <c r="AA45" s="2">
        <f t="shared" si="2"/>
        <v>47891.75696657443</v>
      </c>
      <c r="AB45" s="1">
        <f t="shared" si="3"/>
        <v>6.1468101926727151E-2</v>
      </c>
      <c r="AC45" s="1" t="b">
        <f t="shared" si="4"/>
        <v>1</v>
      </c>
    </row>
    <row r="46" spans="1:29" x14ac:dyDescent="0.25">
      <c r="A46" s="1" t="s">
        <v>68</v>
      </c>
      <c r="B46">
        <v>4</v>
      </c>
      <c r="D46" s="2">
        <v>47906.8</v>
      </c>
      <c r="E46">
        <v>18241</v>
      </c>
      <c r="F46" t="s">
        <v>15</v>
      </c>
      <c r="G46" t="s">
        <v>23</v>
      </c>
      <c r="H46">
        <v>66148</v>
      </c>
      <c r="I46" t="s">
        <v>17</v>
      </c>
      <c r="J46" t="s">
        <v>50</v>
      </c>
      <c r="K46">
        <v>18241.54</v>
      </c>
      <c r="L46">
        <v>66148.399999999994</v>
      </c>
      <c r="M46">
        <v>1</v>
      </c>
      <c r="Y46" s="1">
        <f t="shared" si="0"/>
        <v>2087.3870000000002</v>
      </c>
      <c r="Z46" s="2">
        <f t="shared" si="1"/>
        <v>47906.8</v>
      </c>
      <c r="AA46" s="2">
        <f t="shared" si="2"/>
        <v>47906.784894224213</v>
      </c>
      <c r="AB46" s="1">
        <f t="shared" si="3"/>
        <v>6.1475300194507351E-2</v>
      </c>
      <c r="AC46" s="1" t="b">
        <f t="shared" si="4"/>
        <v>1</v>
      </c>
    </row>
    <row r="47" spans="1:29" x14ac:dyDescent="0.25">
      <c r="A47" s="1" t="s">
        <v>69</v>
      </c>
      <c r="B47">
        <v>4</v>
      </c>
      <c r="D47" s="2">
        <v>47908.800000000003</v>
      </c>
      <c r="M47">
        <v>1</v>
      </c>
      <c r="Y47" s="1">
        <f t="shared" si="0"/>
        <v>2087.3000000000002</v>
      </c>
      <c r="Z47" s="2">
        <f t="shared" si="1"/>
        <v>47908.800000000003</v>
      </c>
      <c r="AA47" s="2">
        <f t="shared" si="2"/>
        <v>47908.781679681881</v>
      </c>
      <c r="AB47" s="1">
        <f t="shared" si="3"/>
        <v>6.1476256810157115E-2</v>
      </c>
      <c r="AC47" s="1" t="b">
        <f t="shared" si="4"/>
        <v>1</v>
      </c>
    </row>
    <row r="48" spans="1:29" x14ac:dyDescent="0.25">
      <c r="A48" s="1" t="s">
        <v>70</v>
      </c>
      <c r="B48">
        <v>4</v>
      </c>
      <c r="D48" s="2">
        <v>47911.1</v>
      </c>
      <c r="M48">
        <v>1</v>
      </c>
      <c r="Y48" s="1">
        <f t="shared" si="0"/>
        <v>2087.1999999999998</v>
      </c>
      <c r="Z48" s="2">
        <f t="shared" si="1"/>
        <v>47911.1</v>
      </c>
      <c r="AA48" s="2">
        <f t="shared" si="2"/>
        <v>47911.077041011886</v>
      </c>
      <c r="AB48" s="1">
        <f t="shared" si="3"/>
        <v>6.1477356516148884E-2</v>
      </c>
      <c r="AC48" s="1" t="b">
        <f t="shared" si="4"/>
        <v>1</v>
      </c>
    </row>
    <row r="49" spans="1:29" x14ac:dyDescent="0.25">
      <c r="A49" s="1" t="s">
        <v>71</v>
      </c>
      <c r="B49">
        <v>10</v>
      </c>
      <c r="D49" s="2">
        <v>47922.3</v>
      </c>
      <c r="E49">
        <v>20315</v>
      </c>
      <c r="F49" t="s">
        <v>15</v>
      </c>
      <c r="G49" t="s">
        <v>16</v>
      </c>
      <c r="H49">
        <v>68238</v>
      </c>
      <c r="I49" t="s">
        <v>17</v>
      </c>
      <c r="J49" t="s">
        <v>23</v>
      </c>
      <c r="K49">
        <v>20315.650000000001</v>
      </c>
      <c r="L49">
        <v>68238.12</v>
      </c>
      <c r="M49">
        <v>1</v>
      </c>
      <c r="Y49" s="1">
        <f t="shared" si="0"/>
        <v>2086.712</v>
      </c>
      <c r="Z49" s="2">
        <f t="shared" si="1"/>
        <v>47922.3</v>
      </c>
      <c r="AA49" s="2">
        <f t="shared" si="2"/>
        <v>47922.281560656193</v>
      </c>
      <c r="AB49" s="1">
        <f t="shared" si="3"/>
        <v>6.1482725349894046E-2</v>
      </c>
      <c r="AC49" s="1" t="b">
        <f t="shared" si="4"/>
        <v>1</v>
      </c>
    </row>
    <row r="50" spans="1:29" x14ac:dyDescent="0.25">
      <c r="A50" s="1" t="s">
        <v>72</v>
      </c>
      <c r="B50">
        <v>30</v>
      </c>
      <c r="D50" s="2">
        <v>47956</v>
      </c>
      <c r="E50">
        <v>28936</v>
      </c>
      <c r="F50" t="s">
        <v>15</v>
      </c>
      <c r="G50" t="s">
        <v>29</v>
      </c>
      <c r="H50">
        <v>76892</v>
      </c>
      <c r="I50" t="s">
        <v>17</v>
      </c>
      <c r="J50" t="s">
        <v>29</v>
      </c>
      <c r="K50">
        <v>28936.46</v>
      </c>
      <c r="L50">
        <v>76892.399999999994</v>
      </c>
      <c r="M50">
        <v>1</v>
      </c>
      <c r="Y50" s="1">
        <f t="shared" si="0"/>
        <v>2085.2460000000001</v>
      </c>
      <c r="Z50" s="2">
        <f t="shared" si="1"/>
        <v>47956</v>
      </c>
      <c r="AA50" s="2">
        <f t="shared" si="2"/>
        <v>47955.972580693116</v>
      </c>
      <c r="AB50" s="1">
        <f t="shared" si="3"/>
        <v>6.1498876530800953E-2</v>
      </c>
      <c r="AC50" s="1" t="b">
        <f t="shared" si="4"/>
        <v>1</v>
      </c>
    </row>
    <row r="51" spans="1:29" x14ac:dyDescent="0.25">
      <c r="A51" s="1" t="s">
        <v>73</v>
      </c>
      <c r="B51">
        <v>2</v>
      </c>
      <c r="D51" s="2">
        <v>47958.2</v>
      </c>
      <c r="M51">
        <v>1</v>
      </c>
      <c r="Y51" s="1">
        <f t="shared" si="0"/>
        <v>2085.1480000000001</v>
      </c>
      <c r="Z51" s="2">
        <f t="shared" si="1"/>
        <v>47958.2</v>
      </c>
      <c r="AA51" s="2">
        <f t="shared" si="2"/>
        <v>47958.226466418688</v>
      </c>
      <c r="AB51" s="1">
        <f t="shared" si="3"/>
        <v>6.1499957429021514E-2</v>
      </c>
      <c r="AC51" s="1" t="b">
        <f t="shared" si="4"/>
        <v>1</v>
      </c>
    </row>
    <row r="52" spans="1:29" x14ac:dyDescent="0.25">
      <c r="A52" s="1" t="s">
        <v>74</v>
      </c>
      <c r="B52">
        <v>10</v>
      </c>
      <c r="D52" s="2">
        <v>47962.7</v>
      </c>
      <c r="M52">
        <v>1</v>
      </c>
      <c r="Y52" s="1">
        <f t="shared" si="0"/>
        <v>2084.9540000000002</v>
      </c>
      <c r="Z52" s="2">
        <f t="shared" si="1"/>
        <v>47962.7</v>
      </c>
      <c r="AA52" s="2">
        <f t="shared" si="2"/>
        <v>47962.688865078075</v>
      </c>
      <c r="AB52" s="1">
        <f t="shared" si="3"/>
        <v>6.1502097615841425E-2</v>
      </c>
      <c r="AC52" s="1" t="b">
        <f t="shared" si="4"/>
        <v>1</v>
      </c>
    </row>
    <row r="53" spans="1:29" x14ac:dyDescent="0.25">
      <c r="A53" s="1" t="s">
        <v>75</v>
      </c>
      <c r="B53">
        <v>3</v>
      </c>
      <c r="C53" t="s">
        <v>27</v>
      </c>
      <c r="D53" s="2">
        <v>47968.5</v>
      </c>
      <c r="E53">
        <v>23532</v>
      </c>
      <c r="F53" t="s">
        <v>15</v>
      </c>
      <c r="G53" t="s">
        <v>28</v>
      </c>
      <c r="H53">
        <v>71501</v>
      </c>
      <c r="I53" t="s">
        <v>17</v>
      </c>
      <c r="J53" t="s">
        <v>29</v>
      </c>
      <c r="K53">
        <v>23532.86</v>
      </c>
      <c r="L53">
        <v>71501</v>
      </c>
      <c r="M53">
        <v>1</v>
      </c>
      <c r="Y53" s="1">
        <f t="shared" si="0"/>
        <v>2084.6990000000001</v>
      </c>
      <c r="Z53" s="2">
        <f t="shared" si="1"/>
        <v>47968.5</v>
      </c>
      <c r="AA53" s="2">
        <f t="shared" si="2"/>
        <v>47968.55565239874</v>
      </c>
      <c r="AB53" s="1">
        <f t="shared" si="3"/>
        <v>6.1504911656886374E-2</v>
      </c>
      <c r="AC53" s="1" t="b">
        <f t="shared" si="4"/>
        <v>1</v>
      </c>
    </row>
    <row r="54" spans="1:29" x14ac:dyDescent="0.25">
      <c r="A54" s="1" t="s">
        <v>75</v>
      </c>
      <c r="B54">
        <v>3</v>
      </c>
      <c r="C54" t="s">
        <v>27</v>
      </c>
      <c r="D54" s="2">
        <v>47968.5</v>
      </c>
      <c r="E54">
        <v>25409</v>
      </c>
      <c r="F54" t="s">
        <v>15</v>
      </c>
      <c r="G54" t="s">
        <v>18</v>
      </c>
      <c r="H54">
        <v>73378</v>
      </c>
      <c r="I54" t="s">
        <v>17</v>
      </c>
      <c r="J54" t="s">
        <v>18</v>
      </c>
      <c r="K54">
        <v>25409.74</v>
      </c>
      <c r="L54">
        <v>73378.42</v>
      </c>
      <c r="M54" s="9">
        <v>1</v>
      </c>
      <c r="O54" s="4" t="s">
        <v>1075</v>
      </c>
      <c r="Y54" s="1">
        <f t="shared" si="0"/>
        <v>2084.6990000000001</v>
      </c>
      <c r="Z54" s="2">
        <f t="shared" si="1"/>
        <v>47968.5</v>
      </c>
      <c r="AA54" s="2">
        <f t="shared" si="2"/>
        <v>47968.55565239874</v>
      </c>
      <c r="AB54" s="1">
        <f t="shared" si="3"/>
        <v>6.1504911656886374E-2</v>
      </c>
      <c r="AC54" s="1" t="b">
        <f t="shared" si="4"/>
        <v>1</v>
      </c>
    </row>
    <row r="55" spans="1:29" x14ac:dyDescent="0.25">
      <c r="A55" s="1" t="s">
        <v>76</v>
      </c>
      <c r="B55">
        <v>60</v>
      </c>
      <c r="D55" s="2">
        <v>47976.7</v>
      </c>
      <c r="E55">
        <v>14558</v>
      </c>
      <c r="F55" t="s">
        <v>15</v>
      </c>
      <c r="G55" t="s">
        <v>16</v>
      </c>
      <c r="H55">
        <v>62535</v>
      </c>
      <c r="I55" t="s">
        <v>17</v>
      </c>
      <c r="J55" t="s">
        <v>16</v>
      </c>
      <c r="K55">
        <v>14558.82</v>
      </c>
      <c r="L55">
        <v>62535.62</v>
      </c>
      <c r="M55">
        <v>1</v>
      </c>
      <c r="N55" t="s">
        <v>1095</v>
      </c>
      <c r="Y55" s="1">
        <f t="shared" si="0"/>
        <v>2084.3440000000001</v>
      </c>
      <c r="Z55" s="2">
        <f t="shared" si="1"/>
        <v>47976.7</v>
      </c>
      <c r="AA55" s="2">
        <f t="shared" si="2"/>
        <v>47976.725530910444</v>
      </c>
      <c r="AB55" s="1">
        <f t="shared" si="3"/>
        <v>6.1508830963341574E-2</v>
      </c>
      <c r="AC55" s="1" t="b">
        <f t="shared" si="4"/>
        <v>1</v>
      </c>
    </row>
    <row r="56" spans="1:29" x14ac:dyDescent="0.25">
      <c r="A56" s="1" t="s">
        <v>77</v>
      </c>
      <c r="B56">
        <v>1</v>
      </c>
      <c r="D56" s="2">
        <v>47996.1</v>
      </c>
      <c r="E56">
        <v>25033</v>
      </c>
      <c r="F56" t="s">
        <v>15</v>
      </c>
      <c r="G56" t="s">
        <v>16</v>
      </c>
      <c r="H56">
        <v>73029</v>
      </c>
      <c r="I56" t="s">
        <v>17</v>
      </c>
      <c r="J56" t="s">
        <v>16</v>
      </c>
      <c r="K56">
        <v>25033.91</v>
      </c>
      <c r="L56">
        <v>73029.899999999994</v>
      </c>
      <c r="M56">
        <v>1</v>
      </c>
      <c r="Y56" s="1">
        <f t="shared" si="0"/>
        <v>2083.5039999999999</v>
      </c>
      <c r="Z56" s="2">
        <f t="shared" si="1"/>
        <v>47996.1</v>
      </c>
      <c r="AA56" s="2">
        <f t="shared" si="2"/>
        <v>47996.068162096162</v>
      </c>
      <c r="AB56" s="1">
        <f t="shared" si="3"/>
        <v>6.1518112795102907E-2</v>
      </c>
      <c r="AC56" s="1" t="b">
        <f t="shared" si="4"/>
        <v>1</v>
      </c>
    </row>
    <row r="57" spans="1:29" x14ac:dyDescent="0.25">
      <c r="A57" s="1" t="s">
        <v>78</v>
      </c>
      <c r="B57">
        <v>1</v>
      </c>
      <c r="D57" s="2">
        <v>47998.2</v>
      </c>
      <c r="E57">
        <v>19872</v>
      </c>
      <c r="F57" t="s">
        <v>15</v>
      </c>
      <c r="G57" t="s">
        <v>18</v>
      </c>
      <c r="H57">
        <v>67870</v>
      </c>
      <c r="I57" t="s">
        <v>17</v>
      </c>
      <c r="J57" t="s">
        <v>16</v>
      </c>
      <c r="K57">
        <v>19872.43</v>
      </c>
      <c r="L57">
        <v>67870.759999999995</v>
      </c>
      <c r="M57">
        <v>1</v>
      </c>
      <c r="Y57" s="1">
        <f t="shared" si="0"/>
        <v>2083.4119999999998</v>
      </c>
      <c r="Z57" s="2">
        <f t="shared" si="1"/>
        <v>47998.2</v>
      </c>
      <c r="AA57" s="2">
        <f t="shared" si="2"/>
        <v>47998.187588436667</v>
      </c>
      <c r="AB57" s="1">
        <f t="shared" si="3"/>
        <v>6.1519130058873779E-2</v>
      </c>
      <c r="AC57" s="1" t="b">
        <f t="shared" si="4"/>
        <v>1</v>
      </c>
    </row>
    <row r="58" spans="1:29" x14ac:dyDescent="0.25">
      <c r="A58" s="1" t="s">
        <v>79</v>
      </c>
      <c r="B58">
        <v>400</v>
      </c>
      <c r="D58" s="2">
        <v>48004.800000000003</v>
      </c>
      <c r="E58">
        <v>13352</v>
      </c>
      <c r="F58" t="s">
        <v>15</v>
      </c>
      <c r="G58" t="s">
        <v>23</v>
      </c>
      <c r="H58">
        <v>61357</v>
      </c>
      <c r="I58" t="s">
        <v>17</v>
      </c>
      <c r="J58" t="s">
        <v>16</v>
      </c>
      <c r="K58">
        <v>13352.1</v>
      </c>
      <c r="L58">
        <v>61357.04</v>
      </c>
      <c r="M58">
        <v>1</v>
      </c>
      <c r="Y58" s="1">
        <f t="shared" si="0"/>
        <v>2083.123</v>
      </c>
      <c r="Z58" s="2">
        <f t="shared" si="1"/>
        <v>48004.800000000003</v>
      </c>
      <c r="AA58" s="2">
        <f t="shared" si="2"/>
        <v>48004.846569309637</v>
      </c>
      <c r="AB58" s="1">
        <f t="shared" si="3"/>
        <v>6.1522326470714803E-2</v>
      </c>
      <c r="AC58" s="1" t="b">
        <f t="shared" si="4"/>
        <v>1</v>
      </c>
    </row>
    <row r="59" spans="1:29" x14ac:dyDescent="0.25">
      <c r="A59" s="1" t="s">
        <v>80</v>
      </c>
      <c r="B59">
        <v>2</v>
      </c>
      <c r="D59" s="2">
        <v>48010.5</v>
      </c>
      <c r="M59">
        <v>1</v>
      </c>
      <c r="Y59" s="1">
        <f t="shared" si="0"/>
        <v>2082.8789999999999</v>
      </c>
      <c r="Z59" s="2">
        <f t="shared" si="1"/>
        <v>48010.5</v>
      </c>
      <c r="AA59" s="2">
        <f t="shared" si="2"/>
        <v>48010.4701233245</v>
      </c>
      <c r="AB59" s="1">
        <f t="shared" si="3"/>
        <v>6.1525026207313177E-2</v>
      </c>
      <c r="AC59" s="1" t="b">
        <f t="shared" si="4"/>
        <v>1</v>
      </c>
    </row>
    <row r="60" spans="1:29" x14ac:dyDescent="0.25">
      <c r="A60" s="1" t="s">
        <v>81</v>
      </c>
      <c r="B60">
        <v>3</v>
      </c>
      <c r="D60" s="2">
        <v>48012.1</v>
      </c>
      <c r="E60">
        <v>21418</v>
      </c>
      <c r="F60" t="s">
        <v>15</v>
      </c>
      <c r="G60" t="s">
        <v>28</v>
      </c>
      <c r="H60">
        <v>69431</v>
      </c>
      <c r="I60" t="s">
        <v>17</v>
      </c>
      <c r="J60" t="s">
        <v>18</v>
      </c>
      <c r="K60">
        <v>21418.84</v>
      </c>
      <c r="L60">
        <v>69431</v>
      </c>
      <c r="M60">
        <v>1</v>
      </c>
      <c r="Y60" s="1">
        <f t="shared" si="0"/>
        <v>2082.81</v>
      </c>
      <c r="Z60" s="2">
        <f t="shared" si="1"/>
        <v>48012.1</v>
      </c>
      <c r="AA60" s="2">
        <f t="shared" si="2"/>
        <v>48012.060629630163</v>
      </c>
      <c r="AB60" s="1">
        <f t="shared" si="3"/>
        <v>6.1525789829516418E-2</v>
      </c>
      <c r="AC60" s="1" t="b">
        <f t="shared" si="4"/>
        <v>1</v>
      </c>
    </row>
    <row r="61" spans="1:29" x14ac:dyDescent="0.25">
      <c r="A61" s="1" t="s">
        <v>82</v>
      </c>
      <c r="B61">
        <v>3</v>
      </c>
      <c r="D61" s="2">
        <v>48015.7</v>
      </c>
      <c r="M61">
        <v>1</v>
      </c>
      <c r="Y61" s="1">
        <f t="shared" si="0"/>
        <v>2082.6529999999998</v>
      </c>
      <c r="Z61" s="2">
        <f t="shared" si="1"/>
        <v>48015.7</v>
      </c>
      <c r="AA61" s="2">
        <f t="shared" si="2"/>
        <v>48015.680000460954</v>
      </c>
      <c r="AB61" s="1">
        <f t="shared" si="3"/>
        <v>6.1527527629533334E-2</v>
      </c>
      <c r="AC61" s="1" t="b">
        <f t="shared" si="4"/>
        <v>1</v>
      </c>
    </row>
    <row r="62" spans="1:29" x14ac:dyDescent="0.25">
      <c r="A62" s="1" t="s">
        <v>83</v>
      </c>
      <c r="B62">
        <v>2</v>
      </c>
      <c r="D62" s="2">
        <v>48035.6</v>
      </c>
      <c r="E62">
        <v>27604</v>
      </c>
      <c r="F62" t="s">
        <v>15</v>
      </c>
      <c r="G62" t="s">
        <v>16</v>
      </c>
      <c r="H62">
        <v>75640</v>
      </c>
      <c r="I62" t="s">
        <v>17</v>
      </c>
      <c r="J62" t="s">
        <v>23</v>
      </c>
      <c r="K62">
        <v>27604.26</v>
      </c>
      <c r="L62">
        <v>75640</v>
      </c>
      <c r="M62">
        <v>1</v>
      </c>
      <c r="Y62" s="1">
        <f t="shared" si="0"/>
        <v>2081.788</v>
      </c>
      <c r="Z62" s="2">
        <f t="shared" si="1"/>
        <v>48035.6</v>
      </c>
      <c r="AA62" s="2">
        <f t="shared" si="2"/>
        <v>48035.630909583495</v>
      </c>
      <c r="AB62" s="1">
        <f t="shared" si="3"/>
        <v>6.1537109184408668E-2</v>
      </c>
      <c r="AC62" s="1" t="b">
        <f t="shared" si="4"/>
        <v>1</v>
      </c>
    </row>
    <row r="63" spans="1:29" x14ac:dyDescent="0.25">
      <c r="A63" s="1" t="s">
        <v>84</v>
      </c>
      <c r="B63">
        <v>1</v>
      </c>
      <c r="D63" s="2">
        <v>48056.9</v>
      </c>
      <c r="M63">
        <v>1</v>
      </c>
      <c r="Y63" s="1">
        <f t="shared" si="0"/>
        <v>2080.866</v>
      </c>
      <c r="Z63" s="2">
        <f t="shared" si="1"/>
        <v>48056.9</v>
      </c>
      <c r="AA63" s="2">
        <f t="shared" si="2"/>
        <v>48056.914765294838</v>
      </c>
      <c r="AB63" s="1">
        <f t="shared" si="3"/>
        <v>6.1547335283794066E-2</v>
      </c>
      <c r="AC63" s="1" t="b">
        <f t="shared" si="4"/>
        <v>1</v>
      </c>
    </row>
    <row r="64" spans="1:29" x14ac:dyDescent="0.25">
      <c r="A64" s="1" t="s">
        <v>85</v>
      </c>
      <c r="B64">
        <v>30</v>
      </c>
      <c r="D64" s="2">
        <v>48070.400000000001</v>
      </c>
      <c r="E64">
        <v>21611</v>
      </c>
      <c r="F64" t="s">
        <v>15</v>
      </c>
      <c r="G64" t="s">
        <v>28</v>
      </c>
      <c r="H64">
        <v>69681</v>
      </c>
      <c r="I64" t="s">
        <v>17</v>
      </c>
      <c r="J64" t="s">
        <v>28</v>
      </c>
      <c r="K64">
        <v>21611.19</v>
      </c>
      <c r="L64">
        <v>69681.600000000006</v>
      </c>
      <c r="M64">
        <v>1</v>
      </c>
      <c r="Y64" s="1">
        <f t="shared" si="0"/>
        <v>2080.2800000000002</v>
      </c>
      <c r="Z64" s="2">
        <f t="shared" si="1"/>
        <v>48070.400000000001</v>
      </c>
      <c r="AA64" s="2">
        <f t="shared" si="2"/>
        <v>48070.452054531117</v>
      </c>
      <c r="AB64" s="1">
        <f t="shared" si="3"/>
        <v>6.1553841803634879E-2</v>
      </c>
      <c r="AC64" s="1" t="b">
        <f t="shared" si="4"/>
        <v>1</v>
      </c>
    </row>
    <row r="65" spans="1:29" x14ac:dyDescent="0.25">
      <c r="A65" s="1" t="s">
        <v>86</v>
      </c>
      <c r="B65">
        <v>100</v>
      </c>
      <c r="D65" s="2">
        <v>48088.6</v>
      </c>
      <c r="E65">
        <v>23647</v>
      </c>
      <c r="F65" t="s">
        <v>15</v>
      </c>
      <c r="G65" t="s">
        <v>50</v>
      </c>
      <c r="H65">
        <v>71736</v>
      </c>
      <c r="I65" t="s">
        <v>17</v>
      </c>
      <c r="J65" t="s">
        <v>23</v>
      </c>
      <c r="K65">
        <v>23647.77</v>
      </c>
      <c r="L65">
        <v>71736.45</v>
      </c>
      <c r="M65">
        <v>1</v>
      </c>
      <c r="Y65" s="1">
        <f t="shared" si="0"/>
        <v>2079.4969999999998</v>
      </c>
      <c r="Z65" s="2">
        <f t="shared" si="1"/>
        <v>48088.6</v>
      </c>
      <c r="AA65" s="2">
        <f t="shared" si="2"/>
        <v>48088.552183532847</v>
      </c>
      <c r="AB65" s="1">
        <f t="shared" si="3"/>
        <v>6.1562544255541814E-2</v>
      </c>
      <c r="AC65" s="1" t="b">
        <f t="shared" si="4"/>
        <v>1</v>
      </c>
    </row>
    <row r="66" spans="1:29" x14ac:dyDescent="0.25">
      <c r="A66" s="1" t="s">
        <v>87</v>
      </c>
      <c r="B66">
        <v>300</v>
      </c>
      <c r="D66" s="2">
        <v>48089.8</v>
      </c>
      <c r="E66">
        <v>19308</v>
      </c>
      <c r="F66" t="s">
        <v>15</v>
      </c>
      <c r="G66" t="s">
        <v>23</v>
      </c>
      <c r="H66">
        <v>67398</v>
      </c>
      <c r="I66" t="s">
        <v>17</v>
      </c>
      <c r="J66" t="s">
        <v>16</v>
      </c>
      <c r="K66">
        <v>19308.93</v>
      </c>
      <c r="L66">
        <v>67398.789999999994</v>
      </c>
      <c r="M66">
        <v>1</v>
      </c>
      <c r="Y66" s="1">
        <f t="shared" si="0"/>
        <v>2079.4409999999998</v>
      </c>
      <c r="Z66" s="2">
        <f t="shared" si="1"/>
        <v>48089.8</v>
      </c>
      <c r="AA66" s="2">
        <f t="shared" si="2"/>
        <v>48089.847223364362</v>
      </c>
      <c r="AB66" s="1">
        <f t="shared" si="3"/>
        <v>6.1563167029832624E-2</v>
      </c>
      <c r="AC66" s="1" t="b">
        <f t="shared" si="4"/>
        <v>1</v>
      </c>
    </row>
    <row r="67" spans="1:29" x14ac:dyDescent="0.25">
      <c r="A67" s="1" t="s">
        <v>88</v>
      </c>
      <c r="B67">
        <v>1</v>
      </c>
      <c r="D67" s="2">
        <v>48099.6</v>
      </c>
      <c r="E67">
        <v>16135</v>
      </c>
      <c r="F67" t="s">
        <v>15</v>
      </c>
      <c r="G67" t="s">
        <v>18</v>
      </c>
      <c r="H67">
        <v>64235</v>
      </c>
      <c r="I67" t="s">
        <v>17</v>
      </c>
      <c r="J67" t="s">
        <v>16</v>
      </c>
      <c r="K67">
        <v>16135.97</v>
      </c>
      <c r="L67">
        <v>64235.61</v>
      </c>
      <c r="M67">
        <v>1</v>
      </c>
      <c r="Y67" s="1">
        <f t="shared" ref="Y67:Y130" si="5">ROUND($A67,3)+0</f>
        <v>2079.02</v>
      </c>
      <c r="Z67" s="2">
        <f t="shared" ref="Z67:Z130" si="6">ROUND($D67,1)+0</f>
        <v>48099.6</v>
      </c>
      <c r="AA67" s="2">
        <f t="shared" ref="AA67:AA130" si="7">100000000/Y67</f>
        <v>48099.585381574012</v>
      </c>
      <c r="AB67" s="1">
        <f t="shared" ref="AB67:AB130" si="8">0.0005/$Y67*AA67+0.05</f>
        <v>6.1567850569396641E-2</v>
      </c>
      <c r="AC67" s="1" t="b">
        <f t="shared" ref="AC67:AC130" si="9">ABS(Z67-AA67)&lt;AB67</f>
        <v>1</v>
      </c>
    </row>
    <row r="68" spans="1:29" x14ac:dyDescent="0.25">
      <c r="A68" s="1" t="s">
        <v>89</v>
      </c>
      <c r="B68">
        <v>20</v>
      </c>
      <c r="D68" s="2">
        <v>48108.3</v>
      </c>
      <c r="E68">
        <v>27452</v>
      </c>
      <c r="F68" t="s">
        <v>15</v>
      </c>
      <c r="G68" t="s">
        <v>28</v>
      </c>
      <c r="H68">
        <v>75560</v>
      </c>
      <c r="I68" t="s">
        <v>17</v>
      </c>
      <c r="J68" t="s">
        <v>28</v>
      </c>
      <c r="K68">
        <v>27452.45</v>
      </c>
      <c r="L68">
        <v>75560.75</v>
      </c>
      <c r="M68">
        <v>1</v>
      </c>
      <c r="Y68" s="1">
        <f t="shared" si="5"/>
        <v>2078.645</v>
      </c>
      <c r="Z68" s="2">
        <f t="shared" si="6"/>
        <v>48108.3</v>
      </c>
      <c r="AA68" s="2">
        <f t="shared" si="7"/>
        <v>48108.26283468317</v>
      </c>
      <c r="AB68" s="1">
        <f t="shared" si="8"/>
        <v>6.1572024764854794E-2</v>
      </c>
      <c r="AC68" s="1" t="b">
        <f t="shared" si="9"/>
        <v>1</v>
      </c>
    </row>
    <row r="69" spans="1:29" x14ac:dyDescent="0.25">
      <c r="A69" s="1" t="s">
        <v>90</v>
      </c>
      <c r="B69">
        <v>20</v>
      </c>
      <c r="D69" s="2">
        <v>48111.9</v>
      </c>
      <c r="E69">
        <v>31254</v>
      </c>
      <c r="F69" t="s">
        <v>15</v>
      </c>
      <c r="G69" t="s">
        <v>18</v>
      </c>
      <c r="H69">
        <v>79366</v>
      </c>
      <c r="I69" t="s">
        <v>17</v>
      </c>
      <c r="J69" t="s">
        <v>28</v>
      </c>
      <c r="K69">
        <v>31254.71</v>
      </c>
      <c r="L69">
        <v>79366.649999999994</v>
      </c>
      <c r="M69">
        <v>1</v>
      </c>
      <c r="Y69" s="1">
        <f t="shared" si="5"/>
        <v>2078.489</v>
      </c>
      <c r="Z69" s="2">
        <f t="shared" si="6"/>
        <v>48111.9</v>
      </c>
      <c r="AA69" s="2">
        <f t="shared" si="7"/>
        <v>48111.873577392034</v>
      </c>
      <c r="AB69" s="1">
        <f t="shared" si="8"/>
        <v>6.1573761895634772E-2</v>
      </c>
      <c r="AC69" s="1" t="b">
        <f t="shared" si="9"/>
        <v>1</v>
      </c>
    </row>
    <row r="70" spans="1:29" x14ac:dyDescent="0.25">
      <c r="A70" s="1" t="s">
        <v>91</v>
      </c>
      <c r="B70">
        <v>3</v>
      </c>
      <c r="D70" s="2">
        <v>48113.3</v>
      </c>
      <c r="M70">
        <v>1</v>
      </c>
      <c r="Y70" s="1">
        <f t="shared" si="5"/>
        <v>2078.4259999999999</v>
      </c>
      <c r="Z70" s="2">
        <f t="shared" si="6"/>
        <v>48113.3</v>
      </c>
      <c r="AA70" s="2">
        <f t="shared" si="7"/>
        <v>48113.331915593822</v>
      </c>
      <c r="AB70" s="1">
        <f t="shared" si="8"/>
        <v>6.1574463540100502E-2</v>
      </c>
      <c r="AC70" s="1" t="b">
        <f t="shared" si="9"/>
        <v>1</v>
      </c>
    </row>
    <row r="71" spans="1:29" x14ac:dyDescent="0.25">
      <c r="A71" s="1" t="s">
        <v>92</v>
      </c>
      <c r="B71">
        <v>60</v>
      </c>
      <c r="D71" s="2">
        <v>48133.8</v>
      </c>
      <c r="E71">
        <v>23844</v>
      </c>
      <c r="F71" t="s">
        <v>15</v>
      </c>
      <c r="G71" t="s">
        <v>16</v>
      </c>
      <c r="H71">
        <v>71978</v>
      </c>
      <c r="I71" t="s">
        <v>17</v>
      </c>
      <c r="J71" t="s">
        <v>18</v>
      </c>
      <c r="K71">
        <v>23844.58</v>
      </c>
      <c r="L71">
        <v>71978.52</v>
      </c>
      <c r="M71">
        <v>1</v>
      </c>
      <c r="Y71" s="1">
        <f t="shared" si="5"/>
        <v>2077.5439999999999</v>
      </c>
      <c r="Z71" s="2">
        <f t="shared" si="6"/>
        <v>48133.8</v>
      </c>
      <c r="AA71" s="2">
        <f t="shared" si="7"/>
        <v>48133.757937256683</v>
      </c>
      <c r="AB71" s="1">
        <f t="shared" si="8"/>
        <v>6.1584293265812107E-2</v>
      </c>
      <c r="AC71" s="1" t="b">
        <f t="shared" si="9"/>
        <v>1</v>
      </c>
    </row>
    <row r="72" spans="1:29" x14ac:dyDescent="0.25">
      <c r="A72" s="1" t="s">
        <v>93</v>
      </c>
      <c r="B72">
        <v>40</v>
      </c>
      <c r="D72" s="2">
        <v>48135.9</v>
      </c>
      <c r="E72">
        <v>21294</v>
      </c>
      <c r="F72" t="s">
        <v>15</v>
      </c>
      <c r="G72" t="s">
        <v>18</v>
      </c>
      <c r="H72">
        <v>69431</v>
      </c>
      <c r="I72" t="s">
        <v>17</v>
      </c>
      <c r="J72" t="s">
        <v>18</v>
      </c>
      <c r="K72">
        <v>21294.89</v>
      </c>
      <c r="L72">
        <v>69431</v>
      </c>
      <c r="M72">
        <v>1</v>
      </c>
      <c r="Y72" s="1">
        <f t="shared" si="5"/>
        <v>2077.4499999999998</v>
      </c>
      <c r="Z72" s="2">
        <f t="shared" si="6"/>
        <v>48135.9</v>
      </c>
      <c r="AA72" s="2">
        <f t="shared" si="7"/>
        <v>48135.935882933409</v>
      </c>
      <c r="AB72" s="1">
        <f t="shared" si="8"/>
        <v>6.1585341616629381E-2</v>
      </c>
      <c r="AC72" s="1" t="b">
        <f t="shared" si="9"/>
        <v>1</v>
      </c>
    </row>
    <row r="73" spans="1:29" x14ac:dyDescent="0.25">
      <c r="A73" s="1" t="s">
        <v>94</v>
      </c>
      <c r="B73">
        <v>3</v>
      </c>
      <c r="D73" s="2">
        <v>48138.6</v>
      </c>
      <c r="E73">
        <v>20848</v>
      </c>
      <c r="F73" t="s">
        <v>15</v>
      </c>
      <c r="G73" t="s">
        <v>28</v>
      </c>
      <c r="H73">
        <v>68987</v>
      </c>
      <c r="I73" t="s">
        <v>17</v>
      </c>
      <c r="J73" t="s">
        <v>18</v>
      </c>
      <c r="K73">
        <v>20848.39</v>
      </c>
      <c r="L73">
        <v>68987.070000000007</v>
      </c>
      <c r="M73">
        <v>1</v>
      </c>
      <c r="Y73" s="1">
        <f t="shared" si="5"/>
        <v>2077.337</v>
      </c>
      <c r="Z73" s="2">
        <f t="shared" si="6"/>
        <v>48138.6</v>
      </c>
      <c r="AA73" s="2">
        <f t="shared" si="7"/>
        <v>48138.554312564593</v>
      </c>
      <c r="AB73" s="1">
        <f t="shared" si="8"/>
        <v>6.1586602056518655E-2</v>
      </c>
      <c r="AC73" s="1" t="b">
        <f t="shared" si="9"/>
        <v>1</v>
      </c>
    </row>
    <row r="74" spans="1:29" x14ac:dyDescent="0.25">
      <c r="A74" s="1" t="s">
        <v>95</v>
      </c>
      <c r="B74">
        <v>200</v>
      </c>
      <c r="D74" s="2">
        <v>48150</v>
      </c>
      <c r="E74">
        <v>23442</v>
      </c>
      <c r="F74" t="s">
        <v>15</v>
      </c>
      <c r="G74" t="s">
        <v>23</v>
      </c>
      <c r="H74">
        <v>71592</v>
      </c>
      <c r="I74" t="s">
        <v>17</v>
      </c>
      <c r="J74" t="s">
        <v>16</v>
      </c>
      <c r="K74">
        <v>23442.25</v>
      </c>
      <c r="L74">
        <v>71592.34</v>
      </c>
      <c r="M74">
        <v>1</v>
      </c>
      <c r="Y74" s="1">
        <f t="shared" si="5"/>
        <v>2076.8409999999999</v>
      </c>
      <c r="Z74" s="2">
        <f t="shared" si="6"/>
        <v>48150</v>
      </c>
      <c r="AA74" s="2">
        <f t="shared" si="7"/>
        <v>48150.050966828952</v>
      </c>
      <c r="AB74" s="1">
        <f t="shared" si="8"/>
        <v>6.1592137040541131E-2</v>
      </c>
      <c r="AC74" s="1" t="b">
        <f t="shared" si="9"/>
        <v>1</v>
      </c>
    </row>
    <row r="75" spans="1:29" x14ac:dyDescent="0.25">
      <c r="A75" s="1" t="s">
        <v>96</v>
      </c>
      <c r="B75">
        <v>3</v>
      </c>
      <c r="D75" s="2">
        <v>48157.8</v>
      </c>
      <c r="E75">
        <v>27604</v>
      </c>
      <c r="F75" t="s">
        <v>15</v>
      </c>
      <c r="G75" t="s">
        <v>16</v>
      </c>
      <c r="H75">
        <v>75762</v>
      </c>
      <c r="I75" t="s">
        <v>17</v>
      </c>
      <c r="J75" t="s">
        <v>16</v>
      </c>
      <c r="K75">
        <v>27604.26</v>
      </c>
      <c r="L75">
        <v>75762.23</v>
      </c>
      <c r="M75">
        <v>1</v>
      </c>
      <c r="Y75" s="1">
        <f t="shared" si="5"/>
        <v>2076.5050000000001</v>
      </c>
      <c r="Z75" s="2">
        <f t="shared" si="6"/>
        <v>48157.8</v>
      </c>
      <c r="AA75" s="2">
        <f t="shared" si="7"/>
        <v>48157.842143409238</v>
      </c>
      <c r="AB75" s="1">
        <f t="shared" si="8"/>
        <v>6.1595888799547617E-2</v>
      </c>
      <c r="AC75" s="1" t="b">
        <f t="shared" si="9"/>
        <v>1</v>
      </c>
    </row>
    <row r="76" spans="1:29" x14ac:dyDescent="0.25">
      <c r="A76" s="1" t="s">
        <v>97</v>
      </c>
      <c r="B76">
        <v>100</v>
      </c>
      <c r="D76" s="2">
        <v>48161.2</v>
      </c>
      <c r="E76">
        <v>45805</v>
      </c>
      <c r="F76" t="s">
        <v>15</v>
      </c>
      <c r="G76" t="s">
        <v>16</v>
      </c>
      <c r="H76">
        <v>93967</v>
      </c>
      <c r="I76" t="s">
        <v>17</v>
      </c>
      <c r="J76" t="s">
        <v>18</v>
      </c>
      <c r="K76">
        <v>45805.95</v>
      </c>
      <c r="L76">
        <v>93967.4</v>
      </c>
      <c r="M76">
        <v>1</v>
      </c>
      <c r="Y76" s="1">
        <f t="shared" si="5"/>
        <v>2076.3580000000002</v>
      </c>
      <c r="Z76" s="2">
        <f t="shared" si="6"/>
        <v>48161.2</v>
      </c>
      <c r="AA76" s="2">
        <f t="shared" si="7"/>
        <v>48161.251576076953</v>
      </c>
      <c r="AB76" s="1">
        <f t="shared" si="8"/>
        <v>6.1597530766870877E-2</v>
      </c>
      <c r="AC76" s="1" t="b">
        <f t="shared" si="9"/>
        <v>1</v>
      </c>
    </row>
    <row r="77" spans="1:29" x14ac:dyDescent="0.25">
      <c r="A77" s="1" t="s">
        <v>98</v>
      </c>
      <c r="B77">
        <v>300</v>
      </c>
      <c r="D77" s="2">
        <v>48169.8</v>
      </c>
      <c r="E77">
        <v>19700</v>
      </c>
      <c r="F77" t="s">
        <v>15</v>
      </c>
      <c r="G77" t="s">
        <v>23</v>
      </c>
      <c r="H77">
        <v>67870</v>
      </c>
      <c r="I77" t="s">
        <v>17</v>
      </c>
      <c r="J77" t="s">
        <v>16</v>
      </c>
      <c r="K77">
        <v>19700.900000000001</v>
      </c>
      <c r="L77">
        <v>67870.759999999995</v>
      </c>
      <c r="M77">
        <v>1</v>
      </c>
      <c r="Y77" s="1">
        <f t="shared" si="5"/>
        <v>2075.991</v>
      </c>
      <c r="Z77" s="2">
        <f t="shared" si="6"/>
        <v>48169.8</v>
      </c>
      <c r="AA77" s="2">
        <f t="shared" si="7"/>
        <v>48169.765668540953</v>
      </c>
      <c r="AB77" s="1">
        <f t="shared" si="8"/>
        <v>6.1601631622810737E-2</v>
      </c>
      <c r="AC77" s="1" t="b">
        <f t="shared" si="9"/>
        <v>1</v>
      </c>
    </row>
    <row r="78" spans="1:29" x14ac:dyDescent="0.25">
      <c r="A78" s="1" t="s">
        <v>99</v>
      </c>
      <c r="B78">
        <v>500</v>
      </c>
      <c r="D78" s="2">
        <v>48175.4</v>
      </c>
      <c r="E78">
        <v>15045</v>
      </c>
      <c r="F78" t="s">
        <v>15</v>
      </c>
      <c r="G78" t="s">
        <v>28</v>
      </c>
      <c r="H78">
        <v>63221</v>
      </c>
      <c r="I78" t="s">
        <v>17</v>
      </c>
      <c r="J78" t="s">
        <v>29</v>
      </c>
      <c r="K78">
        <v>15045.8</v>
      </c>
      <c r="L78">
        <v>63221.279999999999</v>
      </c>
      <c r="M78">
        <v>1</v>
      </c>
      <c r="Y78" s="1">
        <f t="shared" si="5"/>
        <v>2075.7469999999998</v>
      </c>
      <c r="Z78" s="2">
        <f t="shared" si="6"/>
        <v>48175.4</v>
      </c>
      <c r="AA78" s="2">
        <f t="shared" si="7"/>
        <v>48175.427930282451</v>
      </c>
      <c r="AB78" s="1">
        <f t="shared" si="8"/>
        <v>6.1604359281329193E-2</v>
      </c>
      <c r="AC78" s="1" t="b">
        <f t="shared" si="9"/>
        <v>1</v>
      </c>
    </row>
    <row r="79" spans="1:29" x14ac:dyDescent="0.25">
      <c r="A79" s="1" t="s">
        <v>100</v>
      </c>
      <c r="B79">
        <v>5</v>
      </c>
      <c r="D79" s="2">
        <v>48196.2</v>
      </c>
      <c r="M79">
        <v>1</v>
      </c>
      <c r="Y79" s="1">
        <f t="shared" si="5"/>
        <v>2074.8510000000001</v>
      </c>
      <c r="Z79" s="2">
        <f t="shared" si="6"/>
        <v>48196.2</v>
      </c>
      <c r="AA79" s="2">
        <f t="shared" si="7"/>
        <v>48196.231922195853</v>
      </c>
      <c r="AB79" s="1">
        <f t="shared" si="8"/>
        <v>6.1614383857490455E-2</v>
      </c>
      <c r="AC79" s="1" t="b">
        <f t="shared" si="9"/>
        <v>1</v>
      </c>
    </row>
    <row r="80" spans="1:29" x14ac:dyDescent="0.25">
      <c r="A80" s="1" t="s">
        <v>101</v>
      </c>
      <c r="B80">
        <v>20</v>
      </c>
      <c r="D80" s="2">
        <v>48222.1</v>
      </c>
      <c r="E80">
        <v>21755</v>
      </c>
      <c r="F80" t="s">
        <v>15</v>
      </c>
      <c r="G80" t="s">
        <v>23</v>
      </c>
      <c r="H80">
        <v>69978</v>
      </c>
      <c r="I80" t="s">
        <v>17</v>
      </c>
      <c r="J80" t="s">
        <v>23</v>
      </c>
      <c r="K80">
        <v>21755.84</v>
      </c>
      <c r="L80">
        <v>69978.080000000002</v>
      </c>
      <c r="M80">
        <v>1</v>
      </c>
      <c r="Y80" s="1">
        <f t="shared" si="5"/>
        <v>2073.739</v>
      </c>
      <c r="Z80" s="2">
        <f t="shared" si="6"/>
        <v>48222.1</v>
      </c>
      <c r="AA80" s="2">
        <f t="shared" si="7"/>
        <v>48222.07616291153</v>
      </c>
      <c r="AB80" s="1">
        <f t="shared" si="8"/>
        <v>6.1626843147308208E-2</v>
      </c>
      <c r="AC80" s="1" t="b">
        <f t="shared" si="9"/>
        <v>1</v>
      </c>
    </row>
    <row r="81" spans="1:29" x14ac:dyDescent="0.25">
      <c r="A81" s="1" t="s">
        <v>102</v>
      </c>
      <c r="B81">
        <v>200</v>
      </c>
      <c r="D81" s="2">
        <v>48228.5</v>
      </c>
      <c r="E81">
        <v>20315</v>
      </c>
      <c r="F81" t="s">
        <v>15</v>
      </c>
      <c r="G81" t="s">
        <v>16</v>
      </c>
      <c r="H81">
        <v>68544</v>
      </c>
      <c r="I81" t="s">
        <v>17</v>
      </c>
      <c r="J81" t="s">
        <v>16</v>
      </c>
      <c r="K81">
        <v>20315.650000000001</v>
      </c>
      <c r="L81">
        <v>68544.19</v>
      </c>
      <c r="M81">
        <v>1</v>
      </c>
      <c r="Y81" s="1">
        <f t="shared" si="5"/>
        <v>2073.462</v>
      </c>
      <c r="Z81" s="2">
        <f t="shared" si="6"/>
        <v>48228.5</v>
      </c>
      <c r="AA81" s="2">
        <f t="shared" si="7"/>
        <v>48228.518294523848</v>
      </c>
      <c r="AB81" s="1">
        <f t="shared" si="8"/>
        <v>6.1629949884426105E-2</v>
      </c>
      <c r="AC81" s="1" t="b">
        <f t="shared" si="9"/>
        <v>1</v>
      </c>
    </row>
    <row r="82" spans="1:29" x14ac:dyDescent="0.25">
      <c r="A82" s="1" t="s">
        <v>103</v>
      </c>
      <c r="B82">
        <v>3</v>
      </c>
      <c r="D82" s="2">
        <v>48234.3</v>
      </c>
      <c r="M82">
        <v>1</v>
      </c>
      <c r="Y82" s="1">
        <f t="shared" si="5"/>
        <v>2073.2150000000001</v>
      </c>
      <c r="Z82" s="2">
        <f t="shared" si="6"/>
        <v>48234.3</v>
      </c>
      <c r="AA82" s="2">
        <f t="shared" si="7"/>
        <v>48234.264174241449</v>
      </c>
      <c r="AB82" s="1">
        <f t="shared" si="8"/>
        <v>6.1632721202152567E-2</v>
      </c>
      <c r="AC82" s="1" t="b">
        <f t="shared" si="9"/>
        <v>1</v>
      </c>
    </row>
    <row r="83" spans="1:29" x14ac:dyDescent="0.25">
      <c r="A83" s="1" t="s">
        <v>104</v>
      </c>
      <c r="B83">
        <v>10</v>
      </c>
      <c r="D83" s="2">
        <v>48241.9</v>
      </c>
      <c r="E83">
        <v>24788</v>
      </c>
      <c r="F83" t="s">
        <v>15</v>
      </c>
      <c r="G83" t="s">
        <v>16</v>
      </c>
      <c r="H83">
        <v>73029</v>
      </c>
      <c r="I83" t="s">
        <v>17</v>
      </c>
      <c r="J83" t="s">
        <v>16</v>
      </c>
      <c r="K83">
        <v>24788.02</v>
      </c>
      <c r="L83">
        <v>73029.899999999994</v>
      </c>
      <c r="M83">
        <v>1</v>
      </c>
      <c r="Y83" s="1">
        <f t="shared" si="5"/>
        <v>2072.886</v>
      </c>
      <c r="Z83" s="2">
        <f t="shared" si="6"/>
        <v>48241.9</v>
      </c>
      <c r="AA83" s="2">
        <f t="shared" si="7"/>
        <v>48241.919719656558</v>
      </c>
      <c r="AB83" s="1">
        <f t="shared" si="8"/>
        <v>6.1636414091188946E-2</v>
      </c>
      <c r="AC83" s="1" t="b">
        <f t="shared" si="9"/>
        <v>1</v>
      </c>
    </row>
    <row r="84" spans="1:29" x14ac:dyDescent="0.25">
      <c r="A84" s="1" t="s">
        <v>105</v>
      </c>
      <c r="B84">
        <v>15</v>
      </c>
      <c r="D84" s="2">
        <v>48249</v>
      </c>
      <c r="M84">
        <v>1</v>
      </c>
      <c r="Y84" s="1">
        <f t="shared" si="5"/>
        <v>2072.58</v>
      </c>
      <c r="Z84" s="2">
        <f t="shared" si="6"/>
        <v>48249</v>
      </c>
      <c r="AA84" s="2">
        <f t="shared" si="7"/>
        <v>48249.042256511209</v>
      </c>
      <c r="AB84" s="1">
        <f t="shared" si="8"/>
        <v>6.1639850393353027E-2</v>
      </c>
      <c r="AC84" s="1" t="b">
        <f t="shared" si="9"/>
        <v>1</v>
      </c>
    </row>
    <row r="85" spans="1:29" x14ac:dyDescent="0.25">
      <c r="A85" s="1" t="s">
        <v>106</v>
      </c>
      <c r="B85">
        <v>400</v>
      </c>
      <c r="D85" s="2">
        <v>48250.1</v>
      </c>
      <c r="E85">
        <v>18990</v>
      </c>
      <c r="F85" t="s">
        <v>15</v>
      </c>
      <c r="G85" t="s">
        <v>18</v>
      </c>
      <c r="H85">
        <v>67240</v>
      </c>
      <c r="I85" t="s">
        <v>17</v>
      </c>
      <c r="J85" t="s">
        <v>18</v>
      </c>
      <c r="K85">
        <v>18990.080000000002</v>
      </c>
      <c r="L85">
        <v>67240.350000000006</v>
      </c>
      <c r="M85">
        <v>1</v>
      </c>
      <c r="Y85" s="1">
        <f t="shared" si="5"/>
        <v>2072.5340000000001</v>
      </c>
      <c r="Z85" s="2">
        <f t="shared" si="6"/>
        <v>48250.1</v>
      </c>
      <c r="AA85" s="2">
        <f t="shared" si="7"/>
        <v>48250.113146515323</v>
      </c>
      <c r="AB85" s="1">
        <f t="shared" si="8"/>
        <v>6.1640367093257653E-2</v>
      </c>
      <c r="AC85" s="1" t="b">
        <f t="shared" si="9"/>
        <v>1</v>
      </c>
    </row>
    <row r="86" spans="1:29" x14ac:dyDescent="0.25">
      <c r="A86" s="1" t="s">
        <v>107</v>
      </c>
      <c r="B86">
        <v>80</v>
      </c>
      <c r="D86" s="2">
        <v>48262.8</v>
      </c>
      <c r="E86">
        <v>21418</v>
      </c>
      <c r="F86" t="s">
        <v>15</v>
      </c>
      <c r="G86" t="s">
        <v>28</v>
      </c>
      <c r="H86">
        <v>69681</v>
      </c>
      <c r="I86" t="s">
        <v>17</v>
      </c>
      <c r="J86" t="s">
        <v>28</v>
      </c>
      <c r="K86">
        <v>21418.84</v>
      </c>
      <c r="L86">
        <v>69681.600000000006</v>
      </c>
      <c r="M86">
        <v>1</v>
      </c>
      <c r="Y86" s="1">
        <f t="shared" si="5"/>
        <v>2071.991</v>
      </c>
      <c r="Z86" s="2">
        <f t="shared" si="6"/>
        <v>48262.8</v>
      </c>
      <c r="AA86" s="2">
        <f t="shared" si="7"/>
        <v>48262.757898079675</v>
      </c>
      <c r="AB86" s="1">
        <f t="shared" si="8"/>
        <v>6.1646468999643267E-2</v>
      </c>
      <c r="AC86" s="1" t="b">
        <f t="shared" si="9"/>
        <v>1</v>
      </c>
    </row>
    <row r="87" spans="1:29" x14ac:dyDescent="0.25">
      <c r="A87" s="1" t="s">
        <v>108</v>
      </c>
      <c r="B87">
        <v>5</v>
      </c>
      <c r="D87" s="2">
        <v>48273.4</v>
      </c>
      <c r="E87">
        <v>22747</v>
      </c>
      <c r="F87" t="s">
        <v>15</v>
      </c>
      <c r="G87" t="s">
        <v>16</v>
      </c>
      <c r="H87">
        <v>71021</v>
      </c>
      <c r="I87" t="s">
        <v>17</v>
      </c>
      <c r="J87" t="s">
        <v>16</v>
      </c>
      <c r="K87">
        <v>22747.69</v>
      </c>
      <c r="L87">
        <v>71021.100000000006</v>
      </c>
      <c r="M87">
        <v>1</v>
      </c>
      <c r="Y87" s="1">
        <f t="shared" si="5"/>
        <v>2071.5329999999999</v>
      </c>
      <c r="Z87" s="2">
        <f t="shared" si="6"/>
        <v>48273.4</v>
      </c>
      <c r="AA87" s="2">
        <f t="shared" si="7"/>
        <v>48273.428422332639</v>
      </c>
      <c r="AB87" s="1">
        <f t="shared" si="8"/>
        <v>6.1651619458230368E-2</v>
      </c>
      <c r="AC87" s="1" t="b">
        <f t="shared" si="9"/>
        <v>1</v>
      </c>
    </row>
    <row r="88" spans="1:29" x14ac:dyDescent="0.25">
      <c r="A88" s="1" t="s">
        <v>109</v>
      </c>
      <c r="B88">
        <v>50</v>
      </c>
      <c r="D88" s="2">
        <v>48291.3</v>
      </c>
      <c r="E88">
        <v>15525</v>
      </c>
      <c r="F88" t="s">
        <v>15</v>
      </c>
      <c r="G88" t="s">
        <v>23</v>
      </c>
      <c r="H88">
        <v>63816</v>
      </c>
      <c r="I88" t="s">
        <v>17</v>
      </c>
      <c r="J88" t="s">
        <v>23</v>
      </c>
      <c r="K88">
        <v>15525.5</v>
      </c>
      <c r="L88">
        <v>63816.91</v>
      </c>
      <c r="M88">
        <v>1</v>
      </c>
      <c r="Y88" s="1">
        <f t="shared" si="5"/>
        <v>2070.768</v>
      </c>
      <c r="Z88" s="2">
        <f t="shared" si="6"/>
        <v>48291.3</v>
      </c>
      <c r="AA88" s="2">
        <f t="shared" si="7"/>
        <v>48291.261985891222</v>
      </c>
      <c r="AB88" s="1">
        <f t="shared" si="8"/>
        <v>6.1660229920949917E-2</v>
      </c>
      <c r="AC88" s="1" t="b">
        <f t="shared" si="9"/>
        <v>1</v>
      </c>
    </row>
    <row r="89" spans="1:29" x14ac:dyDescent="0.25">
      <c r="A89" s="1" t="s">
        <v>110</v>
      </c>
      <c r="B89">
        <v>200</v>
      </c>
      <c r="D89" s="2">
        <v>48294</v>
      </c>
      <c r="E89">
        <v>23442</v>
      </c>
      <c r="F89" t="s">
        <v>15</v>
      </c>
      <c r="G89" t="s">
        <v>23</v>
      </c>
      <c r="H89">
        <v>71736</v>
      </c>
      <c r="I89" t="s">
        <v>17</v>
      </c>
      <c r="J89" t="s">
        <v>23</v>
      </c>
      <c r="K89">
        <v>23442.25</v>
      </c>
      <c r="L89">
        <v>71736.45</v>
      </c>
      <c r="M89">
        <v>1</v>
      </c>
      <c r="Y89" s="1">
        <f t="shared" si="5"/>
        <v>2070.6489999999999</v>
      </c>
      <c r="Z89" s="2">
        <f t="shared" si="6"/>
        <v>48294</v>
      </c>
      <c r="AA89" s="2">
        <f t="shared" si="7"/>
        <v>48294.037280099139</v>
      </c>
      <c r="AB89" s="1">
        <f t="shared" si="8"/>
        <v>6.1661570184058032E-2</v>
      </c>
      <c r="AC89" s="1" t="b">
        <f t="shared" si="9"/>
        <v>1</v>
      </c>
    </row>
    <row r="90" spans="1:29" x14ac:dyDescent="0.25">
      <c r="A90" s="1" t="s">
        <v>111</v>
      </c>
      <c r="B90">
        <v>50</v>
      </c>
      <c r="D90" s="2">
        <v>48301.3</v>
      </c>
      <c r="E90">
        <v>16516</v>
      </c>
      <c r="F90" t="s">
        <v>15</v>
      </c>
      <c r="G90" t="s">
        <v>18</v>
      </c>
      <c r="H90">
        <v>64817</v>
      </c>
      <c r="I90" t="s">
        <v>17</v>
      </c>
      <c r="J90" t="s">
        <v>28</v>
      </c>
      <c r="K90">
        <v>16516.150000000001</v>
      </c>
      <c r="L90">
        <v>64817.53</v>
      </c>
      <c r="M90">
        <v>1</v>
      </c>
      <c r="Y90" s="1">
        <f t="shared" si="5"/>
        <v>2070.3380000000002</v>
      </c>
      <c r="Z90" s="2">
        <f t="shared" si="6"/>
        <v>48301.3</v>
      </c>
      <c r="AA90" s="2">
        <f t="shared" si="7"/>
        <v>48301.291866352251</v>
      </c>
      <c r="AB90" s="1">
        <f t="shared" si="8"/>
        <v>6.1665073979792734E-2</v>
      </c>
      <c r="AC90" s="1" t="b">
        <f t="shared" si="9"/>
        <v>1</v>
      </c>
    </row>
    <row r="91" spans="1:29" x14ac:dyDescent="0.25">
      <c r="A91" s="1" t="s">
        <v>112</v>
      </c>
      <c r="B91">
        <v>400</v>
      </c>
      <c r="D91" s="2">
        <v>48308.2</v>
      </c>
      <c r="E91">
        <v>17627</v>
      </c>
      <c r="F91" t="s">
        <v>15</v>
      </c>
      <c r="G91" t="s">
        <v>16</v>
      </c>
      <c r="H91">
        <v>65935</v>
      </c>
      <c r="I91" t="s">
        <v>17</v>
      </c>
      <c r="J91" t="s">
        <v>18</v>
      </c>
      <c r="K91">
        <v>17627</v>
      </c>
      <c r="L91">
        <v>65935.25</v>
      </c>
      <c r="M91">
        <v>1</v>
      </c>
      <c r="Y91" s="1">
        <f t="shared" si="5"/>
        <v>2070.0419999999999</v>
      </c>
      <c r="Z91" s="2">
        <f t="shared" si="6"/>
        <v>48308.2</v>
      </c>
      <c r="AA91" s="2">
        <f t="shared" si="7"/>
        <v>48308.198577613402</v>
      </c>
      <c r="AB91" s="1">
        <f t="shared" si="8"/>
        <v>6.1668410249070653E-2</v>
      </c>
      <c r="AC91" s="1" t="b">
        <f t="shared" si="9"/>
        <v>1</v>
      </c>
    </row>
    <row r="92" spans="1:29" x14ac:dyDescent="0.25">
      <c r="A92" s="1" t="s">
        <v>113</v>
      </c>
      <c r="B92">
        <v>50</v>
      </c>
      <c r="D92" s="2">
        <v>48326.5</v>
      </c>
      <c r="E92">
        <v>23651</v>
      </c>
      <c r="F92" t="s">
        <v>15</v>
      </c>
      <c r="G92" t="s">
        <v>18</v>
      </c>
      <c r="H92">
        <v>71978</v>
      </c>
      <c r="I92" t="s">
        <v>17</v>
      </c>
      <c r="J92" t="s">
        <v>18</v>
      </c>
      <c r="K92">
        <v>23651.88</v>
      </c>
      <c r="L92">
        <v>71978.52</v>
      </c>
      <c r="M92">
        <v>1</v>
      </c>
      <c r="Y92" s="1">
        <f t="shared" si="5"/>
        <v>2069.2579999999998</v>
      </c>
      <c r="Z92" s="2">
        <f t="shared" si="6"/>
        <v>48326.5</v>
      </c>
      <c r="AA92" s="2">
        <f t="shared" si="7"/>
        <v>48326.501576893752</v>
      </c>
      <c r="AB92" s="1">
        <f t="shared" si="8"/>
        <v>6.1677253773307572E-2</v>
      </c>
      <c r="AC92" s="1" t="b">
        <f t="shared" si="9"/>
        <v>1</v>
      </c>
    </row>
    <row r="93" spans="1:29" x14ac:dyDescent="0.25">
      <c r="A93" s="1" t="s">
        <v>114</v>
      </c>
      <c r="B93">
        <v>30</v>
      </c>
      <c r="D93" s="2">
        <v>48342.8</v>
      </c>
      <c r="E93">
        <v>23651</v>
      </c>
      <c r="F93" t="s">
        <v>15</v>
      </c>
      <c r="G93" t="s">
        <v>18</v>
      </c>
      <c r="H93">
        <v>71994</v>
      </c>
      <c r="I93" t="s">
        <v>17</v>
      </c>
      <c r="J93" t="s">
        <v>28</v>
      </c>
      <c r="K93">
        <v>23651.88</v>
      </c>
      <c r="L93">
        <v>71994.81</v>
      </c>
      <c r="M93">
        <v>1</v>
      </c>
      <c r="Y93" s="1">
        <f t="shared" si="5"/>
        <v>2068.5590000000002</v>
      </c>
      <c r="Z93" s="2">
        <f t="shared" si="6"/>
        <v>48342.8</v>
      </c>
      <c r="AA93" s="2">
        <f t="shared" si="7"/>
        <v>48342.831894086652</v>
      </c>
      <c r="AB93" s="1">
        <f t="shared" si="8"/>
        <v>6.1685146977699612E-2</v>
      </c>
      <c r="AC93" s="1" t="b">
        <f t="shared" si="9"/>
        <v>1</v>
      </c>
    </row>
    <row r="94" spans="1:29" x14ac:dyDescent="0.25">
      <c r="A94" s="1" t="s">
        <v>115</v>
      </c>
      <c r="B94">
        <v>200</v>
      </c>
      <c r="D94" s="2">
        <v>48349.8</v>
      </c>
      <c r="E94">
        <v>39870</v>
      </c>
      <c r="F94" t="s">
        <v>15</v>
      </c>
      <c r="G94" t="s">
        <v>16</v>
      </c>
      <c r="H94">
        <v>88220</v>
      </c>
      <c r="I94" t="s">
        <v>17</v>
      </c>
      <c r="J94" t="s">
        <v>16</v>
      </c>
      <c r="K94">
        <v>39870.17</v>
      </c>
      <c r="L94">
        <v>88220.2</v>
      </c>
      <c r="M94">
        <v>1</v>
      </c>
      <c r="Y94" s="1">
        <f t="shared" si="5"/>
        <v>2068.261</v>
      </c>
      <c r="Z94" s="2">
        <f t="shared" si="6"/>
        <v>48349.8</v>
      </c>
      <c r="AA94" s="2">
        <f t="shared" si="7"/>
        <v>48349.79724512525</v>
      </c>
      <c r="AB94" s="1">
        <f t="shared" si="8"/>
        <v>6.1688514468223613E-2</v>
      </c>
      <c r="AC94" s="1" t="b">
        <f t="shared" si="9"/>
        <v>1</v>
      </c>
    </row>
    <row r="95" spans="1:29" x14ac:dyDescent="0.25">
      <c r="A95" s="1" t="s">
        <v>116</v>
      </c>
      <c r="B95">
        <v>200</v>
      </c>
      <c r="D95" s="2">
        <v>48362.6</v>
      </c>
      <c r="E95">
        <v>15454</v>
      </c>
      <c r="F95" t="s">
        <v>15</v>
      </c>
      <c r="G95" t="s">
        <v>50</v>
      </c>
      <c r="H95">
        <v>63816</v>
      </c>
      <c r="I95" t="s">
        <v>17</v>
      </c>
      <c r="J95" t="s">
        <v>23</v>
      </c>
      <c r="K95">
        <v>15454.16</v>
      </c>
      <c r="L95">
        <v>63816.91</v>
      </c>
      <c r="M95">
        <v>1</v>
      </c>
      <c r="Y95" s="1">
        <f t="shared" si="5"/>
        <v>2067.712</v>
      </c>
      <c r="Z95" s="2">
        <f t="shared" si="6"/>
        <v>48362.6</v>
      </c>
      <c r="AA95" s="2">
        <f t="shared" si="7"/>
        <v>48362.634641574841</v>
      </c>
      <c r="AB95" s="1">
        <f t="shared" si="8"/>
        <v>6.1694722147372275E-2</v>
      </c>
      <c r="AC95" s="1" t="b">
        <f t="shared" si="9"/>
        <v>1</v>
      </c>
    </row>
    <row r="96" spans="1:29" x14ac:dyDescent="0.25">
      <c r="A96" s="1" t="s">
        <v>117</v>
      </c>
      <c r="B96">
        <v>200</v>
      </c>
      <c r="D96" s="2">
        <v>48378.5</v>
      </c>
      <c r="M96">
        <v>1</v>
      </c>
      <c r="Y96" s="1">
        <f t="shared" si="5"/>
        <v>2067.0340000000001</v>
      </c>
      <c r="Z96" s="2">
        <f t="shared" si="6"/>
        <v>48378.5</v>
      </c>
      <c r="AA96" s="2">
        <f t="shared" si="7"/>
        <v>48378.497886343423</v>
      </c>
      <c r="AB96" s="1">
        <f t="shared" si="8"/>
        <v>6.1702395288694679E-2</v>
      </c>
      <c r="AC96" s="1" t="b">
        <f t="shared" si="9"/>
        <v>1</v>
      </c>
    </row>
    <row r="97" spans="1:29" x14ac:dyDescent="0.25">
      <c r="A97" s="1" t="s">
        <v>118</v>
      </c>
      <c r="B97">
        <v>10</v>
      </c>
      <c r="D97" s="2">
        <v>48396.4</v>
      </c>
      <c r="M97">
        <v>1</v>
      </c>
      <c r="Y97" s="1">
        <f t="shared" si="5"/>
        <v>2066.27</v>
      </c>
      <c r="Z97" s="2">
        <f t="shared" si="6"/>
        <v>48396.4</v>
      </c>
      <c r="AA97" s="2">
        <f t="shared" si="7"/>
        <v>48396.385757911601</v>
      </c>
      <c r="AB97" s="1">
        <f t="shared" si="8"/>
        <v>6.171105077214295E-2</v>
      </c>
      <c r="AC97" s="1" t="b">
        <f t="shared" si="9"/>
        <v>1</v>
      </c>
    </row>
    <row r="98" spans="1:29" x14ac:dyDescent="0.25">
      <c r="A98" s="1" t="s">
        <v>119</v>
      </c>
      <c r="B98">
        <v>300</v>
      </c>
      <c r="D98" s="2">
        <v>48405.2</v>
      </c>
      <c r="E98">
        <v>18990</v>
      </c>
      <c r="F98" t="s">
        <v>15</v>
      </c>
      <c r="G98" t="s">
        <v>18</v>
      </c>
      <c r="H98">
        <v>67395</v>
      </c>
      <c r="I98" t="s">
        <v>17</v>
      </c>
      <c r="J98" t="s">
        <v>28</v>
      </c>
      <c r="K98">
        <v>18990.080000000002</v>
      </c>
      <c r="L98">
        <v>67395.320000000007</v>
      </c>
      <c r="M98">
        <v>1</v>
      </c>
      <c r="Y98" s="1">
        <f t="shared" si="5"/>
        <v>2065.895</v>
      </c>
      <c r="Z98" s="2">
        <f t="shared" si="6"/>
        <v>48405.2</v>
      </c>
      <c r="AA98" s="2">
        <f t="shared" si="7"/>
        <v>48405.1706403278</v>
      </c>
      <c r="AB98" s="1">
        <f t="shared" si="8"/>
        <v>6.1715302723596266E-2</v>
      </c>
      <c r="AC98" s="1" t="b">
        <f t="shared" si="9"/>
        <v>1</v>
      </c>
    </row>
    <row r="99" spans="1:29" x14ac:dyDescent="0.25">
      <c r="A99" s="1" t="s">
        <v>120</v>
      </c>
      <c r="B99">
        <v>5</v>
      </c>
      <c r="D99" s="2">
        <v>48422</v>
      </c>
      <c r="E99">
        <v>27138</v>
      </c>
      <c r="F99" t="s">
        <v>15</v>
      </c>
      <c r="G99" t="s">
        <v>18</v>
      </c>
      <c r="H99">
        <v>75560</v>
      </c>
      <c r="I99" t="s">
        <v>17</v>
      </c>
      <c r="J99" t="s">
        <v>28</v>
      </c>
      <c r="K99">
        <v>27138.55</v>
      </c>
      <c r="L99">
        <v>75560.75</v>
      </c>
      <c r="M99">
        <v>1</v>
      </c>
      <c r="Y99" s="1">
        <f t="shared" si="5"/>
        <v>2065.1770000000001</v>
      </c>
      <c r="Z99" s="2">
        <f t="shared" si="6"/>
        <v>48422</v>
      </c>
      <c r="AA99" s="2">
        <f t="shared" si="7"/>
        <v>48421.999663951319</v>
      </c>
      <c r="AB99" s="1">
        <f t="shared" si="8"/>
        <v>6.172345025727851E-2</v>
      </c>
      <c r="AC99" s="1" t="b">
        <f t="shared" si="9"/>
        <v>1</v>
      </c>
    </row>
    <row r="100" spans="1:29" x14ac:dyDescent="0.25">
      <c r="A100" s="1" t="s">
        <v>121</v>
      </c>
      <c r="B100">
        <v>1000</v>
      </c>
      <c r="D100" s="2">
        <v>48432.3</v>
      </c>
      <c r="E100">
        <v>17534</v>
      </c>
      <c r="F100" t="s">
        <v>15</v>
      </c>
      <c r="G100" t="s">
        <v>57</v>
      </c>
      <c r="H100">
        <v>65967</v>
      </c>
      <c r="I100" t="s">
        <v>17</v>
      </c>
      <c r="J100" t="s">
        <v>50</v>
      </c>
      <c r="K100">
        <v>17534.759999999998</v>
      </c>
      <c r="L100">
        <v>65967.149999999994</v>
      </c>
      <c r="M100">
        <v>1</v>
      </c>
      <c r="Y100" s="1">
        <f t="shared" si="5"/>
        <v>2064.7359999999999</v>
      </c>
      <c r="Z100" s="2">
        <f t="shared" si="6"/>
        <v>48432.3</v>
      </c>
      <c r="AA100" s="2">
        <f t="shared" si="7"/>
        <v>48432.341955581731</v>
      </c>
      <c r="AB100" s="1">
        <f t="shared" si="8"/>
        <v>6.1728458736512018E-2</v>
      </c>
      <c r="AC100" s="1" t="b">
        <f t="shared" si="9"/>
        <v>1</v>
      </c>
    </row>
    <row r="101" spans="1:29" x14ac:dyDescent="0.25">
      <c r="A101" s="1">
        <v>2064.2910000000002</v>
      </c>
      <c r="B101">
        <v>2</v>
      </c>
      <c r="D101" s="2">
        <v>48442.8</v>
      </c>
      <c r="E101">
        <v>21535</v>
      </c>
      <c r="F101" t="s">
        <v>15</v>
      </c>
      <c r="G101" t="s">
        <v>16</v>
      </c>
      <c r="H101">
        <v>69978</v>
      </c>
      <c r="I101" t="s">
        <v>17</v>
      </c>
      <c r="J101" t="s">
        <v>23</v>
      </c>
      <c r="K101">
        <v>21535.17</v>
      </c>
      <c r="L101">
        <v>69978.080000000002</v>
      </c>
      <c r="M101">
        <v>2</v>
      </c>
      <c r="Y101" s="1">
        <f t="shared" si="5"/>
        <v>2064.2910000000002</v>
      </c>
      <c r="Z101" s="2">
        <f t="shared" si="6"/>
        <v>48442.8</v>
      </c>
      <c r="AA101" s="2">
        <f t="shared" si="7"/>
        <v>48442.782534051636</v>
      </c>
      <c r="AB101" s="1">
        <f t="shared" si="8"/>
        <v>6.1733515898207095E-2</v>
      </c>
      <c r="AC101" s="1" t="b">
        <f t="shared" si="9"/>
        <v>1</v>
      </c>
    </row>
    <row r="102" spans="1:29" x14ac:dyDescent="0.25">
      <c r="A102" s="1">
        <v>2064.1759999999999</v>
      </c>
      <c r="B102">
        <v>10</v>
      </c>
      <c r="D102" s="2">
        <v>48445.5</v>
      </c>
      <c r="E102">
        <v>23532</v>
      </c>
      <c r="F102" t="s">
        <v>15</v>
      </c>
      <c r="G102" t="s">
        <v>28</v>
      </c>
      <c r="H102">
        <v>71978</v>
      </c>
      <c r="I102" t="s">
        <v>17</v>
      </c>
      <c r="J102" t="s">
        <v>18</v>
      </c>
      <c r="K102">
        <v>23532.86</v>
      </c>
      <c r="L102">
        <v>71978.52</v>
      </c>
      <c r="M102">
        <v>2</v>
      </c>
      <c r="Y102" s="1">
        <f t="shared" si="5"/>
        <v>2064.1759999999999</v>
      </c>
      <c r="Z102" s="2">
        <f t="shared" si="6"/>
        <v>48445.5</v>
      </c>
      <c r="AA102" s="2">
        <f t="shared" si="7"/>
        <v>48445.481393059505</v>
      </c>
      <c r="AB102" s="1">
        <f t="shared" si="8"/>
        <v>6.1734823337026373E-2</v>
      </c>
      <c r="AC102" s="1" t="b">
        <f t="shared" si="9"/>
        <v>1</v>
      </c>
    </row>
    <row r="103" spans="1:29" x14ac:dyDescent="0.25">
      <c r="A103" s="1">
        <v>2063.9659999999999</v>
      </c>
      <c r="B103">
        <v>5</v>
      </c>
      <c r="D103" s="2">
        <v>48450.400000000001</v>
      </c>
      <c r="E103">
        <v>23050</v>
      </c>
      <c r="F103" t="s">
        <v>15</v>
      </c>
      <c r="G103" t="s">
        <v>29</v>
      </c>
      <c r="H103">
        <v>71501</v>
      </c>
      <c r="I103" t="s">
        <v>17</v>
      </c>
      <c r="J103" t="s">
        <v>29</v>
      </c>
      <c r="K103">
        <v>23050.61</v>
      </c>
      <c r="L103">
        <v>71501</v>
      </c>
      <c r="M103">
        <v>2</v>
      </c>
      <c r="Y103" s="1">
        <f t="shared" si="5"/>
        <v>2063.9659999999999</v>
      </c>
      <c r="Z103" s="2">
        <f t="shared" si="6"/>
        <v>48450.400000000001</v>
      </c>
      <c r="AA103" s="2">
        <f t="shared" si="7"/>
        <v>48450.41052032834</v>
      </c>
      <c r="AB103" s="1">
        <f t="shared" si="8"/>
        <v>6.1737211397941721E-2</v>
      </c>
      <c r="AC103" s="1" t="b">
        <f t="shared" si="9"/>
        <v>1</v>
      </c>
    </row>
    <row r="104" spans="1:29" x14ac:dyDescent="0.25">
      <c r="A104" s="1">
        <v>2063.7649999999999</v>
      </c>
      <c r="B104">
        <v>2</v>
      </c>
      <c r="D104" s="2">
        <v>48455.1</v>
      </c>
      <c r="M104">
        <v>2</v>
      </c>
      <c r="Y104" s="1">
        <f t="shared" si="5"/>
        <v>2063.7649999999999</v>
      </c>
      <c r="Z104" s="2">
        <f t="shared" si="6"/>
        <v>48455.1</v>
      </c>
      <c r="AA104" s="2">
        <f t="shared" si="7"/>
        <v>48455.129338853993</v>
      </c>
      <c r="AB104" s="1">
        <f t="shared" si="8"/>
        <v>6.1739497796225347E-2</v>
      </c>
      <c r="AC104" s="1" t="b">
        <f t="shared" si="9"/>
        <v>1</v>
      </c>
    </row>
    <row r="105" spans="1:29" x14ac:dyDescent="0.25">
      <c r="A105" s="1">
        <v>2063.5920000000001</v>
      </c>
      <c r="B105">
        <v>1</v>
      </c>
      <c r="D105" s="2">
        <v>48459.199999999997</v>
      </c>
      <c r="E105">
        <v>19872</v>
      </c>
      <c r="F105" t="s">
        <v>15</v>
      </c>
      <c r="G105" t="s">
        <v>18</v>
      </c>
      <c r="H105">
        <v>68331</v>
      </c>
      <c r="I105" t="s">
        <v>17</v>
      </c>
      <c r="J105" t="s">
        <v>18</v>
      </c>
      <c r="K105">
        <v>19872.43</v>
      </c>
      <c r="L105">
        <v>68331.73</v>
      </c>
      <c r="M105">
        <v>2</v>
      </c>
      <c r="Y105" s="1">
        <f t="shared" si="5"/>
        <v>2063.5920000000001</v>
      </c>
      <c r="Z105" s="2">
        <f t="shared" si="6"/>
        <v>48459.199999999997</v>
      </c>
      <c r="AA105" s="2">
        <f t="shared" si="7"/>
        <v>48459.191545615606</v>
      </c>
      <c r="AB105" s="1">
        <f t="shared" si="8"/>
        <v>6.1741466226273314E-2</v>
      </c>
      <c r="AC105" s="1" t="b">
        <f t="shared" si="9"/>
        <v>1</v>
      </c>
    </row>
    <row r="106" spans="1:29" x14ac:dyDescent="0.25">
      <c r="A106" s="1">
        <v>2063.4780000000001</v>
      </c>
      <c r="B106">
        <v>3</v>
      </c>
      <c r="D106" s="2">
        <v>48461.9</v>
      </c>
      <c r="E106">
        <v>23532</v>
      </c>
      <c r="F106" t="s">
        <v>15</v>
      </c>
      <c r="G106" t="s">
        <v>28</v>
      </c>
      <c r="H106">
        <v>71994</v>
      </c>
      <c r="I106" t="s">
        <v>17</v>
      </c>
      <c r="J106" t="s">
        <v>28</v>
      </c>
      <c r="K106">
        <v>23532.86</v>
      </c>
      <c r="L106">
        <v>71994.81</v>
      </c>
      <c r="M106">
        <v>2</v>
      </c>
      <c r="Y106" s="1">
        <f t="shared" si="5"/>
        <v>2063.4780000000001</v>
      </c>
      <c r="Z106" s="2">
        <f t="shared" si="6"/>
        <v>48461.9</v>
      </c>
      <c r="AA106" s="2">
        <f t="shared" si="7"/>
        <v>48461.868747813154</v>
      </c>
      <c r="AB106" s="1">
        <f t="shared" si="8"/>
        <v>6.1742763612651352E-2</v>
      </c>
      <c r="AC106" s="1" t="b">
        <f t="shared" si="9"/>
        <v>1</v>
      </c>
    </row>
    <row r="107" spans="1:29" x14ac:dyDescent="0.25">
      <c r="A107" s="1">
        <v>2063.1610000000001</v>
      </c>
      <c r="B107">
        <v>4</v>
      </c>
      <c r="D107" s="2">
        <v>48469.3</v>
      </c>
      <c r="E107">
        <v>18211</v>
      </c>
      <c r="F107" t="s">
        <v>15</v>
      </c>
      <c r="G107" t="s">
        <v>28</v>
      </c>
      <c r="H107">
        <v>66681</v>
      </c>
      <c r="I107" t="s">
        <v>17</v>
      </c>
      <c r="J107" t="s">
        <v>28</v>
      </c>
      <c r="K107">
        <v>18211.759999999998</v>
      </c>
      <c r="L107">
        <v>66681.14</v>
      </c>
      <c r="M107">
        <v>2</v>
      </c>
      <c r="Y107" s="1">
        <f t="shared" si="5"/>
        <v>2063.1610000000001</v>
      </c>
      <c r="Z107" s="2">
        <f t="shared" si="6"/>
        <v>48469.3</v>
      </c>
      <c r="AA107" s="2">
        <f t="shared" si="7"/>
        <v>48469.314803837413</v>
      </c>
      <c r="AB107" s="1">
        <f t="shared" si="8"/>
        <v>6.1746372387767465E-2</v>
      </c>
      <c r="AC107" s="1" t="b">
        <f t="shared" si="9"/>
        <v>1</v>
      </c>
    </row>
    <row r="108" spans="1:29" x14ac:dyDescent="0.25">
      <c r="A108" s="1">
        <v>2062.87</v>
      </c>
      <c r="B108">
        <v>200</v>
      </c>
      <c r="D108" s="2">
        <v>48476.2</v>
      </c>
      <c r="E108">
        <v>27138</v>
      </c>
      <c r="F108" t="s">
        <v>15</v>
      </c>
      <c r="G108" t="s">
        <v>18</v>
      </c>
      <c r="H108">
        <v>75614</v>
      </c>
      <c r="I108" t="s">
        <v>17</v>
      </c>
      <c r="J108" t="s">
        <v>28</v>
      </c>
      <c r="K108">
        <v>27138.55</v>
      </c>
      <c r="L108">
        <v>75614.81</v>
      </c>
      <c r="M108">
        <v>2</v>
      </c>
      <c r="Y108" s="1">
        <f t="shared" si="5"/>
        <v>2062.87</v>
      </c>
      <c r="Z108" s="2">
        <f t="shared" si="6"/>
        <v>48476.2</v>
      </c>
      <c r="AA108" s="2">
        <f t="shared" si="7"/>
        <v>48476.152156946395</v>
      </c>
      <c r="AB108" s="1">
        <f t="shared" si="8"/>
        <v>6.1749686639717097E-2</v>
      </c>
      <c r="AC108" s="1" t="b">
        <f t="shared" si="9"/>
        <v>1</v>
      </c>
    </row>
    <row r="109" spans="1:29" x14ac:dyDescent="0.25">
      <c r="A109" s="1">
        <v>2062.4569999999999</v>
      </c>
      <c r="B109">
        <v>200</v>
      </c>
      <c r="C109" t="s">
        <v>27</v>
      </c>
      <c r="D109" s="2">
        <v>48485.9</v>
      </c>
      <c r="E109">
        <v>20315</v>
      </c>
      <c r="F109" t="s">
        <v>15</v>
      </c>
      <c r="G109" t="s">
        <v>16</v>
      </c>
      <c r="H109">
        <v>68801</v>
      </c>
      <c r="I109" t="s">
        <v>17</v>
      </c>
      <c r="J109" t="s">
        <v>18</v>
      </c>
      <c r="K109">
        <v>20315.650000000001</v>
      </c>
      <c r="L109">
        <v>68801.67</v>
      </c>
      <c r="M109">
        <v>2</v>
      </c>
      <c r="Y109" s="1">
        <f t="shared" si="5"/>
        <v>2062.4569999999999</v>
      </c>
      <c r="Z109" s="2">
        <f t="shared" si="6"/>
        <v>48485.9</v>
      </c>
      <c r="AA109" s="2">
        <f t="shared" si="7"/>
        <v>48485.859341552336</v>
      </c>
      <c r="AB109" s="1">
        <f t="shared" si="8"/>
        <v>6.1754392780443992E-2</v>
      </c>
      <c r="AC109" s="1" t="b">
        <f t="shared" si="9"/>
        <v>1</v>
      </c>
    </row>
    <row r="110" spans="1:29" x14ac:dyDescent="0.25">
      <c r="A110" s="1">
        <v>2062.4569999999999</v>
      </c>
      <c r="B110">
        <v>200</v>
      </c>
      <c r="C110" t="s">
        <v>27</v>
      </c>
      <c r="D110" s="2">
        <v>48485.9</v>
      </c>
      <c r="E110">
        <v>23050</v>
      </c>
      <c r="F110" t="s">
        <v>15</v>
      </c>
      <c r="G110" t="s">
        <v>29</v>
      </c>
      <c r="H110">
        <v>71536</v>
      </c>
      <c r="I110" t="s">
        <v>17</v>
      </c>
      <c r="J110" t="s">
        <v>28</v>
      </c>
      <c r="K110">
        <v>23050.61</v>
      </c>
      <c r="L110">
        <v>71536.38</v>
      </c>
      <c r="M110">
        <v>2</v>
      </c>
      <c r="Y110" s="1">
        <f t="shared" si="5"/>
        <v>2062.4569999999999</v>
      </c>
      <c r="Z110" s="2">
        <f t="shared" si="6"/>
        <v>48485.9</v>
      </c>
      <c r="AA110" s="2">
        <f t="shared" si="7"/>
        <v>48485.859341552336</v>
      </c>
      <c r="AB110" s="1">
        <f t="shared" si="8"/>
        <v>6.1754392780443992E-2</v>
      </c>
      <c r="AC110" s="1" t="b">
        <f t="shared" si="9"/>
        <v>1</v>
      </c>
    </row>
    <row r="111" spans="1:29" x14ac:dyDescent="0.25">
      <c r="A111" s="1">
        <v>2061.4209999999998</v>
      </c>
      <c r="B111">
        <v>80</v>
      </c>
      <c r="D111" s="2">
        <v>48510.2</v>
      </c>
      <c r="E111">
        <v>12846</v>
      </c>
      <c r="F111" t="s">
        <v>15</v>
      </c>
      <c r="G111" t="s">
        <v>16</v>
      </c>
      <c r="H111">
        <v>61357</v>
      </c>
      <c r="I111" t="s">
        <v>17</v>
      </c>
      <c r="J111" t="s">
        <v>16</v>
      </c>
      <c r="K111">
        <v>12846.66</v>
      </c>
      <c r="L111">
        <v>61357.04</v>
      </c>
      <c r="M111">
        <v>2</v>
      </c>
      <c r="Y111" s="1">
        <f t="shared" si="5"/>
        <v>2061.4209999999998</v>
      </c>
      <c r="Z111" s="2">
        <f t="shared" si="6"/>
        <v>48510.2</v>
      </c>
      <c r="AA111" s="2">
        <f t="shared" si="7"/>
        <v>48510.226683438275</v>
      </c>
      <c r="AB111" s="1">
        <f t="shared" si="8"/>
        <v>6.1766210464392832E-2</v>
      </c>
      <c r="AC111" s="1" t="b">
        <f t="shared" si="9"/>
        <v>1</v>
      </c>
    </row>
    <row r="112" spans="1:29" x14ac:dyDescent="0.25">
      <c r="A112" s="1">
        <v>2060.7460000000001</v>
      </c>
      <c r="B112">
        <v>20</v>
      </c>
      <c r="D112" s="2">
        <v>48526.1</v>
      </c>
      <c r="M112">
        <v>2</v>
      </c>
      <c r="Y112" s="1">
        <f t="shared" si="5"/>
        <v>2060.7460000000001</v>
      </c>
      <c r="Z112" s="2">
        <f t="shared" si="6"/>
        <v>48526.1</v>
      </c>
      <c r="AA112" s="2">
        <f t="shared" si="7"/>
        <v>48526.116270515624</v>
      </c>
      <c r="AB112" s="1">
        <f t="shared" si="8"/>
        <v>6.177391980149801E-2</v>
      </c>
      <c r="AC112" s="1" t="b">
        <f t="shared" si="9"/>
        <v>1</v>
      </c>
    </row>
    <row r="113" spans="1:29" x14ac:dyDescent="0.25">
      <c r="A113" s="1">
        <v>2060.636</v>
      </c>
      <c r="B113">
        <v>10</v>
      </c>
      <c r="D113" s="2">
        <v>48528.7</v>
      </c>
      <c r="E113">
        <v>25934</v>
      </c>
      <c r="F113" t="s">
        <v>15</v>
      </c>
      <c r="G113" t="s">
        <v>28</v>
      </c>
      <c r="H113">
        <v>74463</v>
      </c>
      <c r="I113" t="s">
        <v>17</v>
      </c>
      <c r="J113" t="s">
        <v>29</v>
      </c>
      <c r="K113">
        <v>25934.98</v>
      </c>
      <c r="L113">
        <v>74463.7</v>
      </c>
      <c r="M113">
        <v>2</v>
      </c>
      <c r="Y113" s="1">
        <f t="shared" si="5"/>
        <v>2060.636</v>
      </c>
      <c r="Z113" s="2">
        <f t="shared" si="6"/>
        <v>48528.7</v>
      </c>
      <c r="AA113" s="2">
        <f t="shared" si="7"/>
        <v>48528.706671144253</v>
      </c>
      <c r="AB113" s="1">
        <f t="shared" si="8"/>
        <v>6.1775176855869807E-2</v>
      </c>
      <c r="AC113" s="1" t="b">
        <f t="shared" si="9"/>
        <v>1</v>
      </c>
    </row>
    <row r="114" spans="1:29" x14ac:dyDescent="0.25">
      <c r="A114" s="1">
        <v>2060.569</v>
      </c>
      <c r="B114">
        <v>30</v>
      </c>
      <c r="D114" s="2">
        <v>48530.3</v>
      </c>
      <c r="E114">
        <v>15045</v>
      </c>
      <c r="F114" t="s">
        <v>15</v>
      </c>
      <c r="G114" t="s">
        <v>28</v>
      </c>
      <c r="H114">
        <v>63576</v>
      </c>
      <c r="I114" t="s">
        <v>17</v>
      </c>
      <c r="J114" t="s">
        <v>28</v>
      </c>
      <c r="K114">
        <v>15045.8</v>
      </c>
      <c r="L114">
        <v>63576.27</v>
      </c>
      <c r="M114">
        <v>2</v>
      </c>
      <c r="Y114" s="1">
        <f t="shared" si="5"/>
        <v>2060.569</v>
      </c>
      <c r="Z114" s="2">
        <f t="shared" si="6"/>
        <v>48530.3</v>
      </c>
      <c r="AA114" s="2">
        <f t="shared" si="7"/>
        <v>48530.284596147962</v>
      </c>
      <c r="AB114" s="1">
        <f t="shared" si="8"/>
        <v>6.1775942614915584E-2</v>
      </c>
      <c r="AC114" s="1" t="b">
        <f t="shared" si="9"/>
        <v>1</v>
      </c>
    </row>
    <row r="115" spans="1:29" x14ac:dyDescent="0.25">
      <c r="A115" s="1">
        <v>2060.0540000000001</v>
      </c>
      <c r="B115">
        <v>1</v>
      </c>
      <c r="D115" s="2">
        <v>48542.400000000001</v>
      </c>
      <c r="M115">
        <v>2</v>
      </c>
      <c r="Y115" s="1">
        <f t="shared" si="5"/>
        <v>2060.0540000000001</v>
      </c>
      <c r="Z115" s="2">
        <f t="shared" si="6"/>
        <v>48542.400000000001</v>
      </c>
      <c r="AA115" s="2">
        <f t="shared" si="7"/>
        <v>48542.416849267058</v>
      </c>
      <c r="AB115" s="1">
        <f t="shared" si="8"/>
        <v>6.1781831167840036E-2</v>
      </c>
      <c r="AC115" s="1" t="b">
        <f t="shared" si="9"/>
        <v>1</v>
      </c>
    </row>
    <row r="116" spans="1:29" x14ac:dyDescent="0.25">
      <c r="A116" s="1">
        <v>2059.8910000000001</v>
      </c>
      <c r="B116">
        <v>10</v>
      </c>
      <c r="D116" s="2">
        <v>48546.2</v>
      </c>
      <c r="M116">
        <v>2</v>
      </c>
      <c r="Y116" s="1">
        <f t="shared" si="5"/>
        <v>2059.8910000000001</v>
      </c>
      <c r="Z116" s="2">
        <f t="shared" si="6"/>
        <v>48546.2</v>
      </c>
      <c r="AA116" s="2">
        <f t="shared" si="7"/>
        <v>48546.258030157907</v>
      </c>
      <c r="AB116" s="1">
        <f t="shared" si="8"/>
        <v>6.1783695843653355E-2</v>
      </c>
      <c r="AC116" s="1" t="b">
        <f t="shared" si="9"/>
        <v>1</v>
      </c>
    </row>
    <row r="117" spans="1:29" x14ac:dyDescent="0.25">
      <c r="A117" s="1">
        <v>2059.2449999999999</v>
      </c>
      <c r="B117">
        <v>4000</v>
      </c>
      <c r="D117" s="2">
        <v>48561.5</v>
      </c>
      <c r="E117">
        <v>19308</v>
      </c>
      <c r="F117" t="s">
        <v>15</v>
      </c>
      <c r="G117" t="s">
        <v>23</v>
      </c>
      <c r="H117">
        <v>67870</v>
      </c>
      <c r="I117" t="s">
        <v>17</v>
      </c>
      <c r="J117" t="s">
        <v>16</v>
      </c>
      <c r="K117">
        <v>19308.93</v>
      </c>
      <c r="L117">
        <v>67870.759999999995</v>
      </c>
      <c r="M117">
        <v>2</v>
      </c>
      <c r="Y117" s="1">
        <f t="shared" si="5"/>
        <v>2059.2449999999999</v>
      </c>
      <c r="Z117" s="2">
        <f t="shared" si="6"/>
        <v>48561.5</v>
      </c>
      <c r="AA117" s="2">
        <f t="shared" si="7"/>
        <v>48561.487341234293</v>
      </c>
      <c r="AB117" s="1">
        <f t="shared" si="8"/>
        <v>6.1791090263964295E-2</v>
      </c>
      <c r="AC117" s="1" t="b">
        <f t="shared" si="9"/>
        <v>1</v>
      </c>
    </row>
    <row r="118" spans="1:29" x14ac:dyDescent="0.25">
      <c r="A118" s="1">
        <v>2058.7959999999998</v>
      </c>
      <c r="B118">
        <v>60</v>
      </c>
      <c r="D118" s="2">
        <v>48572.1</v>
      </c>
      <c r="M118">
        <v>2</v>
      </c>
      <c r="Y118" s="1">
        <f t="shared" si="5"/>
        <v>2058.7959999999998</v>
      </c>
      <c r="Z118" s="2">
        <f t="shared" si="6"/>
        <v>48572.1</v>
      </c>
      <c r="AA118" s="2">
        <f t="shared" si="7"/>
        <v>48572.078049500778</v>
      </c>
      <c r="AB118" s="1">
        <f t="shared" si="8"/>
        <v>6.1796233830233978E-2</v>
      </c>
      <c r="AC118" s="1" t="b">
        <f t="shared" si="9"/>
        <v>1</v>
      </c>
    </row>
    <row r="119" spans="1:29" x14ac:dyDescent="0.25">
      <c r="A119" s="1">
        <v>2058.663</v>
      </c>
      <c r="B119">
        <v>30</v>
      </c>
      <c r="D119" s="2">
        <v>48575.199999999997</v>
      </c>
      <c r="E119">
        <v>25033</v>
      </c>
      <c r="F119" t="s">
        <v>15</v>
      </c>
      <c r="G119" t="s">
        <v>16</v>
      </c>
      <c r="H119">
        <v>73609</v>
      </c>
      <c r="I119" t="s">
        <v>17</v>
      </c>
      <c r="J119" t="s">
        <v>23</v>
      </c>
      <c r="K119">
        <v>25033.91</v>
      </c>
      <c r="L119">
        <v>73609.100000000006</v>
      </c>
      <c r="M119">
        <v>2</v>
      </c>
      <c r="Y119" s="1">
        <f t="shared" si="5"/>
        <v>2058.663</v>
      </c>
      <c r="Z119" s="2">
        <f t="shared" si="6"/>
        <v>48575.199999999997</v>
      </c>
      <c r="AA119" s="2">
        <f t="shared" si="7"/>
        <v>48575.216050417192</v>
      </c>
      <c r="AB119" s="1">
        <f t="shared" si="8"/>
        <v>6.1797758071723538E-2</v>
      </c>
      <c r="AC119" s="1" t="b">
        <f t="shared" si="9"/>
        <v>1</v>
      </c>
    </row>
    <row r="120" spans="1:29" x14ac:dyDescent="0.25">
      <c r="A120" s="1">
        <v>2058.3710000000001</v>
      </c>
      <c r="B120">
        <v>10</v>
      </c>
      <c r="D120" s="2">
        <v>48582.1</v>
      </c>
      <c r="E120">
        <v>35828</v>
      </c>
      <c r="F120" t="s">
        <v>15</v>
      </c>
      <c r="G120" t="s">
        <v>16</v>
      </c>
      <c r="H120">
        <v>84410</v>
      </c>
      <c r="I120" t="s">
        <v>17</v>
      </c>
      <c r="J120" t="s">
        <v>16</v>
      </c>
      <c r="K120">
        <v>35828.46</v>
      </c>
      <c r="L120">
        <v>84410.63</v>
      </c>
      <c r="M120">
        <v>2</v>
      </c>
      <c r="Y120" s="1">
        <f t="shared" si="5"/>
        <v>2058.3710000000001</v>
      </c>
      <c r="Z120" s="2">
        <f t="shared" si="6"/>
        <v>48582.1</v>
      </c>
      <c r="AA120" s="2">
        <f t="shared" si="7"/>
        <v>48582.106918529265</v>
      </c>
      <c r="AB120" s="1">
        <f t="shared" si="8"/>
        <v>6.1801105563217051E-2</v>
      </c>
      <c r="AC120" s="1" t="b">
        <f t="shared" si="9"/>
        <v>1</v>
      </c>
    </row>
    <row r="121" spans="1:29" x14ac:dyDescent="0.25">
      <c r="A121" s="1">
        <v>2058.09</v>
      </c>
      <c r="B121">
        <v>5</v>
      </c>
      <c r="D121" s="2">
        <v>48588.7</v>
      </c>
      <c r="M121">
        <v>2</v>
      </c>
      <c r="Y121" s="1">
        <f t="shared" si="5"/>
        <v>2058.09</v>
      </c>
      <c r="Z121" s="2">
        <f t="shared" si="6"/>
        <v>48588.7</v>
      </c>
      <c r="AA121" s="2">
        <f t="shared" si="7"/>
        <v>48588.740045381877</v>
      </c>
      <c r="AB121" s="1">
        <f t="shared" si="8"/>
        <v>6.1804328295988489E-2</v>
      </c>
      <c r="AC121" s="1" t="b">
        <f t="shared" si="9"/>
        <v>1</v>
      </c>
    </row>
    <row r="122" spans="1:29" x14ac:dyDescent="0.25">
      <c r="A122" s="1">
        <v>2057.5540000000001</v>
      </c>
      <c r="B122">
        <v>100</v>
      </c>
      <c r="D122" s="2">
        <v>48601.4</v>
      </c>
      <c r="E122">
        <v>35828</v>
      </c>
      <c r="F122" t="s">
        <v>15</v>
      </c>
      <c r="G122" t="s">
        <v>16</v>
      </c>
      <c r="H122">
        <v>84430</v>
      </c>
      <c r="I122" t="s">
        <v>17</v>
      </c>
      <c r="J122" t="s">
        <v>18</v>
      </c>
      <c r="K122">
        <v>35828.46</v>
      </c>
      <c r="L122">
        <v>84430.98</v>
      </c>
      <c r="M122">
        <v>2</v>
      </c>
      <c r="Y122" s="1">
        <f t="shared" si="5"/>
        <v>2057.5540000000001</v>
      </c>
      <c r="Z122" s="2">
        <f t="shared" si="6"/>
        <v>48601.4</v>
      </c>
      <c r="AA122" s="2">
        <f t="shared" si="7"/>
        <v>48601.397581788857</v>
      </c>
      <c r="AB122" s="1">
        <f t="shared" si="8"/>
        <v>6.1810479234515561E-2</v>
      </c>
      <c r="AC122" s="1" t="b">
        <f t="shared" si="9"/>
        <v>1</v>
      </c>
    </row>
    <row r="123" spans="1:29" x14ac:dyDescent="0.25">
      <c r="A123" s="1">
        <v>2057.0419999999999</v>
      </c>
      <c r="B123">
        <v>10</v>
      </c>
      <c r="D123" s="2">
        <v>48613.5</v>
      </c>
      <c r="E123">
        <v>17534</v>
      </c>
      <c r="F123" t="s">
        <v>15</v>
      </c>
      <c r="G123" t="s">
        <v>57</v>
      </c>
      <c r="H123">
        <v>66148</v>
      </c>
      <c r="I123" t="s">
        <v>17</v>
      </c>
      <c r="J123" t="s">
        <v>50</v>
      </c>
      <c r="K123">
        <v>17534.759999999998</v>
      </c>
      <c r="L123">
        <v>66148.399999999994</v>
      </c>
      <c r="M123">
        <v>2</v>
      </c>
      <c r="Y123" s="1">
        <f t="shared" si="5"/>
        <v>2057.0419999999999</v>
      </c>
      <c r="Z123" s="2">
        <f t="shared" si="6"/>
        <v>48613.5</v>
      </c>
      <c r="AA123" s="2">
        <f t="shared" si="7"/>
        <v>48613.494522717578</v>
      </c>
      <c r="AB123" s="1">
        <f t="shared" si="8"/>
        <v>6.1816359248551458E-2</v>
      </c>
      <c r="AC123" s="1" t="b">
        <f t="shared" si="9"/>
        <v>1</v>
      </c>
    </row>
    <row r="124" spans="1:29" x14ac:dyDescent="0.25">
      <c r="A124" s="1">
        <v>2056.7710000000002</v>
      </c>
      <c r="B124">
        <v>5</v>
      </c>
      <c r="D124" s="2">
        <v>48619.9</v>
      </c>
      <c r="E124">
        <v>19872</v>
      </c>
      <c r="F124" t="s">
        <v>15</v>
      </c>
      <c r="G124" t="s">
        <v>18</v>
      </c>
      <c r="H124">
        <v>68492</v>
      </c>
      <c r="I124" t="s">
        <v>17</v>
      </c>
      <c r="J124" t="s">
        <v>18</v>
      </c>
      <c r="K124">
        <v>19872.43</v>
      </c>
      <c r="L124">
        <v>68492.429999999993</v>
      </c>
      <c r="M124">
        <v>2</v>
      </c>
      <c r="Y124" s="1">
        <f t="shared" si="5"/>
        <v>2056.7710000000002</v>
      </c>
      <c r="Z124" s="2">
        <f t="shared" si="6"/>
        <v>48619.9</v>
      </c>
      <c r="AA124" s="2">
        <f t="shared" si="7"/>
        <v>48619.899833282361</v>
      </c>
      <c r="AB124" s="1">
        <f t="shared" si="8"/>
        <v>6.1819473298992053E-2</v>
      </c>
      <c r="AC124" s="1" t="b">
        <f t="shared" si="9"/>
        <v>1</v>
      </c>
    </row>
    <row r="125" spans="1:29" x14ac:dyDescent="0.25">
      <c r="A125" s="1">
        <v>2056.5450000000001</v>
      </c>
      <c r="B125">
        <v>30</v>
      </c>
      <c r="D125" s="2">
        <v>48625.2</v>
      </c>
      <c r="E125">
        <v>15525</v>
      </c>
      <c r="F125" t="s">
        <v>15</v>
      </c>
      <c r="G125" t="s">
        <v>23</v>
      </c>
      <c r="H125">
        <v>64150</v>
      </c>
      <c r="I125" t="s">
        <v>17</v>
      </c>
      <c r="J125" t="s">
        <v>23</v>
      </c>
      <c r="K125">
        <v>15525.5</v>
      </c>
      <c r="L125">
        <v>64150.94</v>
      </c>
      <c r="M125">
        <v>2</v>
      </c>
      <c r="Y125" s="1">
        <f t="shared" si="5"/>
        <v>2056.5450000000001</v>
      </c>
      <c r="Z125" s="2">
        <f t="shared" si="6"/>
        <v>48625.2</v>
      </c>
      <c r="AA125" s="2">
        <f t="shared" si="7"/>
        <v>48625.24282230634</v>
      </c>
      <c r="AB125" s="1">
        <f t="shared" si="8"/>
        <v>6.1822071197641271E-2</v>
      </c>
      <c r="AC125" s="1" t="b">
        <f t="shared" si="9"/>
        <v>1</v>
      </c>
    </row>
    <row r="126" spans="1:29" x14ac:dyDescent="0.25">
      <c r="A126" s="1">
        <v>2056.4090000000001</v>
      </c>
      <c r="B126">
        <v>30</v>
      </c>
      <c r="D126" s="2">
        <v>48628.4</v>
      </c>
      <c r="E126">
        <v>29835</v>
      </c>
      <c r="F126" t="s">
        <v>15</v>
      </c>
      <c r="G126" t="s">
        <v>16</v>
      </c>
      <c r="H126">
        <v>78463</v>
      </c>
      <c r="I126" t="s">
        <v>17</v>
      </c>
      <c r="J126" t="s">
        <v>18</v>
      </c>
      <c r="K126">
        <v>29835.09</v>
      </c>
      <c r="L126">
        <v>78463.600000000006</v>
      </c>
      <c r="M126">
        <v>2</v>
      </c>
      <c r="Y126" s="1">
        <f t="shared" si="5"/>
        <v>2056.4090000000001</v>
      </c>
      <c r="Z126" s="2">
        <f t="shared" si="6"/>
        <v>48628.4</v>
      </c>
      <c r="AA126" s="2">
        <f t="shared" si="7"/>
        <v>48628.458638335076</v>
      </c>
      <c r="AB126" s="1">
        <f t="shared" si="8"/>
        <v>6.1823634947701329E-2</v>
      </c>
      <c r="AC126" s="1" t="b">
        <f t="shared" si="9"/>
        <v>1</v>
      </c>
    </row>
    <row r="127" spans="1:29" x14ac:dyDescent="0.25">
      <c r="A127" s="1">
        <v>2056.326</v>
      </c>
      <c r="B127">
        <v>100</v>
      </c>
      <c r="D127" s="2">
        <v>48630.400000000001</v>
      </c>
      <c r="E127">
        <v>30505</v>
      </c>
      <c r="F127" t="s">
        <v>15</v>
      </c>
      <c r="G127" t="s">
        <v>23</v>
      </c>
      <c r="H127">
        <v>79136</v>
      </c>
      <c r="I127" t="s">
        <v>17</v>
      </c>
      <c r="J127" t="s">
        <v>50</v>
      </c>
      <c r="K127">
        <v>30505.72</v>
      </c>
      <c r="L127">
        <v>79136.23</v>
      </c>
      <c r="M127">
        <v>2</v>
      </c>
      <c r="Y127" s="1">
        <f t="shared" si="5"/>
        <v>2056.326</v>
      </c>
      <c r="Z127" s="2">
        <f t="shared" si="6"/>
        <v>48630.400000000001</v>
      </c>
      <c r="AA127" s="2">
        <f t="shared" si="7"/>
        <v>48630.421440958293</v>
      </c>
      <c r="AB127" s="1">
        <f t="shared" si="8"/>
        <v>6.1824589447626081E-2</v>
      </c>
      <c r="AC127" s="1" t="b">
        <f t="shared" si="9"/>
        <v>1</v>
      </c>
    </row>
    <row r="128" spans="1:29" x14ac:dyDescent="0.25">
      <c r="A128" s="1">
        <v>2054.5970000000002</v>
      </c>
      <c r="B128">
        <v>50</v>
      </c>
      <c r="D128" s="2">
        <v>48671.4</v>
      </c>
      <c r="E128">
        <v>20315</v>
      </c>
      <c r="F128" t="s">
        <v>15</v>
      </c>
      <c r="G128" t="s">
        <v>16</v>
      </c>
      <c r="H128">
        <v>68987</v>
      </c>
      <c r="I128" t="s">
        <v>17</v>
      </c>
      <c r="J128" t="s">
        <v>18</v>
      </c>
      <c r="K128">
        <v>20315.650000000001</v>
      </c>
      <c r="L128">
        <v>68987.070000000007</v>
      </c>
      <c r="M128">
        <v>2</v>
      </c>
      <c r="Y128" s="1">
        <f t="shared" si="5"/>
        <v>2054.5970000000002</v>
      </c>
      <c r="Z128" s="2">
        <f t="shared" si="6"/>
        <v>48671.4</v>
      </c>
      <c r="AA128" s="2">
        <f t="shared" si="7"/>
        <v>48671.345280850692</v>
      </c>
      <c r="AB128" s="1">
        <f t="shared" si="8"/>
        <v>6.1844499257238936E-2</v>
      </c>
      <c r="AC128" s="1" t="b">
        <f t="shared" si="9"/>
        <v>1</v>
      </c>
    </row>
    <row r="129" spans="1:29" x14ac:dyDescent="0.25">
      <c r="A129" s="1">
        <v>2054.509</v>
      </c>
      <c r="B129">
        <v>1000</v>
      </c>
      <c r="D129" s="2">
        <v>48673.4</v>
      </c>
      <c r="E129">
        <v>14558</v>
      </c>
      <c r="F129" t="s">
        <v>15</v>
      </c>
      <c r="G129" t="s">
        <v>16</v>
      </c>
      <c r="H129">
        <v>63232</v>
      </c>
      <c r="I129" t="s">
        <v>17</v>
      </c>
      <c r="J129" t="s">
        <v>18</v>
      </c>
      <c r="K129">
        <v>14558.82</v>
      </c>
      <c r="L129">
        <v>63232.14</v>
      </c>
      <c r="M129">
        <v>2</v>
      </c>
      <c r="Y129" s="1">
        <f t="shared" si="5"/>
        <v>2054.509</v>
      </c>
      <c r="Z129" s="2">
        <f t="shared" si="6"/>
        <v>48673.4</v>
      </c>
      <c r="AA129" s="2">
        <f t="shared" si="7"/>
        <v>48673.430002010209</v>
      </c>
      <c r="AB129" s="1">
        <f t="shared" si="8"/>
        <v>6.184551394080294E-2</v>
      </c>
      <c r="AC129" s="1" t="b">
        <f t="shared" si="9"/>
        <v>1</v>
      </c>
    </row>
    <row r="130" spans="1:29" x14ac:dyDescent="0.25">
      <c r="A130" s="1">
        <v>2054.1680000000001</v>
      </c>
      <c r="B130">
        <v>200</v>
      </c>
      <c r="D130" s="2">
        <v>48681.5</v>
      </c>
      <c r="E130">
        <v>16135</v>
      </c>
      <c r="F130" t="s">
        <v>15</v>
      </c>
      <c r="G130" t="s">
        <v>18</v>
      </c>
      <c r="H130">
        <v>64817</v>
      </c>
      <c r="I130" t="s">
        <v>17</v>
      </c>
      <c r="J130" t="s">
        <v>28</v>
      </c>
      <c r="K130">
        <v>16135.97</v>
      </c>
      <c r="L130">
        <v>64817.53</v>
      </c>
      <c r="M130">
        <v>2</v>
      </c>
      <c r="Y130" s="1">
        <f t="shared" si="5"/>
        <v>2054.1680000000001</v>
      </c>
      <c r="Z130" s="2">
        <f t="shared" si="6"/>
        <v>48681.5</v>
      </c>
      <c r="AA130" s="2">
        <f t="shared" si="7"/>
        <v>48681.509983604068</v>
      </c>
      <c r="AB130" s="1">
        <f t="shared" si="8"/>
        <v>6.1849447071418713E-2</v>
      </c>
      <c r="AC130" s="1" t="b">
        <f t="shared" si="9"/>
        <v>1</v>
      </c>
    </row>
    <row r="131" spans="1:29" x14ac:dyDescent="0.25">
      <c r="A131" s="1">
        <v>2053.8150000000001</v>
      </c>
      <c r="B131">
        <v>10</v>
      </c>
      <c r="D131" s="2">
        <v>48689.9</v>
      </c>
      <c r="E131">
        <v>15525</v>
      </c>
      <c r="F131" t="s">
        <v>15</v>
      </c>
      <c r="G131" t="s">
        <v>23</v>
      </c>
      <c r="H131">
        <v>64215</v>
      </c>
      <c r="I131" t="s">
        <v>17</v>
      </c>
      <c r="J131" t="s">
        <v>50</v>
      </c>
      <c r="K131">
        <v>15525.5</v>
      </c>
      <c r="L131">
        <v>64215.45</v>
      </c>
      <c r="M131">
        <v>2</v>
      </c>
      <c r="Y131" s="1">
        <f t="shared" ref="Y131:Y194" si="10">ROUND($A131,3)+0</f>
        <v>2053.8150000000001</v>
      </c>
      <c r="Z131" s="2">
        <f t="shared" ref="Z131:Z194" si="11">ROUND($D131,1)+0</f>
        <v>48689.9</v>
      </c>
      <c r="AA131" s="2">
        <f t="shared" ref="AA131:AA194" si="12">100000000/Y131</f>
        <v>48689.877131095061</v>
      </c>
      <c r="AB131" s="1">
        <f t="shared" ref="AB131:AB194" si="13">0.0005/$Y131*AA131+0.05</f>
        <v>6.1853520675205671E-2</v>
      </c>
      <c r="AC131" s="1" t="b">
        <f t="shared" ref="AC131:AC194" si="14">ABS(Z131-AA131)&lt;AB131</f>
        <v>1</v>
      </c>
    </row>
    <row r="132" spans="1:29" x14ac:dyDescent="0.25">
      <c r="A132" s="1">
        <v>2053.5309999999999</v>
      </c>
      <c r="B132">
        <v>1000</v>
      </c>
      <c r="D132" s="2">
        <v>48696.6</v>
      </c>
      <c r="E132">
        <v>15454</v>
      </c>
      <c r="F132" t="s">
        <v>15</v>
      </c>
      <c r="G132" t="s">
        <v>50</v>
      </c>
      <c r="H132">
        <v>64150</v>
      </c>
      <c r="I132" t="s">
        <v>17</v>
      </c>
      <c r="J132" t="s">
        <v>23</v>
      </c>
      <c r="K132">
        <v>15454.16</v>
      </c>
      <c r="L132">
        <v>64150.94</v>
      </c>
      <c r="M132">
        <v>2</v>
      </c>
      <c r="Y132" s="1">
        <f t="shared" si="10"/>
        <v>2053.5309999999999</v>
      </c>
      <c r="Z132" s="2">
        <f t="shared" si="11"/>
        <v>48696.6</v>
      </c>
      <c r="AA132" s="2">
        <f t="shared" si="12"/>
        <v>48696.610861973837</v>
      </c>
      <c r="AB132" s="1">
        <f t="shared" si="13"/>
        <v>6.1856799547212543E-2</v>
      </c>
      <c r="AC132" s="1" t="b">
        <f t="shared" si="14"/>
        <v>1</v>
      </c>
    </row>
    <row r="133" spans="1:29" x14ac:dyDescent="0.25">
      <c r="A133" s="1">
        <v>2052.953</v>
      </c>
      <c r="B133">
        <v>2000</v>
      </c>
      <c r="C133" t="s">
        <v>27</v>
      </c>
      <c r="D133" s="2">
        <v>48710.3</v>
      </c>
      <c r="E133">
        <v>13352</v>
      </c>
      <c r="F133" t="s">
        <v>15</v>
      </c>
      <c r="G133" t="s">
        <v>23</v>
      </c>
      <c r="H133">
        <v>62062</v>
      </c>
      <c r="I133" t="s">
        <v>17</v>
      </c>
      <c r="J133" t="s">
        <v>16</v>
      </c>
      <c r="K133">
        <v>13352.1</v>
      </c>
      <c r="L133">
        <v>62062.63</v>
      </c>
      <c r="M133">
        <v>2</v>
      </c>
      <c r="Y133" s="1">
        <f t="shared" si="10"/>
        <v>2052.953</v>
      </c>
      <c r="Z133" s="2">
        <f t="shared" si="11"/>
        <v>48710.3</v>
      </c>
      <c r="AA133" s="2">
        <f t="shared" si="12"/>
        <v>48710.32118124477</v>
      </c>
      <c r="AB133" s="1">
        <f t="shared" si="13"/>
        <v>6.186347694790012E-2</v>
      </c>
      <c r="AC133" s="1" t="b">
        <f t="shared" si="14"/>
        <v>1</v>
      </c>
    </row>
    <row r="134" spans="1:29" x14ac:dyDescent="0.25">
      <c r="A134" s="1">
        <v>2052.953</v>
      </c>
      <c r="B134">
        <v>2000</v>
      </c>
      <c r="C134" t="s">
        <v>27</v>
      </c>
      <c r="D134" s="2">
        <v>48710.3</v>
      </c>
      <c r="E134">
        <v>15525</v>
      </c>
      <c r="F134" t="s">
        <v>15</v>
      </c>
      <c r="G134" t="s">
        <v>23</v>
      </c>
      <c r="H134">
        <v>64235</v>
      </c>
      <c r="I134" t="s">
        <v>17</v>
      </c>
      <c r="J134" t="s">
        <v>16</v>
      </c>
      <c r="K134">
        <v>15525.5</v>
      </c>
      <c r="L134">
        <v>64235.61</v>
      </c>
      <c r="M134">
        <v>2</v>
      </c>
      <c r="Y134" s="1">
        <f t="shared" si="10"/>
        <v>2052.953</v>
      </c>
      <c r="Z134" s="2">
        <f t="shared" si="11"/>
        <v>48710.3</v>
      </c>
      <c r="AA134" s="2">
        <f t="shared" si="12"/>
        <v>48710.32118124477</v>
      </c>
      <c r="AB134" s="1">
        <f t="shared" si="13"/>
        <v>6.186347694790012E-2</v>
      </c>
      <c r="AC134" s="1" t="b">
        <f t="shared" si="14"/>
        <v>1</v>
      </c>
    </row>
    <row r="135" spans="1:29" x14ac:dyDescent="0.25">
      <c r="A135" s="1">
        <v>2052.4340000000002</v>
      </c>
      <c r="B135">
        <v>2</v>
      </c>
      <c r="D135" s="2">
        <v>48722.6</v>
      </c>
      <c r="E135">
        <v>15045</v>
      </c>
      <c r="F135" t="s">
        <v>15</v>
      </c>
      <c r="G135" t="s">
        <v>28</v>
      </c>
      <c r="H135">
        <v>63768</v>
      </c>
      <c r="I135" t="s">
        <v>17</v>
      </c>
      <c r="J135" t="s">
        <v>18</v>
      </c>
      <c r="K135">
        <v>15045.8</v>
      </c>
      <c r="L135">
        <v>63768.66</v>
      </c>
      <c r="M135">
        <v>2</v>
      </c>
      <c r="Y135" s="1">
        <f t="shared" si="10"/>
        <v>2052.4340000000002</v>
      </c>
      <c r="Z135" s="2">
        <f t="shared" si="11"/>
        <v>48722.6</v>
      </c>
      <c r="AA135" s="2">
        <f t="shared" si="12"/>
        <v>48722.638584237051</v>
      </c>
      <c r="AB135" s="1">
        <f t="shared" si="13"/>
        <v>6.1869477553050931E-2</v>
      </c>
      <c r="AC135" s="1" t="b">
        <f t="shared" si="14"/>
        <v>1</v>
      </c>
    </row>
    <row r="136" spans="1:29" x14ac:dyDescent="0.25">
      <c r="A136" s="1">
        <v>2052.1979999999999</v>
      </c>
      <c r="B136">
        <v>3</v>
      </c>
      <c r="D136" s="2">
        <v>48728.2</v>
      </c>
      <c r="M136">
        <v>2</v>
      </c>
      <c r="Y136" s="1">
        <f t="shared" si="10"/>
        <v>2052.1979999999999</v>
      </c>
      <c r="Z136" s="2">
        <f t="shared" si="11"/>
        <v>48728.2</v>
      </c>
      <c r="AA136" s="2">
        <f t="shared" si="12"/>
        <v>48728.241621909779</v>
      </c>
      <c r="AB136" s="1">
        <f t="shared" si="13"/>
        <v>6.1872207657816106E-2</v>
      </c>
      <c r="AC136" s="1" t="b">
        <f t="shared" si="14"/>
        <v>1</v>
      </c>
    </row>
    <row r="137" spans="1:29" x14ac:dyDescent="0.25">
      <c r="A137" s="1">
        <v>2052.1309999999999</v>
      </c>
      <c r="B137">
        <v>3</v>
      </c>
      <c r="D137" s="2">
        <v>48729.8</v>
      </c>
      <c r="M137">
        <v>2</v>
      </c>
      <c r="Y137" s="1">
        <f t="shared" si="10"/>
        <v>2052.1309999999999</v>
      </c>
      <c r="Z137" s="2">
        <f t="shared" si="11"/>
        <v>48729.8</v>
      </c>
      <c r="AA137" s="2">
        <f t="shared" si="12"/>
        <v>48729.832549676416</v>
      </c>
      <c r="AB137" s="1">
        <f t="shared" si="13"/>
        <v>6.1872982901597519E-2</v>
      </c>
      <c r="AC137" s="1" t="b">
        <f t="shared" si="14"/>
        <v>1</v>
      </c>
    </row>
    <row r="138" spans="1:29" x14ac:dyDescent="0.25">
      <c r="A138" s="1">
        <v>2052.078</v>
      </c>
      <c r="B138">
        <v>10</v>
      </c>
      <c r="D138" s="2">
        <v>48731.1</v>
      </c>
      <c r="E138">
        <v>18211</v>
      </c>
      <c r="F138" t="s">
        <v>15</v>
      </c>
      <c r="G138" t="s">
        <v>28</v>
      </c>
      <c r="H138">
        <v>66943</v>
      </c>
      <c r="I138" t="s">
        <v>17</v>
      </c>
      <c r="J138" t="s">
        <v>28</v>
      </c>
      <c r="K138">
        <v>18211.759999999998</v>
      </c>
      <c r="L138">
        <v>66943.039999999994</v>
      </c>
      <c r="M138">
        <v>2</v>
      </c>
      <c r="Y138" s="1">
        <f t="shared" si="10"/>
        <v>2052.078</v>
      </c>
      <c r="Z138" s="2">
        <f t="shared" si="11"/>
        <v>48731.1</v>
      </c>
      <c r="AA138" s="2">
        <f t="shared" si="12"/>
        <v>48731.091118368793</v>
      </c>
      <c r="AB138" s="1">
        <f t="shared" si="13"/>
        <v>6.1873596207933812E-2</v>
      </c>
      <c r="AC138" s="1" t="b">
        <f t="shared" si="14"/>
        <v>1</v>
      </c>
    </row>
    <row r="139" spans="1:29" x14ac:dyDescent="0.25">
      <c r="A139" s="1">
        <v>2052.0450000000001</v>
      </c>
      <c r="B139">
        <v>1</v>
      </c>
      <c r="D139" s="2">
        <v>48731.9</v>
      </c>
      <c r="M139">
        <v>2</v>
      </c>
      <c r="Y139" s="1">
        <f t="shared" si="10"/>
        <v>2052.0450000000001</v>
      </c>
      <c r="Z139" s="2">
        <f t="shared" si="11"/>
        <v>48731.9</v>
      </c>
      <c r="AA139" s="2">
        <f t="shared" si="12"/>
        <v>48731.874788320914</v>
      </c>
      <c r="AB139" s="1">
        <f t="shared" si="13"/>
        <v>6.1873978101922938E-2</v>
      </c>
      <c r="AC139" s="1" t="b">
        <f t="shared" si="14"/>
        <v>1</v>
      </c>
    </row>
    <row r="140" spans="1:29" x14ac:dyDescent="0.25">
      <c r="A140" s="1">
        <v>2051.9879999999998</v>
      </c>
      <c r="B140">
        <v>100</v>
      </c>
      <c r="D140" s="2">
        <v>48733.2</v>
      </c>
      <c r="E140">
        <v>14859</v>
      </c>
      <c r="F140" t="s">
        <v>15</v>
      </c>
      <c r="G140" t="s">
        <v>23</v>
      </c>
      <c r="H140">
        <v>63593</v>
      </c>
      <c r="I140" t="s">
        <v>17</v>
      </c>
      <c r="J140" t="s">
        <v>16</v>
      </c>
      <c r="K140">
        <v>14859.96</v>
      </c>
      <c r="L140">
        <v>63593.35</v>
      </c>
      <c r="M140">
        <v>2</v>
      </c>
      <c r="Y140" s="1">
        <f t="shared" si="10"/>
        <v>2051.9879999999998</v>
      </c>
      <c r="Z140" s="2">
        <f t="shared" si="11"/>
        <v>48733.2</v>
      </c>
      <c r="AA140" s="2">
        <f t="shared" si="12"/>
        <v>48733.228459425693</v>
      </c>
      <c r="AB140" s="1">
        <f t="shared" si="13"/>
        <v>6.1874637780392892E-2</v>
      </c>
      <c r="AC140" s="1" t="b">
        <f t="shared" si="14"/>
        <v>1</v>
      </c>
    </row>
    <row r="141" spans="1:29" x14ac:dyDescent="0.25">
      <c r="A141" s="1">
        <v>2051.7359999999999</v>
      </c>
      <c r="B141">
        <v>200</v>
      </c>
      <c r="D141" s="2">
        <v>48739.199999999997</v>
      </c>
      <c r="E141">
        <v>21238</v>
      </c>
      <c r="F141" t="s">
        <v>15</v>
      </c>
      <c r="G141" t="s">
        <v>50</v>
      </c>
      <c r="H141">
        <v>69978</v>
      </c>
      <c r="I141" t="s">
        <v>17</v>
      </c>
      <c r="J141" t="s">
        <v>23</v>
      </c>
      <c r="K141">
        <v>21238.78</v>
      </c>
      <c r="L141">
        <v>69978.080000000002</v>
      </c>
      <c r="M141">
        <v>2</v>
      </c>
      <c r="Y141" s="1">
        <f t="shared" si="10"/>
        <v>2051.7359999999999</v>
      </c>
      <c r="Z141" s="2">
        <f t="shared" si="11"/>
        <v>48739.199999999997</v>
      </c>
      <c r="AA141" s="2">
        <f t="shared" si="12"/>
        <v>48739.214011939162</v>
      </c>
      <c r="AB141" s="1">
        <f t="shared" si="13"/>
        <v>6.1877554912508036E-2</v>
      </c>
      <c r="AC141" s="1" t="b">
        <f t="shared" si="14"/>
        <v>1</v>
      </c>
    </row>
    <row r="142" spans="1:29" x14ac:dyDescent="0.25">
      <c r="A142" s="1">
        <v>2050.9690000000001</v>
      </c>
      <c r="B142">
        <v>20</v>
      </c>
      <c r="D142" s="2">
        <v>48757.4</v>
      </c>
      <c r="M142">
        <v>2</v>
      </c>
      <c r="Y142" s="1">
        <f t="shared" si="10"/>
        <v>2050.9690000000001</v>
      </c>
      <c r="Z142" s="2">
        <f t="shared" si="11"/>
        <v>48757.4</v>
      </c>
      <c r="AA142" s="2">
        <f t="shared" si="12"/>
        <v>48757.440994963843</v>
      </c>
      <c r="AB142" s="1">
        <f t="shared" si="13"/>
        <v>6.1886440261886902E-2</v>
      </c>
      <c r="AC142" s="1" t="b">
        <f t="shared" si="14"/>
        <v>1</v>
      </c>
    </row>
    <row r="143" spans="1:29" x14ac:dyDescent="0.25">
      <c r="A143" s="1">
        <v>2050.9110000000001</v>
      </c>
      <c r="B143">
        <v>10</v>
      </c>
      <c r="D143" s="2">
        <v>48758.8</v>
      </c>
      <c r="E143">
        <v>12846</v>
      </c>
      <c r="F143" t="s">
        <v>15</v>
      </c>
      <c r="G143" t="s">
        <v>16</v>
      </c>
      <c r="H143">
        <v>61605</v>
      </c>
      <c r="I143" t="s">
        <v>17</v>
      </c>
      <c r="J143" t="s">
        <v>18</v>
      </c>
      <c r="K143">
        <v>12846.66</v>
      </c>
      <c r="L143">
        <v>61605.66</v>
      </c>
      <c r="M143">
        <v>2</v>
      </c>
      <c r="Y143" s="1">
        <f t="shared" si="10"/>
        <v>2050.9110000000001</v>
      </c>
      <c r="Z143" s="2">
        <f t="shared" si="11"/>
        <v>48758.8</v>
      </c>
      <c r="AA143" s="2">
        <f t="shared" si="12"/>
        <v>48758.819861027609</v>
      </c>
      <c r="AB143" s="1">
        <f t="shared" si="13"/>
        <v>6.1887112571200706E-2</v>
      </c>
      <c r="AC143" s="1" t="b">
        <f t="shared" si="14"/>
        <v>1</v>
      </c>
    </row>
    <row r="144" spans="1:29" x14ac:dyDescent="0.25">
      <c r="A144" s="1">
        <v>2050.8119999999999</v>
      </c>
      <c r="B144">
        <v>400</v>
      </c>
      <c r="D144" s="2">
        <v>48761.2</v>
      </c>
      <c r="E144">
        <v>15454</v>
      </c>
      <c r="F144" t="s">
        <v>15</v>
      </c>
      <c r="G144" t="s">
        <v>50</v>
      </c>
      <c r="H144">
        <v>64215</v>
      </c>
      <c r="I144" t="s">
        <v>17</v>
      </c>
      <c r="J144" t="s">
        <v>50</v>
      </c>
      <c r="K144">
        <v>15454.16</v>
      </c>
      <c r="L144">
        <v>64215.45</v>
      </c>
      <c r="M144">
        <v>2</v>
      </c>
      <c r="Y144" s="1">
        <f t="shared" si="10"/>
        <v>2050.8119999999999</v>
      </c>
      <c r="Z144" s="2">
        <f t="shared" si="11"/>
        <v>48761.2</v>
      </c>
      <c r="AA144" s="2">
        <f t="shared" si="12"/>
        <v>48761.173622935697</v>
      </c>
      <c r="AB144" s="1">
        <f t="shared" si="13"/>
        <v>6.18882602654304E-2</v>
      </c>
      <c r="AC144" s="1" t="b">
        <f t="shared" si="14"/>
        <v>1</v>
      </c>
    </row>
    <row r="145" spans="1:29" x14ac:dyDescent="0.25">
      <c r="A145" s="1">
        <v>2050.587</v>
      </c>
      <c r="B145">
        <v>200</v>
      </c>
      <c r="D145" s="2">
        <v>48766.5</v>
      </c>
      <c r="E145">
        <v>17534</v>
      </c>
      <c r="F145" t="s">
        <v>15</v>
      </c>
      <c r="G145" t="s">
        <v>57</v>
      </c>
      <c r="H145">
        <v>66301</v>
      </c>
      <c r="I145" t="s">
        <v>17</v>
      </c>
      <c r="J145" t="s">
        <v>57</v>
      </c>
      <c r="K145">
        <v>17534.759999999998</v>
      </c>
      <c r="L145">
        <v>66301.350000000006</v>
      </c>
      <c r="M145">
        <v>2</v>
      </c>
      <c r="Y145" s="1">
        <f t="shared" si="10"/>
        <v>2050.587</v>
      </c>
      <c r="Z145" s="2">
        <f t="shared" si="11"/>
        <v>48766.5</v>
      </c>
      <c r="AA145" s="2">
        <f t="shared" si="12"/>
        <v>48766.52392705113</v>
      </c>
      <c r="AB145" s="1">
        <f t="shared" si="13"/>
        <v>6.1890869279638258E-2</v>
      </c>
      <c r="AC145" s="1" t="b">
        <f t="shared" si="14"/>
        <v>1</v>
      </c>
    </row>
    <row r="146" spans="1:29" x14ac:dyDescent="0.25">
      <c r="A146" s="1">
        <v>2050.0360000000001</v>
      </c>
      <c r="B146">
        <v>20</v>
      </c>
      <c r="D146" s="2">
        <v>48779.6</v>
      </c>
      <c r="E146">
        <v>16516</v>
      </c>
      <c r="F146" t="s">
        <v>15</v>
      </c>
      <c r="G146" t="s">
        <v>18</v>
      </c>
      <c r="H146">
        <v>65295</v>
      </c>
      <c r="I146" t="s">
        <v>17</v>
      </c>
      <c r="J146" t="s">
        <v>18</v>
      </c>
      <c r="K146">
        <v>16516.150000000001</v>
      </c>
      <c r="L146">
        <v>65295.9</v>
      </c>
      <c r="M146">
        <v>2</v>
      </c>
      <c r="Y146" s="1">
        <f t="shared" si="10"/>
        <v>2050.0360000000001</v>
      </c>
      <c r="Z146" s="2">
        <f t="shared" si="11"/>
        <v>48779.6</v>
      </c>
      <c r="AA146" s="2">
        <f t="shared" si="12"/>
        <v>48779.631186964521</v>
      </c>
      <c r="AB146" s="1">
        <f t="shared" si="13"/>
        <v>6.1897262093681411E-2</v>
      </c>
      <c r="AC146" s="1" t="b">
        <f t="shared" si="14"/>
        <v>1</v>
      </c>
    </row>
    <row r="147" spans="1:29" x14ac:dyDescent="0.25">
      <c r="A147" s="1">
        <v>2049.6239999999998</v>
      </c>
      <c r="B147">
        <v>20</v>
      </c>
      <c r="D147" s="2">
        <v>48789.4</v>
      </c>
      <c r="E147">
        <v>18063</v>
      </c>
      <c r="F147" t="s">
        <v>15</v>
      </c>
      <c r="G147" t="s">
        <v>16</v>
      </c>
      <c r="H147">
        <v>66852</v>
      </c>
      <c r="I147" t="s">
        <v>17</v>
      </c>
      <c r="J147" t="s">
        <v>18</v>
      </c>
      <c r="K147">
        <v>18063.36</v>
      </c>
      <c r="L147">
        <v>66852.87</v>
      </c>
      <c r="M147">
        <v>2</v>
      </c>
      <c r="Y147" s="1">
        <f t="shared" si="10"/>
        <v>2049.6239999999998</v>
      </c>
      <c r="Z147" s="2">
        <f t="shared" si="11"/>
        <v>48789.4</v>
      </c>
      <c r="AA147" s="2">
        <f t="shared" si="12"/>
        <v>48789.436501524186</v>
      </c>
      <c r="AB147" s="1">
        <f t="shared" si="13"/>
        <v>6.1902045570681304E-2</v>
      </c>
      <c r="AC147" s="1" t="b">
        <f t="shared" si="14"/>
        <v>1</v>
      </c>
    </row>
    <row r="148" spans="1:29" x14ac:dyDescent="0.25">
      <c r="A148" s="1">
        <v>2048.8649999999998</v>
      </c>
      <c r="B148">
        <v>400</v>
      </c>
      <c r="D148" s="2">
        <v>48807.5</v>
      </c>
      <c r="E148">
        <v>18241</v>
      </c>
      <c r="F148" t="s">
        <v>15</v>
      </c>
      <c r="G148" t="s">
        <v>23</v>
      </c>
      <c r="H148">
        <v>67049</v>
      </c>
      <c r="I148" t="s">
        <v>17</v>
      </c>
      <c r="J148" t="s">
        <v>16</v>
      </c>
      <c r="K148">
        <v>18241.54</v>
      </c>
      <c r="L148">
        <v>67049.179999999993</v>
      </c>
      <c r="M148">
        <v>2</v>
      </c>
      <c r="Y148" s="1">
        <f t="shared" si="10"/>
        <v>2048.8649999999998</v>
      </c>
      <c r="Z148" s="2">
        <f t="shared" si="11"/>
        <v>48807.5</v>
      </c>
      <c r="AA148" s="2">
        <f t="shared" si="12"/>
        <v>48807.510499715703</v>
      </c>
      <c r="AB148" s="1">
        <f t="shared" si="13"/>
        <v>6.1910865405899296E-2</v>
      </c>
      <c r="AC148" s="1" t="b">
        <f t="shared" si="14"/>
        <v>1</v>
      </c>
    </row>
    <row r="149" spans="1:29" x14ac:dyDescent="0.25">
      <c r="A149" s="1">
        <v>2048.7979999999998</v>
      </c>
      <c r="B149">
        <v>100</v>
      </c>
      <c r="D149" s="2">
        <v>48809.1</v>
      </c>
      <c r="E149">
        <v>17113</v>
      </c>
      <c r="F149" t="s">
        <v>15</v>
      </c>
      <c r="G149" t="s">
        <v>50</v>
      </c>
      <c r="H149">
        <v>65922</v>
      </c>
      <c r="I149" t="s">
        <v>17</v>
      </c>
      <c r="J149" t="s">
        <v>23</v>
      </c>
      <c r="K149">
        <v>17113.189999999999</v>
      </c>
      <c r="L149">
        <v>65922.42</v>
      </c>
      <c r="M149">
        <v>2</v>
      </c>
      <c r="Y149" s="1">
        <f t="shared" si="10"/>
        <v>2048.7979999999998</v>
      </c>
      <c r="Z149" s="2">
        <f t="shared" si="11"/>
        <v>48809.1</v>
      </c>
      <c r="AA149" s="2">
        <f t="shared" si="12"/>
        <v>48809.106607874477</v>
      </c>
      <c r="AB149" s="1">
        <f t="shared" si="13"/>
        <v>6.1911644439294283E-2</v>
      </c>
      <c r="AC149" s="1" t="b">
        <f t="shared" si="14"/>
        <v>1</v>
      </c>
    </row>
    <row r="150" spans="1:29" x14ac:dyDescent="0.25">
      <c r="A150" s="1">
        <v>2048.63</v>
      </c>
      <c r="B150">
        <v>1</v>
      </c>
      <c r="D150" s="2">
        <v>48813.1</v>
      </c>
      <c r="M150">
        <v>2</v>
      </c>
      <c r="Y150" s="1">
        <f t="shared" si="10"/>
        <v>2048.63</v>
      </c>
      <c r="Z150" s="2">
        <f t="shared" si="11"/>
        <v>48813.1</v>
      </c>
      <c r="AA150" s="2">
        <f t="shared" si="12"/>
        <v>48813.109248619803</v>
      </c>
      <c r="AB150" s="1">
        <f t="shared" si="13"/>
        <v>6.1913598172588465E-2</v>
      </c>
      <c r="AC150" s="1" t="b">
        <f t="shared" si="14"/>
        <v>1</v>
      </c>
    </row>
    <row r="151" spans="1:29" x14ac:dyDescent="0.25">
      <c r="A151" s="1">
        <v>2048.4250000000002</v>
      </c>
      <c r="B151">
        <v>10</v>
      </c>
      <c r="D151" s="2">
        <v>48818</v>
      </c>
      <c r="E151">
        <v>20160</v>
      </c>
      <c r="F151" t="s">
        <v>15</v>
      </c>
      <c r="G151" t="s">
        <v>29</v>
      </c>
      <c r="H151">
        <v>68978</v>
      </c>
      <c r="I151" t="s">
        <v>17</v>
      </c>
      <c r="J151" t="s">
        <v>28</v>
      </c>
      <c r="K151">
        <v>20160.36</v>
      </c>
      <c r="L151">
        <v>68978.55</v>
      </c>
      <c r="M151">
        <v>2</v>
      </c>
      <c r="Y151" s="1">
        <f t="shared" si="10"/>
        <v>2048.4250000000002</v>
      </c>
      <c r="Z151" s="2">
        <f t="shared" si="11"/>
        <v>48818</v>
      </c>
      <c r="AA151" s="2">
        <f t="shared" si="12"/>
        <v>48817.99431270366</v>
      </c>
      <c r="AB151" s="1">
        <f t="shared" si="13"/>
        <v>6.1915982843575836E-2</v>
      </c>
      <c r="AC151" s="1" t="b">
        <f t="shared" si="14"/>
        <v>1</v>
      </c>
    </row>
    <row r="152" spans="1:29" x14ac:dyDescent="0.25">
      <c r="A152" s="1">
        <v>2048.1480000000001</v>
      </c>
      <c r="B152">
        <v>100</v>
      </c>
      <c r="D152" s="2">
        <v>48824.6</v>
      </c>
      <c r="E152">
        <v>19700</v>
      </c>
      <c r="F152" t="s">
        <v>15</v>
      </c>
      <c r="G152" t="s">
        <v>23</v>
      </c>
      <c r="H152">
        <v>68525</v>
      </c>
      <c r="I152" t="s">
        <v>17</v>
      </c>
      <c r="J152" t="s">
        <v>23</v>
      </c>
      <c r="K152">
        <v>19700.900000000001</v>
      </c>
      <c r="L152">
        <v>68525.62</v>
      </c>
      <c r="M152">
        <v>2</v>
      </c>
      <c r="Y152" s="1">
        <f t="shared" si="10"/>
        <v>2048.1480000000001</v>
      </c>
      <c r="Z152" s="2">
        <f t="shared" si="11"/>
        <v>48824.6</v>
      </c>
      <c r="AA152" s="2">
        <f t="shared" si="12"/>
        <v>48824.596660006988</v>
      </c>
      <c r="AB152" s="1">
        <f t="shared" si="13"/>
        <v>6.1919206195061832E-2</v>
      </c>
      <c r="AC152" s="1" t="b">
        <f t="shared" si="14"/>
        <v>1</v>
      </c>
    </row>
    <row r="153" spans="1:29" x14ac:dyDescent="0.25">
      <c r="A153" s="1">
        <v>2047.788</v>
      </c>
      <c r="B153">
        <v>20</v>
      </c>
      <c r="D153" s="2">
        <v>48833.2</v>
      </c>
      <c r="E153">
        <v>20848</v>
      </c>
      <c r="F153" t="s">
        <v>15</v>
      </c>
      <c r="G153" t="s">
        <v>28</v>
      </c>
      <c r="H153">
        <v>69681</v>
      </c>
      <c r="I153" t="s">
        <v>17</v>
      </c>
      <c r="J153" t="s">
        <v>28</v>
      </c>
      <c r="K153">
        <v>20848.39</v>
      </c>
      <c r="L153">
        <v>69681.600000000006</v>
      </c>
      <c r="M153">
        <v>2</v>
      </c>
      <c r="Y153" s="1">
        <f t="shared" si="10"/>
        <v>2047.788</v>
      </c>
      <c r="Z153" s="2">
        <f t="shared" si="11"/>
        <v>48833.2</v>
      </c>
      <c r="AA153" s="2">
        <f t="shared" si="12"/>
        <v>48833.179997148145</v>
      </c>
      <c r="AB153" s="1">
        <f t="shared" si="13"/>
        <v>6.1923397343169352E-2</v>
      </c>
      <c r="AC153" s="1" t="b">
        <f t="shared" si="14"/>
        <v>1</v>
      </c>
    </row>
    <row r="154" spans="1:29" x14ac:dyDescent="0.25">
      <c r="A154" s="1">
        <v>2047.3689999999999</v>
      </c>
      <c r="B154">
        <v>80</v>
      </c>
      <c r="D154" s="2">
        <v>48843.199999999997</v>
      </c>
      <c r="E154">
        <v>19700</v>
      </c>
      <c r="F154" t="s">
        <v>15</v>
      </c>
      <c r="G154" t="s">
        <v>23</v>
      </c>
      <c r="H154">
        <v>68544</v>
      </c>
      <c r="I154" t="s">
        <v>17</v>
      </c>
      <c r="J154" t="s">
        <v>16</v>
      </c>
      <c r="K154">
        <v>19700.900000000001</v>
      </c>
      <c r="L154">
        <v>68544.19</v>
      </c>
      <c r="M154">
        <v>2</v>
      </c>
      <c r="Y154" s="1">
        <f t="shared" si="10"/>
        <v>2047.3689999999999</v>
      </c>
      <c r="Z154" s="2">
        <f t="shared" si="11"/>
        <v>48843.199999999997</v>
      </c>
      <c r="AA154" s="2">
        <f t="shared" si="12"/>
        <v>48843.17384897398</v>
      </c>
      <c r="AB154" s="1">
        <f t="shared" si="13"/>
        <v>6.192827815820548E-2</v>
      </c>
      <c r="AC154" s="1" t="b">
        <f t="shared" si="14"/>
        <v>1</v>
      </c>
    </row>
    <row r="155" spans="1:29" x14ac:dyDescent="0.25">
      <c r="A155" s="1">
        <v>2047.3309999999999</v>
      </c>
      <c r="B155">
        <v>1</v>
      </c>
      <c r="D155" s="2">
        <v>48844.1</v>
      </c>
      <c r="M155">
        <v>2</v>
      </c>
      <c r="Y155" s="1">
        <f t="shared" si="10"/>
        <v>2047.3309999999999</v>
      </c>
      <c r="Z155" s="2">
        <f t="shared" si="11"/>
        <v>48844.1</v>
      </c>
      <c r="AA155" s="2">
        <f t="shared" si="12"/>
        <v>48844.080414940232</v>
      </c>
      <c r="AB155" s="1">
        <f t="shared" si="13"/>
        <v>6.1928720957905747E-2</v>
      </c>
      <c r="AC155" s="1" t="b">
        <f t="shared" si="14"/>
        <v>1</v>
      </c>
    </row>
    <row r="156" spans="1:29" x14ac:dyDescent="0.25">
      <c r="A156" s="1">
        <v>2047.2080000000001</v>
      </c>
      <c r="B156">
        <v>2</v>
      </c>
      <c r="D156" s="2">
        <v>48847</v>
      </c>
      <c r="E156">
        <v>26446</v>
      </c>
      <c r="F156" t="s">
        <v>15</v>
      </c>
      <c r="G156" t="s">
        <v>18</v>
      </c>
      <c r="H156">
        <v>75294</v>
      </c>
      <c r="I156" t="s">
        <v>17</v>
      </c>
      <c r="J156" t="s">
        <v>18</v>
      </c>
      <c r="K156">
        <v>26446.97</v>
      </c>
      <c r="L156">
        <v>75294</v>
      </c>
      <c r="M156">
        <v>2</v>
      </c>
      <c r="Y156" s="1">
        <f t="shared" si="10"/>
        <v>2047.2080000000001</v>
      </c>
      <c r="Z156" s="2">
        <f t="shared" si="11"/>
        <v>48847</v>
      </c>
      <c r="AA156" s="2">
        <f t="shared" si="12"/>
        <v>48847.015056603916</v>
      </c>
      <c r="AB156" s="1">
        <f t="shared" si="13"/>
        <v>6.1930154399700454E-2</v>
      </c>
      <c r="AC156" s="1" t="b">
        <f t="shared" si="14"/>
        <v>1</v>
      </c>
    </row>
    <row r="157" spans="1:29" x14ac:dyDescent="0.25">
      <c r="A157" s="1">
        <v>2046.923</v>
      </c>
      <c r="B157">
        <v>70</v>
      </c>
      <c r="D157" s="2">
        <v>48853.8</v>
      </c>
      <c r="E157">
        <v>17113</v>
      </c>
      <c r="F157" t="s">
        <v>15</v>
      </c>
      <c r="G157" t="s">
        <v>50</v>
      </c>
      <c r="H157">
        <v>65967</v>
      </c>
      <c r="I157" t="s">
        <v>17</v>
      </c>
      <c r="J157" t="s">
        <v>50</v>
      </c>
      <c r="K157">
        <v>17113.189999999999</v>
      </c>
      <c r="L157">
        <v>65967.149999999994</v>
      </c>
      <c r="M157">
        <v>2</v>
      </c>
      <c r="Y157" s="1">
        <f t="shared" si="10"/>
        <v>2046.923</v>
      </c>
      <c r="Z157" s="2">
        <f t="shared" si="11"/>
        <v>48853.8</v>
      </c>
      <c r="AA157" s="2">
        <f t="shared" si="12"/>
        <v>48853.816191424885</v>
      </c>
      <c r="AB157" s="1">
        <f t="shared" si="13"/>
        <v>6.1933476782327641E-2</v>
      </c>
      <c r="AC157" s="1" t="b">
        <f t="shared" si="14"/>
        <v>1</v>
      </c>
    </row>
    <row r="158" spans="1:29" x14ac:dyDescent="0.25">
      <c r="A158" s="1">
        <v>2046.7539999999999</v>
      </c>
      <c r="B158">
        <v>10</v>
      </c>
      <c r="D158" s="2">
        <v>48857.8</v>
      </c>
      <c r="E158">
        <v>22527</v>
      </c>
      <c r="F158" t="s">
        <v>15</v>
      </c>
      <c r="G158" t="s">
        <v>18</v>
      </c>
      <c r="H158">
        <v>71385</v>
      </c>
      <c r="I158" t="s">
        <v>17</v>
      </c>
      <c r="J158" t="s">
        <v>18</v>
      </c>
      <c r="K158">
        <v>22527.7</v>
      </c>
      <c r="L158">
        <v>71385.600000000006</v>
      </c>
      <c r="M158">
        <v>2</v>
      </c>
      <c r="Y158" s="1">
        <f t="shared" si="10"/>
        <v>2046.7539999999999</v>
      </c>
      <c r="Z158" s="2">
        <f t="shared" si="11"/>
        <v>48857.8</v>
      </c>
      <c r="AA158" s="2">
        <f t="shared" si="12"/>
        <v>48857.850039623721</v>
      </c>
      <c r="AB158" s="1">
        <f t="shared" si="13"/>
        <v>6.1935447552471802E-2</v>
      </c>
      <c r="AC158" s="1" t="b">
        <f t="shared" si="14"/>
        <v>1</v>
      </c>
    </row>
    <row r="159" spans="1:29" x14ac:dyDescent="0.25">
      <c r="A159" s="1">
        <v>2046.692</v>
      </c>
      <c r="B159">
        <v>20</v>
      </c>
      <c r="D159" s="2">
        <v>48859.3</v>
      </c>
      <c r="E159">
        <v>29835</v>
      </c>
      <c r="F159" t="s">
        <v>15</v>
      </c>
      <c r="G159" t="s">
        <v>16</v>
      </c>
      <c r="H159">
        <v>78694</v>
      </c>
      <c r="I159" t="s">
        <v>17</v>
      </c>
      <c r="J159" t="s">
        <v>23</v>
      </c>
      <c r="K159">
        <v>29835.09</v>
      </c>
      <c r="L159">
        <v>78694.570000000007</v>
      </c>
      <c r="M159">
        <v>2</v>
      </c>
      <c r="Y159" s="1">
        <f t="shared" si="10"/>
        <v>2046.692</v>
      </c>
      <c r="Z159" s="2">
        <f t="shared" si="11"/>
        <v>48859.3</v>
      </c>
      <c r="AA159" s="2">
        <f t="shared" si="12"/>
        <v>48859.330079953404</v>
      </c>
      <c r="AB159" s="1">
        <f t="shared" si="13"/>
        <v>6.1936170679309205E-2</v>
      </c>
      <c r="AC159" s="1" t="b">
        <f t="shared" si="14"/>
        <v>1</v>
      </c>
    </row>
    <row r="160" spans="1:29" x14ac:dyDescent="0.25">
      <c r="A160" s="1">
        <v>2046.39</v>
      </c>
      <c r="B160">
        <v>10</v>
      </c>
      <c r="D160" s="2">
        <v>48866.5</v>
      </c>
      <c r="M160">
        <v>2</v>
      </c>
      <c r="Y160" s="1">
        <f t="shared" si="10"/>
        <v>2046.39</v>
      </c>
      <c r="Z160" s="2">
        <f t="shared" si="11"/>
        <v>48866.5</v>
      </c>
      <c r="AA160" s="2">
        <f t="shared" si="12"/>
        <v>48866.540590991943</v>
      </c>
      <c r="AB160" s="1">
        <f t="shared" si="13"/>
        <v>6.1939693946655314E-2</v>
      </c>
      <c r="AC160" s="1" t="b">
        <f t="shared" si="14"/>
        <v>1</v>
      </c>
    </row>
    <row r="161" spans="1:29" x14ac:dyDescent="0.25">
      <c r="A161" s="1">
        <v>2045.914</v>
      </c>
      <c r="B161">
        <v>10</v>
      </c>
      <c r="D161" s="2">
        <v>48877.9</v>
      </c>
      <c r="E161">
        <v>19360</v>
      </c>
      <c r="F161" t="s">
        <v>15</v>
      </c>
      <c r="G161" t="s">
        <v>50</v>
      </c>
      <c r="H161">
        <v>68238</v>
      </c>
      <c r="I161" t="s">
        <v>17</v>
      </c>
      <c r="J161" t="s">
        <v>23</v>
      </c>
      <c r="K161">
        <v>19360.099999999999</v>
      </c>
      <c r="L161">
        <v>68238.12</v>
      </c>
      <c r="M161">
        <v>2</v>
      </c>
      <c r="Y161" s="1">
        <f t="shared" si="10"/>
        <v>2045.914</v>
      </c>
      <c r="Z161" s="2">
        <f t="shared" si="11"/>
        <v>48877.9</v>
      </c>
      <c r="AA161" s="2">
        <f t="shared" si="12"/>
        <v>48877.909824166607</v>
      </c>
      <c r="AB161" s="1">
        <f t="shared" si="13"/>
        <v>6.1945250343896814E-2</v>
      </c>
      <c r="AC161" s="1" t="b">
        <f t="shared" si="14"/>
        <v>1</v>
      </c>
    </row>
    <row r="162" spans="1:29" x14ac:dyDescent="0.25">
      <c r="A162" s="1">
        <v>2045.5640000000001</v>
      </c>
      <c r="B162">
        <v>2</v>
      </c>
      <c r="D162" s="2">
        <v>48886.3</v>
      </c>
      <c r="M162">
        <v>2</v>
      </c>
      <c r="Y162" s="1">
        <f t="shared" si="10"/>
        <v>2045.5640000000001</v>
      </c>
      <c r="Z162" s="2">
        <f t="shared" si="11"/>
        <v>48886.3</v>
      </c>
      <c r="AA162" s="2">
        <f t="shared" si="12"/>
        <v>48886.272930106315</v>
      </c>
      <c r="AB162" s="1">
        <f t="shared" si="13"/>
        <v>6.1949338404984233E-2</v>
      </c>
      <c r="AC162" s="1" t="b">
        <f t="shared" si="14"/>
        <v>1</v>
      </c>
    </row>
    <row r="163" spans="1:29" x14ac:dyDescent="0.25">
      <c r="A163" s="1">
        <v>2045.4649999999999</v>
      </c>
      <c r="B163">
        <v>200</v>
      </c>
      <c r="D163" s="2">
        <v>48888.6</v>
      </c>
      <c r="E163">
        <v>13352</v>
      </c>
      <c r="F163" t="s">
        <v>15</v>
      </c>
      <c r="G163" t="s">
        <v>23</v>
      </c>
      <c r="H163">
        <v>62240</v>
      </c>
      <c r="I163" t="s">
        <v>17</v>
      </c>
      <c r="J163" t="s">
        <v>23</v>
      </c>
      <c r="K163">
        <v>13352.1</v>
      </c>
      <c r="L163">
        <v>62240.83</v>
      </c>
      <c r="M163">
        <v>2</v>
      </c>
      <c r="Y163" s="1">
        <f t="shared" si="10"/>
        <v>2045.4649999999999</v>
      </c>
      <c r="Z163" s="2">
        <f t="shared" si="11"/>
        <v>48888.6</v>
      </c>
      <c r="AA163" s="2">
        <f t="shared" si="12"/>
        <v>48888.639013622822</v>
      </c>
      <c r="AB163" s="1">
        <f t="shared" si="13"/>
        <v>6.1950495123021622E-2</v>
      </c>
      <c r="AC163" s="1" t="b">
        <f t="shared" si="14"/>
        <v>1</v>
      </c>
    </row>
    <row r="164" spans="1:29" x14ac:dyDescent="0.25">
      <c r="A164" s="1">
        <v>2044.6859999999999</v>
      </c>
      <c r="B164">
        <v>10</v>
      </c>
      <c r="D164" s="2">
        <v>48907.3</v>
      </c>
      <c r="E164">
        <v>24470</v>
      </c>
      <c r="F164" t="s">
        <v>15</v>
      </c>
      <c r="G164" t="s">
        <v>18</v>
      </c>
      <c r="H164">
        <v>73378</v>
      </c>
      <c r="I164" t="s">
        <v>17</v>
      </c>
      <c r="J164" t="s">
        <v>18</v>
      </c>
      <c r="K164">
        <v>24470.9</v>
      </c>
      <c r="L164">
        <v>73378.42</v>
      </c>
      <c r="M164">
        <v>2</v>
      </c>
      <c r="Y164" s="1">
        <f t="shared" si="10"/>
        <v>2044.6859999999999</v>
      </c>
      <c r="Z164" s="2">
        <f t="shared" si="11"/>
        <v>48907.3</v>
      </c>
      <c r="AA164" s="2">
        <f t="shared" si="12"/>
        <v>48907.264978583509</v>
      </c>
      <c r="AB164" s="1">
        <f t="shared" si="13"/>
        <v>6.1959602838426907E-2</v>
      </c>
      <c r="AC164" s="1" t="b">
        <f t="shared" si="14"/>
        <v>1</v>
      </c>
    </row>
    <row r="165" spans="1:29" x14ac:dyDescent="0.25">
      <c r="A165" s="1">
        <v>2044.07</v>
      </c>
      <c r="B165">
        <v>1</v>
      </c>
      <c r="D165" s="2">
        <v>48922</v>
      </c>
      <c r="M165">
        <v>2</v>
      </c>
      <c r="Y165" s="1">
        <f t="shared" si="10"/>
        <v>2044.07</v>
      </c>
      <c r="Z165" s="2">
        <f t="shared" si="11"/>
        <v>48922</v>
      </c>
      <c r="AA165" s="2">
        <f t="shared" si="12"/>
        <v>48922.003649581471</v>
      </c>
      <c r="AB165" s="1">
        <f t="shared" si="13"/>
        <v>6.1966812205448314E-2</v>
      </c>
      <c r="AC165" s="1" t="b">
        <f t="shared" si="14"/>
        <v>1</v>
      </c>
    </row>
    <row r="166" spans="1:29" x14ac:dyDescent="0.25">
      <c r="A166" s="1">
        <v>2043.7729999999999</v>
      </c>
      <c r="B166">
        <v>500</v>
      </c>
      <c r="D166" s="2">
        <v>48929.1</v>
      </c>
      <c r="E166">
        <v>19872</v>
      </c>
      <c r="F166" t="s">
        <v>15</v>
      </c>
      <c r="G166" t="s">
        <v>18</v>
      </c>
      <c r="H166">
        <v>68801</v>
      </c>
      <c r="I166" t="s">
        <v>17</v>
      </c>
      <c r="J166" t="s">
        <v>18</v>
      </c>
      <c r="K166">
        <v>19872.43</v>
      </c>
      <c r="L166">
        <v>68801.67</v>
      </c>
      <c r="M166">
        <v>2</v>
      </c>
      <c r="Y166" s="1">
        <f t="shared" si="10"/>
        <v>2043.7729999999999</v>
      </c>
      <c r="Z166" s="2">
        <f t="shared" si="11"/>
        <v>48929.1</v>
      </c>
      <c r="AA166" s="2">
        <f t="shared" si="12"/>
        <v>48929.112969003902</v>
      </c>
      <c r="AB166" s="1">
        <f t="shared" si="13"/>
        <v>6.1970290479667733E-2</v>
      </c>
      <c r="AC166" s="1" t="b">
        <f t="shared" si="14"/>
        <v>1</v>
      </c>
    </row>
    <row r="167" spans="1:29" x14ac:dyDescent="0.25">
      <c r="A167" s="1">
        <v>2043.1030000000001</v>
      </c>
      <c r="B167">
        <v>50</v>
      </c>
      <c r="D167" s="2">
        <v>48945.2</v>
      </c>
      <c r="E167">
        <v>19360</v>
      </c>
      <c r="F167" t="s">
        <v>15</v>
      </c>
      <c r="G167" t="s">
        <v>50</v>
      </c>
      <c r="H167">
        <v>68305</v>
      </c>
      <c r="I167" t="s">
        <v>17</v>
      </c>
      <c r="J167" t="s">
        <v>57</v>
      </c>
      <c r="K167">
        <v>19360.099999999999</v>
      </c>
      <c r="L167">
        <v>68305.100000000006</v>
      </c>
      <c r="M167">
        <v>2</v>
      </c>
      <c r="Y167" s="1">
        <f t="shared" si="10"/>
        <v>2043.1030000000001</v>
      </c>
      <c r="Z167" s="2">
        <f t="shared" si="11"/>
        <v>48945.2</v>
      </c>
      <c r="AA167" s="2">
        <f t="shared" si="12"/>
        <v>48945.158418346997</v>
      </c>
      <c r="AB167" s="1">
        <f t="shared" si="13"/>
        <v>6.1978142662985423E-2</v>
      </c>
      <c r="AC167" s="1" t="b">
        <f t="shared" si="14"/>
        <v>1</v>
      </c>
    </row>
    <row r="168" spans="1:29" x14ac:dyDescent="0.25">
      <c r="A168" s="1">
        <v>2042.616</v>
      </c>
      <c r="B168">
        <v>400</v>
      </c>
      <c r="D168" s="2">
        <v>48956.800000000003</v>
      </c>
      <c r="E168">
        <v>14859</v>
      </c>
      <c r="F168" t="s">
        <v>15</v>
      </c>
      <c r="G168" t="s">
        <v>23</v>
      </c>
      <c r="H168">
        <v>63816</v>
      </c>
      <c r="I168" t="s">
        <v>17</v>
      </c>
      <c r="J168" t="s">
        <v>23</v>
      </c>
      <c r="K168">
        <v>14859.96</v>
      </c>
      <c r="L168">
        <v>63816.91</v>
      </c>
      <c r="M168">
        <v>2</v>
      </c>
      <c r="Y168" s="1">
        <f t="shared" si="10"/>
        <v>2042.616</v>
      </c>
      <c r="Z168" s="2">
        <f t="shared" si="11"/>
        <v>48956.800000000003</v>
      </c>
      <c r="AA168" s="2">
        <f t="shared" si="12"/>
        <v>48956.827910875072</v>
      </c>
      <c r="AB168" s="1">
        <f t="shared" si="13"/>
        <v>6.1983854995475186E-2</v>
      </c>
      <c r="AC168" s="1" t="b">
        <f t="shared" si="14"/>
        <v>1</v>
      </c>
    </row>
    <row r="169" spans="1:29" x14ac:dyDescent="0.25">
      <c r="A169" s="1">
        <v>2041.925</v>
      </c>
      <c r="B169">
        <v>2</v>
      </c>
      <c r="D169" s="2">
        <v>48973.4</v>
      </c>
      <c r="M169">
        <v>2</v>
      </c>
      <c r="Y169" s="1">
        <f t="shared" si="10"/>
        <v>2041.925</v>
      </c>
      <c r="Z169" s="2">
        <f t="shared" si="11"/>
        <v>48973.4</v>
      </c>
      <c r="AA169" s="2">
        <f t="shared" si="12"/>
        <v>48973.395203055938</v>
      </c>
      <c r="AB169" s="1">
        <f t="shared" si="13"/>
        <v>6.1991967188573513E-2</v>
      </c>
      <c r="AC169" s="1" t="b">
        <f t="shared" si="14"/>
        <v>1</v>
      </c>
    </row>
    <row r="170" spans="1:29" x14ac:dyDescent="0.25">
      <c r="A170" s="1">
        <v>2039.3810000000001</v>
      </c>
      <c r="B170">
        <v>200</v>
      </c>
      <c r="D170" s="2">
        <v>49034.5</v>
      </c>
      <c r="E170">
        <v>14558</v>
      </c>
      <c r="F170" t="s">
        <v>15</v>
      </c>
      <c r="G170" t="s">
        <v>16</v>
      </c>
      <c r="H170">
        <v>63593</v>
      </c>
      <c r="I170" t="s">
        <v>17</v>
      </c>
      <c r="J170" t="s">
        <v>16</v>
      </c>
      <c r="K170">
        <v>14558.82</v>
      </c>
      <c r="L170">
        <v>63593.35</v>
      </c>
      <c r="M170">
        <v>2</v>
      </c>
      <c r="Y170" s="1">
        <f t="shared" si="10"/>
        <v>2039.3810000000001</v>
      </c>
      <c r="Z170" s="2">
        <f t="shared" si="11"/>
        <v>49034.5</v>
      </c>
      <c r="AA170" s="2">
        <f t="shared" si="12"/>
        <v>49034.486444661394</v>
      </c>
      <c r="AB170" s="1">
        <f t="shared" si="13"/>
        <v>6.2021904304458413E-2</v>
      </c>
      <c r="AC170" s="1" t="b">
        <f t="shared" si="14"/>
        <v>1</v>
      </c>
    </row>
    <row r="171" spans="1:29" x14ac:dyDescent="0.25">
      <c r="A171" s="1">
        <v>2038.682</v>
      </c>
      <c r="B171">
        <v>1</v>
      </c>
      <c r="D171" s="2">
        <v>49051.3</v>
      </c>
      <c r="M171">
        <v>2</v>
      </c>
      <c r="Y171" s="1">
        <f t="shared" si="10"/>
        <v>2038.682</v>
      </c>
      <c r="Z171" s="2">
        <f t="shared" si="11"/>
        <v>49051.3</v>
      </c>
      <c r="AA171" s="2">
        <f t="shared" si="12"/>
        <v>49051.2988293417</v>
      </c>
      <c r="AB171" s="1">
        <f t="shared" si="13"/>
        <v>6.2030149584226896E-2</v>
      </c>
      <c r="AC171" s="1" t="b">
        <f t="shared" si="14"/>
        <v>1</v>
      </c>
    </row>
    <row r="172" spans="1:29" x14ac:dyDescent="0.25">
      <c r="A172" s="1">
        <v>2038.366</v>
      </c>
      <c r="B172">
        <v>1</v>
      </c>
      <c r="D172" s="2">
        <v>49058.9</v>
      </c>
      <c r="M172">
        <v>2</v>
      </c>
      <c r="Y172" s="1">
        <f t="shared" si="10"/>
        <v>2038.366</v>
      </c>
      <c r="Z172" s="2">
        <f t="shared" si="11"/>
        <v>49058.9</v>
      </c>
      <c r="AA172" s="2">
        <f t="shared" si="12"/>
        <v>49058.903062551086</v>
      </c>
      <c r="AB172" s="1">
        <f t="shared" si="13"/>
        <v>6.2033879848503927E-2</v>
      </c>
      <c r="AC172" s="1" t="b">
        <f t="shared" si="14"/>
        <v>1</v>
      </c>
    </row>
    <row r="173" spans="1:29" x14ac:dyDescent="0.25">
      <c r="A173" s="1">
        <v>2037.578</v>
      </c>
      <c r="B173">
        <v>3</v>
      </c>
      <c r="D173" s="2">
        <v>49077.9</v>
      </c>
      <c r="M173">
        <v>2</v>
      </c>
      <c r="Y173" s="1">
        <f t="shared" si="10"/>
        <v>2037.578</v>
      </c>
      <c r="Z173" s="2">
        <f t="shared" si="11"/>
        <v>49077.9</v>
      </c>
      <c r="AA173" s="2">
        <f t="shared" si="12"/>
        <v>49077.875791748833</v>
      </c>
      <c r="AB173" s="1">
        <f t="shared" si="13"/>
        <v>6.2043189461151636E-2</v>
      </c>
      <c r="AC173" s="1" t="b">
        <f t="shared" si="14"/>
        <v>1</v>
      </c>
    </row>
    <row r="174" spans="1:29" x14ac:dyDescent="0.25">
      <c r="A174" s="1">
        <v>2036.415</v>
      </c>
      <c r="B174">
        <v>20</v>
      </c>
      <c r="C174" t="s">
        <v>122</v>
      </c>
      <c r="D174" s="2">
        <v>49105.9</v>
      </c>
      <c r="E174">
        <v>19872</v>
      </c>
      <c r="F174" t="s">
        <v>15</v>
      </c>
      <c r="G174" t="s">
        <v>18</v>
      </c>
      <c r="H174">
        <v>68978</v>
      </c>
      <c r="I174" t="s">
        <v>17</v>
      </c>
      <c r="J174" t="s">
        <v>28</v>
      </c>
      <c r="K174">
        <v>19872.43</v>
      </c>
      <c r="L174">
        <v>68978.55</v>
      </c>
      <c r="M174">
        <v>2</v>
      </c>
      <c r="Y174" s="1">
        <f t="shared" si="10"/>
        <v>2036.415</v>
      </c>
      <c r="Z174" s="2">
        <f t="shared" si="11"/>
        <v>49105.9</v>
      </c>
      <c r="AA174" s="2">
        <f t="shared" si="12"/>
        <v>49105.90424839731</v>
      </c>
      <c r="AB174" s="1">
        <f t="shared" si="13"/>
        <v>6.205694916026383E-2</v>
      </c>
      <c r="AC174" s="1" t="b">
        <f t="shared" si="14"/>
        <v>1</v>
      </c>
    </row>
    <row r="175" spans="1:29" x14ac:dyDescent="0.25">
      <c r="A175" s="1">
        <v>2036.1030000000001</v>
      </c>
      <c r="B175">
        <v>1</v>
      </c>
      <c r="D175" s="2">
        <v>49113.4</v>
      </c>
      <c r="M175">
        <v>2</v>
      </c>
      <c r="Y175" s="1">
        <f t="shared" si="10"/>
        <v>2036.1030000000001</v>
      </c>
      <c r="Z175" s="2">
        <f t="shared" si="11"/>
        <v>49113.4</v>
      </c>
      <c r="AA175" s="2">
        <f t="shared" si="12"/>
        <v>49113.428937534103</v>
      </c>
      <c r="AB175" s="1">
        <f t="shared" si="13"/>
        <v>6.2060644510011066E-2</v>
      </c>
      <c r="AC175" s="1" t="b">
        <f t="shared" si="14"/>
        <v>1</v>
      </c>
    </row>
    <row r="176" spans="1:29" x14ac:dyDescent="0.25">
      <c r="A176" s="1">
        <v>2036.0609999999999</v>
      </c>
      <c r="B176">
        <v>100</v>
      </c>
      <c r="D176" s="2">
        <v>49114.400000000001</v>
      </c>
      <c r="E176">
        <v>19872</v>
      </c>
      <c r="F176" t="s">
        <v>15</v>
      </c>
      <c r="G176" t="s">
        <v>18</v>
      </c>
      <c r="H176">
        <v>68987</v>
      </c>
      <c r="I176" t="s">
        <v>17</v>
      </c>
      <c r="J176" t="s">
        <v>18</v>
      </c>
      <c r="K176">
        <v>19872.43</v>
      </c>
      <c r="L176">
        <v>68987.070000000007</v>
      </c>
      <c r="M176">
        <v>2</v>
      </c>
      <c r="Y176" s="1">
        <f t="shared" si="10"/>
        <v>2036.0609999999999</v>
      </c>
      <c r="Z176" s="2">
        <f t="shared" si="11"/>
        <v>49114.400000000001</v>
      </c>
      <c r="AA176" s="2">
        <f t="shared" si="12"/>
        <v>49114.442052571118</v>
      </c>
      <c r="AB176" s="1">
        <f t="shared" si="13"/>
        <v>6.2061142090676834E-2</v>
      </c>
      <c r="AC176" s="1" t="b">
        <f t="shared" si="14"/>
        <v>1</v>
      </c>
    </row>
    <row r="177" spans="1:29" x14ac:dyDescent="0.25">
      <c r="A177" s="1">
        <v>2035.21</v>
      </c>
      <c r="B177">
        <v>10</v>
      </c>
      <c r="D177" s="2">
        <v>49135</v>
      </c>
      <c r="M177">
        <v>2</v>
      </c>
      <c r="Y177" s="1">
        <f t="shared" si="10"/>
        <v>2035.21</v>
      </c>
      <c r="Z177" s="2">
        <f t="shared" si="11"/>
        <v>49135</v>
      </c>
      <c r="AA177" s="2">
        <f t="shared" si="12"/>
        <v>49134.978699986736</v>
      </c>
      <c r="AB177" s="1">
        <f t="shared" si="13"/>
        <v>6.207123065924075E-2</v>
      </c>
      <c r="AC177" s="1" t="b">
        <f t="shared" si="14"/>
        <v>1</v>
      </c>
    </row>
    <row r="178" spans="1:29" x14ac:dyDescent="0.25">
      <c r="A178" s="1">
        <v>2034.894</v>
      </c>
      <c r="B178">
        <v>100</v>
      </c>
      <c r="D178" s="2">
        <v>49142.6</v>
      </c>
      <c r="E178">
        <v>21238</v>
      </c>
      <c r="F178" t="s">
        <v>15</v>
      </c>
      <c r="G178" t="s">
        <v>50</v>
      </c>
      <c r="H178">
        <v>70381</v>
      </c>
      <c r="I178" t="s">
        <v>17</v>
      </c>
      <c r="J178" t="s">
        <v>50</v>
      </c>
      <c r="K178">
        <v>21238.78</v>
      </c>
      <c r="L178">
        <v>70381.48</v>
      </c>
      <c r="M178">
        <v>2</v>
      </c>
      <c r="Y178" s="1">
        <f t="shared" si="10"/>
        <v>2034.894</v>
      </c>
      <c r="Z178" s="2">
        <f t="shared" si="11"/>
        <v>49142.6</v>
      </c>
      <c r="AA178" s="2">
        <f t="shared" si="12"/>
        <v>49142.60890247846</v>
      </c>
      <c r="AB178" s="1">
        <f t="shared" si="13"/>
        <v>6.2074980048709774E-2</v>
      </c>
      <c r="AC178" s="1" t="b">
        <f t="shared" si="14"/>
        <v>1</v>
      </c>
    </row>
    <row r="179" spans="1:29" x14ac:dyDescent="0.25">
      <c r="A179" s="1">
        <v>2034.29</v>
      </c>
      <c r="B179">
        <v>1</v>
      </c>
      <c r="D179" s="2">
        <v>49157.2</v>
      </c>
      <c r="E179">
        <v>18241</v>
      </c>
      <c r="F179" t="s">
        <v>15</v>
      </c>
      <c r="G179" t="s">
        <v>23</v>
      </c>
      <c r="H179">
        <v>67398</v>
      </c>
      <c r="I179" t="s">
        <v>17</v>
      </c>
      <c r="J179" t="s">
        <v>16</v>
      </c>
      <c r="K179">
        <v>18241.54</v>
      </c>
      <c r="L179">
        <v>67398.789999999994</v>
      </c>
      <c r="M179">
        <v>2</v>
      </c>
      <c r="Y179" s="1">
        <f t="shared" si="10"/>
        <v>2034.29</v>
      </c>
      <c r="Z179" s="2">
        <f t="shared" si="11"/>
        <v>49157.2</v>
      </c>
      <c r="AA179" s="2">
        <f t="shared" si="12"/>
        <v>49157.199809270067</v>
      </c>
      <c r="AB179" s="1">
        <f t="shared" si="13"/>
        <v>6.2082151465442506E-2</v>
      </c>
      <c r="AC179" s="1" t="b">
        <f t="shared" si="14"/>
        <v>1</v>
      </c>
    </row>
    <row r="180" spans="1:29" x14ac:dyDescent="0.25">
      <c r="A180" s="1">
        <v>2034.1859999999999</v>
      </c>
      <c r="B180">
        <v>7</v>
      </c>
      <c r="D180" s="2">
        <v>49159.7</v>
      </c>
      <c r="E180">
        <v>16135</v>
      </c>
      <c r="F180" t="s">
        <v>15</v>
      </c>
      <c r="G180" t="s">
        <v>18</v>
      </c>
      <c r="H180">
        <v>65295</v>
      </c>
      <c r="I180" t="s">
        <v>17</v>
      </c>
      <c r="J180" t="s">
        <v>18</v>
      </c>
      <c r="K180">
        <v>16135.97</v>
      </c>
      <c r="L180">
        <v>65295.9</v>
      </c>
      <c r="M180">
        <v>2</v>
      </c>
      <c r="Y180" s="1">
        <f t="shared" si="10"/>
        <v>2034.1859999999999</v>
      </c>
      <c r="Z180" s="2">
        <f t="shared" si="11"/>
        <v>49159.7</v>
      </c>
      <c r="AA180" s="2">
        <f t="shared" si="12"/>
        <v>49159.713025259247</v>
      </c>
      <c r="AB180" s="1">
        <f t="shared" si="13"/>
        <v>6.2083386923629219E-2</v>
      </c>
      <c r="AC180" s="1" t="b">
        <f t="shared" si="14"/>
        <v>1</v>
      </c>
    </row>
    <row r="181" spans="1:29" x14ac:dyDescent="0.25">
      <c r="A181" s="1">
        <v>2033.95</v>
      </c>
      <c r="B181">
        <v>2000</v>
      </c>
      <c r="D181" s="2">
        <v>49165.4</v>
      </c>
      <c r="E181">
        <v>19360</v>
      </c>
      <c r="F181" t="s">
        <v>15</v>
      </c>
      <c r="G181" t="s">
        <v>50</v>
      </c>
      <c r="H181">
        <v>68525</v>
      </c>
      <c r="I181" t="s">
        <v>17</v>
      </c>
      <c r="J181" t="s">
        <v>23</v>
      </c>
      <c r="K181">
        <v>19360.099999999999</v>
      </c>
      <c r="L181">
        <v>68525.62</v>
      </c>
      <c r="M181">
        <v>2</v>
      </c>
      <c r="Y181" s="1">
        <f t="shared" si="10"/>
        <v>2033.95</v>
      </c>
      <c r="Z181" s="2">
        <f t="shared" si="11"/>
        <v>49165.4</v>
      </c>
      <c r="AA181" s="2">
        <f t="shared" si="12"/>
        <v>49165.417045650087</v>
      </c>
      <c r="AB181" s="1">
        <f t="shared" si="13"/>
        <v>6.2086191166363505E-2</v>
      </c>
      <c r="AC181" s="1" t="b">
        <f t="shared" si="14"/>
        <v>1</v>
      </c>
    </row>
    <row r="182" spans="1:29" x14ac:dyDescent="0.25">
      <c r="A182" s="1">
        <v>2033.7190000000001</v>
      </c>
      <c r="B182">
        <v>10</v>
      </c>
      <c r="D182" s="2">
        <v>49171</v>
      </c>
      <c r="M182">
        <v>2</v>
      </c>
      <c r="Y182" s="1">
        <f t="shared" si="10"/>
        <v>2033.7190000000001</v>
      </c>
      <c r="Z182" s="2">
        <f t="shared" si="11"/>
        <v>49171</v>
      </c>
      <c r="AA182" s="2">
        <f t="shared" si="12"/>
        <v>49171.001500207254</v>
      </c>
      <c r="AB182" s="1">
        <f t="shared" si="13"/>
        <v>6.2088936942666928E-2</v>
      </c>
      <c r="AC182" s="1" t="b">
        <f t="shared" si="14"/>
        <v>1</v>
      </c>
    </row>
    <row r="183" spans="1:29" x14ac:dyDescent="0.25">
      <c r="A183" s="1">
        <v>2033.4780000000001</v>
      </c>
      <c r="B183">
        <v>40</v>
      </c>
      <c r="D183" s="2">
        <v>49176.800000000003</v>
      </c>
      <c r="E183">
        <v>18063</v>
      </c>
      <c r="F183" t="s">
        <v>15</v>
      </c>
      <c r="G183" t="s">
        <v>16</v>
      </c>
      <c r="H183">
        <v>67240</v>
      </c>
      <c r="I183" t="s">
        <v>17</v>
      </c>
      <c r="J183" t="s">
        <v>18</v>
      </c>
      <c r="K183">
        <v>18063.36</v>
      </c>
      <c r="L183">
        <v>67240.350000000006</v>
      </c>
      <c r="M183">
        <v>2</v>
      </c>
      <c r="Y183" s="1">
        <f t="shared" si="10"/>
        <v>2033.4780000000001</v>
      </c>
      <c r="Z183" s="2">
        <f t="shared" si="11"/>
        <v>49176.800000000003</v>
      </c>
      <c r="AA183" s="2">
        <f t="shared" si="12"/>
        <v>49176.82905839158</v>
      </c>
      <c r="AB183" s="1">
        <f t="shared" si="13"/>
        <v>6.209180258119134E-2</v>
      </c>
      <c r="AC183" s="1" t="b">
        <f t="shared" si="14"/>
        <v>1</v>
      </c>
    </row>
    <row r="184" spans="1:29" x14ac:dyDescent="0.25">
      <c r="A184" s="1">
        <v>2033.2070000000001</v>
      </c>
      <c r="B184">
        <v>200</v>
      </c>
      <c r="C184" t="s">
        <v>27</v>
      </c>
      <c r="D184" s="2">
        <v>49183.4</v>
      </c>
      <c r="E184">
        <v>13352</v>
      </c>
      <c r="F184" t="s">
        <v>15</v>
      </c>
      <c r="G184" t="s">
        <v>23</v>
      </c>
      <c r="H184">
        <v>62535</v>
      </c>
      <c r="I184" t="s">
        <v>17</v>
      </c>
      <c r="J184" t="s">
        <v>16</v>
      </c>
      <c r="K184">
        <v>13352.1</v>
      </c>
      <c r="L184">
        <v>62535.62</v>
      </c>
      <c r="M184">
        <v>2</v>
      </c>
      <c r="Y184" s="1">
        <f t="shared" si="10"/>
        <v>2033.2070000000001</v>
      </c>
      <c r="Z184" s="2">
        <f t="shared" si="11"/>
        <v>49183.4</v>
      </c>
      <c r="AA184" s="2">
        <f t="shared" si="12"/>
        <v>49183.383688921</v>
      </c>
      <c r="AB184" s="1">
        <f t="shared" si="13"/>
        <v>6.2095026155458102E-2</v>
      </c>
      <c r="AC184" s="1" t="b">
        <f t="shared" si="14"/>
        <v>1</v>
      </c>
    </row>
    <row r="185" spans="1:29" x14ac:dyDescent="0.25">
      <c r="A185" s="1">
        <v>2033.2070000000001</v>
      </c>
      <c r="B185">
        <v>200</v>
      </c>
      <c r="C185" t="s">
        <v>27</v>
      </c>
      <c r="D185" s="2">
        <v>49183.4</v>
      </c>
      <c r="E185">
        <v>18211</v>
      </c>
      <c r="F185" t="s">
        <v>15</v>
      </c>
      <c r="G185" t="s">
        <v>28</v>
      </c>
      <c r="H185">
        <v>67395</v>
      </c>
      <c r="I185" t="s">
        <v>17</v>
      </c>
      <c r="J185" t="s">
        <v>28</v>
      </c>
      <c r="K185">
        <v>18211.759999999998</v>
      </c>
      <c r="L185">
        <v>67395.320000000007</v>
      </c>
      <c r="M185">
        <v>2</v>
      </c>
      <c r="Y185" s="1">
        <f t="shared" si="10"/>
        <v>2033.2070000000001</v>
      </c>
      <c r="Z185" s="2">
        <f t="shared" si="11"/>
        <v>49183.4</v>
      </c>
      <c r="AA185" s="2">
        <f t="shared" si="12"/>
        <v>49183.383688921</v>
      </c>
      <c r="AB185" s="1">
        <f t="shared" si="13"/>
        <v>6.2095026155458102E-2</v>
      </c>
      <c r="AC185" s="1" t="b">
        <f t="shared" si="14"/>
        <v>1</v>
      </c>
    </row>
    <row r="186" spans="1:29" x14ac:dyDescent="0.25">
      <c r="A186" s="1">
        <v>2033.1289999999999</v>
      </c>
      <c r="B186">
        <v>50</v>
      </c>
      <c r="D186" s="2">
        <v>49185.3</v>
      </c>
      <c r="E186">
        <v>23844</v>
      </c>
      <c r="F186" t="s">
        <v>15</v>
      </c>
      <c r="G186" t="s">
        <v>16</v>
      </c>
      <c r="H186">
        <v>73029</v>
      </c>
      <c r="I186" t="s">
        <v>17</v>
      </c>
      <c r="J186" t="s">
        <v>16</v>
      </c>
      <c r="K186">
        <v>23844.58</v>
      </c>
      <c r="L186">
        <v>73029.899999999994</v>
      </c>
      <c r="M186">
        <v>2</v>
      </c>
      <c r="Y186" s="1">
        <f t="shared" si="10"/>
        <v>2033.1289999999999</v>
      </c>
      <c r="Z186" s="2">
        <f t="shared" si="11"/>
        <v>49185.3</v>
      </c>
      <c r="AA186" s="2">
        <f t="shared" si="12"/>
        <v>49185.270585388338</v>
      </c>
      <c r="AB186" s="1">
        <f t="shared" si="13"/>
        <v>6.2095954212789337E-2</v>
      </c>
      <c r="AC186" s="1" t="b">
        <f t="shared" si="14"/>
        <v>1</v>
      </c>
    </row>
    <row r="187" spans="1:29" x14ac:dyDescent="0.25">
      <c r="A187" s="1">
        <v>2033.0150000000001</v>
      </c>
      <c r="B187">
        <v>100</v>
      </c>
      <c r="D187" s="2">
        <v>49188</v>
      </c>
      <c r="E187">
        <v>17113</v>
      </c>
      <c r="F187" t="s">
        <v>15</v>
      </c>
      <c r="G187" t="s">
        <v>50</v>
      </c>
      <c r="H187">
        <v>66301</v>
      </c>
      <c r="I187" t="s">
        <v>17</v>
      </c>
      <c r="J187" t="s">
        <v>57</v>
      </c>
      <c r="K187">
        <v>17113.189999999999</v>
      </c>
      <c r="L187">
        <v>66301.350000000006</v>
      </c>
      <c r="M187">
        <v>2</v>
      </c>
      <c r="Y187" s="1">
        <f t="shared" si="10"/>
        <v>2033.0150000000001</v>
      </c>
      <c r="Z187" s="2">
        <f t="shared" si="11"/>
        <v>49188</v>
      </c>
      <c r="AA187" s="2">
        <f t="shared" si="12"/>
        <v>49188.028617595046</v>
      </c>
      <c r="AB187" s="1">
        <f t="shared" si="13"/>
        <v>6.2097310796426747E-2</v>
      </c>
      <c r="AC187" s="1" t="b">
        <f t="shared" si="14"/>
        <v>1</v>
      </c>
    </row>
    <row r="188" spans="1:29" x14ac:dyDescent="0.25">
      <c r="A188" s="1">
        <v>2032.48</v>
      </c>
      <c r="B188">
        <v>200</v>
      </c>
      <c r="D188" s="2">
        <v>49201</v>
      </c>
      <c r="E188">
        <v>17534</v>
      </c>
      <c r="F188" t="s">
        <v>15</v>
      </c>
      <c r="G188" t="s">
        <v>57</v>
      </c>
      <c r="H188">
        <v>66735</v>
      </c>
      <c r="I188" t="s">
        <v>17</v>
      </c>
      <c r="J188" t="s">
        <v>50</v>
      </c>
      <c r="K188">
        <v>17534.759999999998</v>
      </c>
      <c r="L188">
        <v>66735.88</v>
      </c>
      <c r="M188">
        <v>2</v>
      </c>
      <c r="Y188" s="1">
        <f t="shared" si="10"/>
        <v>2032.48</v>
      </c>
      <c r="Z188" s="2">
        <f t="shared" si="11"/>
        <v>49201</v>
      </c>
      <c r="AA188" s="2">
        <f t="shared" si="12"/>
        <v>49200.97614736676</v>
      </c>
      <c r="AB188" s="1">
        <f t="shared" si="13"/>
        <v>6.2103680269268768E-2</v>
      </c>
      <c r="AC188" s="1" t="b">
        <f t="shared" si="14"/>
        <v>1</v>
      </c>
    </row>
    <row r="189" spans="1:29" x14ac:dyDescent="0.25">
      <c r="A189" s="1">
        <v>2032.2529999999999</v>
      </c>
      <c r="B189">
        <v>400</v>
      </c>
      <c r="D189" s="2">
        <v>49206.5</v>
      </c>
      <c r="E189">
        <v>13352</v>
      </c>
      <c r="F189" t="s">
        <v>15</v>
      </c>
      <c r="G189" t="s">
        <v>23</v>
      </c>
      <c r="H189">
        <v>62558</v>
      </c>
      <c r="I189" t="s">
        <v>17</v>
      </c>
      <c r="J189" t="s">
        <v>23</v>
      </c>
      <c r="K189">
        <v>13352.1</v>
      </c>
      <c r="L189">
        <v>62558.67</v>
      </c>
      <c r="M189">
        <v>2</v>
      </c>
      <c r="Y189" s="1">
        <f t="shared" si="10"/>
        <v>2032.2529999999999</v>
      </c>
      <c r="Z189" s="2">
        <f t="shared" si="11"/>
        <v>49206.5</v>
      </c>
      <c r="AA189" s="2">
        <f t="shared" si="12"/>
        <v>49206.471832001233</v>
      </c>
      <c r="AB189" s="1">
        <f t="shared" si="13"/>
        <v>6.2106384350767659E-2</v>
      </c>
      <c r="AC189" s="1" t="b">
        <f t="shared" si="14"/>
        <v>1</v>
      </c>
    </row>
    <row r="190" spans="1:29" x14ac:dyDescent="0.25">
      <c r="A190" s="1">
        <v>2032.117</v>
      </c>
      <c r="B190">
        <v>1000</v>
      </c>
      <c r="D190" s="2">
        <v>49209.8</v>
      </c>
      <c r="E190">
        <v>14558</v>
      </c>
      <c r="F190" t="s">
        <v>15</v>
      </c>
      <c r="G190" t="s">
        <v>16</v>
      </c>
      <c r="H190">
        <v>63768</v>
      </c>
      <c r="I190" t="s">
        <v>17</v>
      </c>
      <c r="J190" t="s">
        <v>18</v>
      </c>
      <c r="K190">
        <v>14558.82</v>
      </c>
      <c r="L190">
        <v>63768.66</v>
      </c>
      <c r="M190">
        <v>2</v>
      </c>
      <c r="Y190" s="1">
        <f t="shared" si="10"/>
        <v>2032.117</v>
      </c>
      <c r="Z190" s="2">
        <f t="shared" si="11"/>
        <v>49209.8</v>
      </c>
      <c r="AA190" s="2">
        <f t="shared" si="12"/>
        <v>49209.764988925344</v>
      </c>
      <c r="AB190" s="1">
        <f t="shared" si="13"/>
        <v>6.2108004851326316E-2</v>
      </c>
      <c r="AC190" s="1" t="b">
        <f t="shared" si="14"/>
        <v>1</v>
      </c>
    </row>
    <row r="191" spans="1:29" x14ac:dyDescent="0.25">
      <c r="A191" s="1">
        <v>2031.865</v>
      </c>
      <c r="B191">
        <v>400</v>
      </c>
      <c r="D191" s="2">
        <v>49215.9</v>
      </c>
      <c r="E191">
        <v>12846</v>
      </c>
      <c r="F191" t="s">
        <v>15</v>
      </c>
      <c r="G191" t="s">
        <v>16</v>
      </c>
      <c r="H191">
        <v>62062</v>
      </c>
      <c r="I191" t="s">
        <v>17</v>
      </c>
      <c r="J191" t="s">
        <v>16</v>
      </c>
      <c r="K191">
        <v>12846.66</v>
      </c>
      <c r="L191">
        <v>62062.63</v>
      </c>
      <c r="M191">
        <v>2</v>
      </c>
      <c r="Y191" s="1">
        <f t="shared" si="10"/>
        <v>2031.865</v>
      </c>
      <c r="Z191" s="2">
        <f t="shared" si="11"/>
        <v>49215.9</v>
      </c>
      <c r="AA191" s="2">
        <f t="shared" si="12"/>
        <v>49215.868180218669</v>
      </c>
      <c r="AB191" s="1">
        <f t="shared" si="13"/>
        <v>6.2111008403663306E-2</v>
      </c>
      <c r="AC191" s="1" t="b">
        <f t="shared" si="14"/>
        <v>1</v>
      </c>
    </row>
    <row r="192" spans="1:29" x14ac:dyDescent="0.25">
      <c r="A192" s="1">
        <v>2031.558</v>
      </c>
      <c r="B192">
        <v>1</v>
      </c>
      <c r="D192" s="2">
        <v>49223.3</v>
      </c>
      <c r="E192">
        <v>22277</v>
      </c>
      <c r="F192" t="s">
        <v>15</v>
      </c>
      <c r="G192" t="s">
        <v>29</v>
      </c>
      <c r="H192">
        <v>71501</v>
      </c>
      <c r="I192" t="s">
        <v>17</v>
      </c>
      <c r="J192" t="s">
        <v>29</v>
      </c>
      <c r="K192">
        <v>22277.66</v>
      </c>
      <c r="L192">
        <v>71501</v>
      </c>
      <c r="M192">
        <v>2</v>
      </c>
      <c r="Y192" s="1">
        <f t="shared" si="10"/>
        <v>2031.558</v>
      </c>
      <c r="Z192" s="2">
        <f t="shared" si="11"/>
        <v>49223.3</v>
      </c>
      <c r="AA192" s="2">
        <f t="shared" si="12"/>
        <v>49223.305463097779</v>
      </c>
      <c r="AB192" s="1">
        <f t="shared" si="13"/>
        <v>6.2114669003567158E-2</v>
      </c>
      <c r="AC192" s="1" t="b">
        <f t="shared" si="14"/>
        <v>1</v>
      </c>
    </row>
    <row r="193" spans="1:29" x14ac:dyDescent="0.25">
      <c r="A193" s="1">
        <v>2031.4549999999999</v>
      </c>
      <c r="B193">
        <v>400</v>
      </c>
      <c r="D193" s="2">
        <v>49225.8</v>
      </c>
      <c r="E193">
        <v>17627</v>
      </c>
      <c r="F193" t="s">
        <v>15</v>
      </c>
      <c r="G193" t="s">
        <v>16</v>
      </c>
      <c r="H193">
        <v>66852</v>
      </c>
      <c r="I193" t="s">
        <v>17</v>
      </c>
      <c r="J193" t="s">
        <v>18</v>
      </c>
      <c r="K193">
        <v>17627</v>
      </c>
      <c r="L193">
        <v>66852.87</v>
      </c>
      <c r="M193">
        <v>2</v>
      </c>
      <c r="Y193" s="1">
        <f t="shared" si="10"/>
        <v>2031.4549999999999</v>
      </c>
      <c r="Z193" s="2">
        <f t="shared" si="11"/>
        <v>49225.8</v>
      </c>
      <c r="AA193" s="2">
        <f t="shared" si="12"/>
        <v>49225.801211446967</v>
      </c>
      <c r="AB193" s="1">
        <f t="shared" si="13"/>
        <v>6.2115897524544474E-2</v>
      </c>
      <c r="AC193" s="1" t="b">
        <f t="shared" si="14"/>
        <v>1</v>
      </c>
    </row>
    <row r="194" spans="1:29" x14ac:dyDescent="0.25">
      <c r="A194" s="1">
        <v>2031.2560000000001</v>
      </c>
      <c r="B194">
        <v>10</v>
      </c>
      <c r="D194" s="2">
        <v>49230.6</v>
      </c>
      <c r="E194">
        <v>22747</v>
      </c>
      <c r="F194" t="s">
        <v>15</v>
      </c>
      <c r="G194" t="s">
        <v>16</v>
      </c>
      <c r="H194">
        <v>71978</v>
      </c>
      <c r="I194" t="s">
        <v>17</v>
      </c>
      <c r="J194" t="s">
        <v>18</v>
      </c>
      <c r="K194">
        <v>22747.69</v>
      </c>
      <c r="L194">
        <v>71978.52</v>
      </c>
      <c r="M194">
        <v>2</v>
      </c>
      <c r="Y194" s="1">
        <f t="shared" si="10"/>
        <v>2031.2560000000001</v>
      </c>
      <c r="Z194" s="2">
        <f t="shared" si="11"/>
        <v>49230.6</v>
      </c>
      <c r="AA194" s="2">
        <f t="shared" si="12"/>
        <v>49230.623811080433</v>
      </c>
      <c r="AB194" s="1">
        <f t="shared" si="13"/>
        <v>6.2118271604140601E-2</v>
      </c>
      <c r="AC194" s="1" t="b">
        <f t="shared" si="14"/>
        <v>1</v>
      </c>
    </row>
    <row r="195" spans="1:29" x14ac:dyDescent="0.25">
      <c r="A195" s="1">
        <v>2030.1310000000001</v>
      </c>
      <c r="B195">
        <v>100</v>
      </c>
      <c r="D195" s="2">
        <v>49257.9</v>
      </c>
      <c r="E195">
        <v>14558</v>
      </c>
      <c r="F195" t="s">
        <v>15</v>
      </c>
      <c r="G195" t="s">
        <v>16</v>
      </c>
      <c r="H195">
        <v>63816</v>
      </c>
      <c r="I195" t="s">
        <v>17</v>
      </c>
      <c r="J195" t="s">
        <v>23</v>
      </c>
      <c r="K195">
        <v>14558.82</v>
      </c>
      <c r="L195">
        <v>63816.91</v>
      </c>
      <c r="M195">
        <v>2</v>
      </c>
      <c r="Y195" s="1">
        <f t="shared" ref="Y195:Y258" si="15">ROUND($A195,3)+0</f>
        <v>2030.1310000000001</v>
      </c>
      <c r="Z195" s="2">
        <f t="shared" ref="Z195:Z258" si="16">ROUND($D195,1)+0</f>
        <v>49257.9</v>
      </c>
      <c r="AA195" s="2">
        <f t="shared" ref="AA195:AA258" si="17">100000000/Y195</f>
        <v>49257.905031744252</v>
      </c>
      <c r="AB195" s="1">
        <f t="shared" ref="AB195:AB258" si="18">0.0005/$Y195*AA195+0.05</f>
        <v>6.2131706040581679E-2</v>
      </c>
      <c r="AC195" s="1" t="b">
        <f t="shared" ref="AC195:AC258" si="19">ABS(Z195-AA195)&lt;AB195</f>
        <v>1</v>
      </c>
    </row>
    <row r="196" spans="1:29" x14ac:dyDescent="0.25">
      <c r="A196" s="1">
        <v>2029.9829999999999</v>
      </c>
      <c r="B196">
        <v>2</v>
      </c>
      <c r="D196" s="2">
        <v>49261.5</v>
      </c>
      <c r="M196">
        <v>2</v>
      </c>
      <c r="Y196" s="1">
        <f t="shared" si="15"/>
        <v>2029.9829999999999</v>
      </c>
      <c r="Z196" s="2">
        <f t="shared" si="16"/>
        <v>49261.5</v>
      </c>
      <c r="AA196" s="2">
        <f t="shared" si="17"/>
        <v>49261.496278540268</v>
      </c>
      <c r="AB196" s="1">
        <f t="shared" si="18"/>
        <v>6.2133475078003181E-2</v>
      </c>
      <c r="AC196" s="1" t="b">
        <f t="shared" si="19"/>
        <v>1</v>
      </c>
    </row>
    <row r="197" spans="1:29" x14ac:dyDescent="0.25">
      <c r="A197" s="1">
        <v>2029.8140000000001</v>
      </c>
      <c r="B197">
        <v>7</v>
      </c>
      <c r="D197" s="2">
        <v>49265.599999999999</v>
      </c>
      <c r="E197">
        <v>19872</v>
      </c>
      <c r="F197" t="s">
        <v>15</v>
      </c>
      <c r="G197" t="s">
        <v>18</v>
      </c>
      <c r="H197">
        <v>69138</v>
      </c>
      <c r="I197" t="s">
        <v>17</v>
      </c>
      <c r="J197" t="s">
        <v>16</v>
      </c>
      <c r="K197">
        <v>19872.43</v>
      </c>
      <c r="L197">
        <v>69138.28</v>
      </c>
      <c r="M197">
        <v>2</v>
      </c>
      <c r="Y197" s="1">
        <f t="shared" si="15"/>
        <v>2029.8140000000001</v>
      </c>
      <c r="Z197" s="2">
        <f t="shared" si="16"/>
        <v>49265.599999999999</v>
      </c>
      <c r="AA197" s="2">
        <f t="shared" si="17"/>
        <v>49265.597734570751</v>
      </c>
      <c r="AB197" s="1">
        <f t="shared" si="18"/>
        <v>6.213549560072272E-2</v>
      </c>
      <c r="AC197" s="1" t="b">
        <f t="shared" si="19"/>
        <v>1</v>
      </c>
    </row>
    <row r="198" spans="1:29" x14ac:dyDescent="0.25">
      <c r="A198" s="1">
        <v>2029.694</v>
      </c>
      <c r="B198">
        <v>2</v>
      </c>
      <c r="D198" s="2">
        <v>49268.5</v>
      </c>
      <c r="M198">
        <v>2</v>
      </c>
      <c r="Y198" s="1">
        <f t="shared" si="15"/>
        <v>2029.694</v>
      </c>
      <c r="Z198" s="2">
        <f t="shared" si="16"/>
        <v>49268.5</v>
      </c>
      <c r="AA198" s="2">
        <f t="shared" si="17"/>
        <v>49268.510425709494</v>
      </c>
      <c r="AB198" s="1">
        <f t="shared" si="18"/>
        <v>6.2136930597841228E-2</v>
      </c>
      <c r="AC198" s="1" t="b">
        <f t="shared" si="19"/>
        <v>1</v>
      </c>
    </row>
    <row r="199" spans="1:29" x14ac:dyDescent="0.25">
      <c r="A199" s="1">
        <v>2029.54</v>
      </c>
      <c r="B199">
        <v>20</v>
      </c>
      <c r="D199" s="2">
        <v>49272.2</v>
      </c>
      <c r="E199">
        <v>35137</v>
      </c>
      <c r="F199" t="s">
        <v>15</v>
      </c>
      <c r="G199" t="s">
        <v>29</v>
      </c>
      <c r="H199">
        <v>84409</v>
      </c>
      <c r="I199" t="s">
        <v>17</v>
      </c>
      <c r="J199" t="s">
        <v>29</v>
      </c>
      <c r="K199">
        <v>35137.82</v>
      </c>
      <c r="L199">
        <v>84409.93</v>
      </c>
      <c r="M199">
        <v>2</v>
      </c>
      <c r="Y199" s="1">
        <f t="shared" si="15"/>
        <v>2029.54</v>
      </c>
      <c r="Z199" s="2">
        <f t="shared" si="16"/>
        <v>49272.2</v>
      </c>
      <c r="AA199" s="2">
        <f t="shared" si="17"/>
        <v>49272.248883983564</v>
      </c>
      <c r="AB199" s="1">
        <f t="shared" si="18"/>
        <v>6.2138772550426102E-2</v>
      </c>
      <c r="AC199" s="1" t="b">
        <f t="shared" si="19"/>
        <v>1</v>
      </c>
    </row>
    <row r="200" spans="1:29" x14ac:dyDescent="0.25">
      <c r="A200" s="1">
        <v>2029.192</v>
      </c>
      <c r="B200">
        <v>300</v>
      </c>
      <c r="D200" s="2">
        <v>49280.7</v>
      </c>
      <c r="M200">
        <v>2</v>
      </c>
      <c r="Y200" s="1">
        <f t="shared" si="15"/>
        <v>2029.192</v>
      </c>
      <c r="Z200" s="2">
        <f t="shared" si="16"/>
        <v>49280.7</v>
      </c>
      <c r="AA200" s="2">
        <f t="shared" si="17"/>
        <v>49280.698918584341</v>
      </c>
      <c r="AB200" s="1">
        <f t="shared" si="18"/>
        <v>6.2142936429520804E-2</v>
      </c>
      <c r="AC200" s="1" t="b">
        <f t="shared" si="19"/>
        <v>1</v>
      </c>
    </row>
    <row r="201" spans="1:29" x14ac:dyDescent="0.25">
      <c r="A201" s="1">
        <v>2028.9590000000001</v>
      </c>
      <c r="B201">
        <v>2</v>
      </c>
      <c r="D201" s="2">
        <v>49286.400000000001</v>
      </c>
      <c r="M201">
        <v>3</v>
      </c>
      <c r="Y201" s="1">
        <f t="shared" si="15"/>
        <v>2028.9590000000001</v>
      </c>
      <c r="Z201" s="2">
        <f t="shared" si="16"/>
        <v>49286.400000000001</v>
      </c>
      <c r="AA201" s="2">
        <f t="shared" si="17"/>
        <v>49286.358176779322</v>
      </c>
      <c r="AB201" s="1">
        <f t="shared" si="18"/>
        <v>6.2145725511648917E-2</v>
      </c>
      <c r="AC201" s="1" t="b">
        <f t="shared" si="19"/>
        <v>1</v>
      </c>
    </row>
    <row r="202" spans="1:29" x14ac:dyDescent="0.25">
      <c r="A202" s="1">
        <v>2028.9259999999999</v>
      </c>
      <c r="B202">
        <v>5</v>
      </c>
      <c r="D202" s="2">
        <v>49287.199999999997</v>
      </c>
      <c r="E202">
        <v>44679</v>
      </c>
      <c r="F202" t="s">
        <v>15</v>
      </c>
      <c r="G202" t="s">
        <v>18</v>
      </c>
      <c r="H202">
        <v>93967</v>
      </c>
      <c r="I202" t="s">
        <v>17</v>
      </c>
      <c r="J202" t="s">
        <v>18</v>
      </c>
      <c r="K202">
        <v>44679.98</v>
      </c>
      <c r="L202">
        <v>93967.4</v>
      </c>
      <c r="M202">
        <v>3</v>
      </c>
      <c r="Y202" s="1">
        <f t="shared" si="15"/>
        <v>2028.9259999999999</v>
      </c>
      <c r="Z202" s="2">
        <f t="shared" si="16"/>
        <v>49287.199999999997</v>
      </c>
      <c r="AA202" s="2">
        <f t="shared" si="17"/>
        <v>49287.159807701217</v>
      </c>
      <c r="AB202" s="1">
        <f t="shared" si="18"/>
        <v>6.2146120609549396E-2</v>
      </c>
      <c r="AC202" s="1" t="b">
        <f t="shared" si="19"/>
        <v>1</v>
      </c>
    </row>
    <row r="203" spans="1:29" x14ac:dyDescent="0.25">
      <c r="A203" s="1">
        <v>2028.78</v>
      </c>
      <c r="B203">
        <v>100</v>
      </c>
      <c r="D203" s="2">
        <v>49290.7</v>
      </c>
      <c r="E203">
        <v>14859</v>
      </c>
      <c r="F203" t="s">
        <v>15</v>
      </c>
      <c r="G203" t="s">
        <v>23</v>
      </c>
      <c r="H203">
        <v>64150</v>
      </c>
      <c r="I203" t="s">
        <v>17</v>
      </c>
      <c r="J203" t="s">
        <v>23</v>
      </c>
      <c r="K203">
        <v>14859.96</v>
      </c>
      <c r="L203">
        <v>64150.94</v>
      </c>
      <c r="M203">
        <v>3</v>
      </c>
      <c r="Y203" s="1">
        <f t="shared" si="15"/>
        <v>2028.78</v>
      </c>
      <c r="Z203" s="2">
        <f t="shared" si="16"/>
        <v>49290.7</v>
      </c>
      <c r="AA203" s="2">
        <f t="shared" si="17"/>
        <v>49290.706730153099</v>
      </c>
      <c r="AB203" s="1">
        <f t="shared" si="18"/>
        <v>6.2147868849789803E-2</v>
      </c>
      <c r="AC203" s="1" t="b">
        <f t="shared" si="19"/>
        <v>1</v>
      </c>
    </row>
    <row r="204" spans="1:29" x14ac:dyDescent="0.25">
      <c r="A204" s="1">
        <v>2028.2090000000001</v>
      </c>
      <c r="B204">
        <v>40</v>
      </c>
      <c r="D204" s="2">
        <v>49304.6</v>
      </c>
      <c r="E204">
        <v>22080</v>
      </c>
      <c r="F204" t="s">
        <v>15</v>
      </c>
      <c r="G204" t="s">
        <v>18</v>
      </c>
      <c r="H204">
        <v>71385</v>
      </c>
      <c r="I204" t="s">
        <v>17</v>
      </c>
      <c r="J204" t="s">
        <v>18</v>
      </c>
      <c r="K204">
        <v>22080.94</v>
      </c>
      <c r="L204">
        <v>71385.600000000006</v>
      </c>
      <c r="M204">
        <v>3</v>
      </c>
      <c r="Y204" s="1">
        <f t="shared" si="15"/>
        <v>2028.2090000000001</v>
      </c>
      <c r="Z204" s="2">
        <f t="shared" si="16"/>
        <v>49304.6</v>
      </c>
      <c r="AA204" s="2">
        <f t="shared" si="17"/>
        <v>49304.583501996094</v>
      </c>
      <c r="AB204" s="1">
        <f t="shared" si="18"/>
        <v>6.2154709771526533E-2</v>
      </c>
      <c r="AC204" s="1" t="b">
        <f t="shared" si="19"/>
        <v>1</v>
      </c>
    </row>
    <row r="205" spans="1:29" x14ac:dyDescent="0.25">
      <c r="A205" s="1">
        <v>2027.3150000000001</v>
      </c>
      <c r="B205">
        <v>3</v>
      </c>
      <c r="D205" s="2">
        <v>49326.3</v>
      </c>
      <c r="E205">
        <v>13352</v>
      </c>
      <c r="F205" t="s">
        <v>15</v>
      </c>
      <c r="G205" t="s">
        <v>23</v>
      </c>
      <c r="H205">
        <v>62678</v>
      </c>
      <c r="I205" t="s">
        <v>17</v>
      </c>
      <c r="J205" t="s">
        <v>50</v>
      </c>
      <c r="K205">
        <v>13352.1</v>
      </c>
      <c r="L205">
        <v>62678.7</v>
      </c>
      <c r="M205">
        <v>3</v>
      </c>
      <c r="Y205" s="1">
        <f t="shared" si="15"/>
        <v>2027.3150000000001</v>
      </c>
      <c r="Z205" s="2">
        <f t="shared" si="16"/>
        <v>49326.3</v>
      </c>
      <c r="AA205" s="2">
        <f t="shared" si="17"/>
        <v>49326.325706661271</v>
      </c>
      <c r="AB205" s="1">
        <f t="shared" si="18"/>
        <v>6.2165432038598166E-2</v>
      </c>
      <c r="AC205" s="1" t="b">
        <f t="shared" si="19"/>
        <v>1</v>
      </c>
    </row>
    <row r="206" spans="1:29" x14ac:dyDescent="0.25">
      <c r="A206" s="1">
        <v>2027.194</v>
      </c>
      <c r="B206">
        <v>40</v>
      </c>
      <c r="D206" s="2">
        <v>49329.3</v>
      </c>
      <c r="M206">
        <v>3</v>
      </c>
      <c r="Y206" s="1">
        <f t="shared" si="15"/>
        <v>2027.194</v>
      </c>
      <c r="Z206" s="2">
        <f t="shared" si="16"/>
        <v>49329.3</v>
      </c>
      <c r="AA206" s="2">
        <f t="shared" si="17"/>
        <v>49329.269916939375</v>
      </c>
      <c r="AB206" s="1">
        <f t="shared" si="18"/>
        <v>6.2166884352691305E-2</v>
      </c>
      <c r="AC206" s="1" t="b">
        <f t="shared" si="19"/>
        <v>1</v>
      </c>
    </row>
    <row r="207" spans="1:29" x14ac:dyDescent="0.25">
      <c r="A207" s="1">
        <v>2027.1020000000001</v>
      </c>
      <c r="B207">
        <v>300</v>
      </c>
      <c r="D207" s="2">
        <v>49331.5</v>
      </c>
      <c r="E207">
        <v>15525</v>
      </c>
      <c r="F207" t="s">
        <v>15</v>
      </c>
      <c r="G207" t="s">
        <v>23</v>
      </c>
      <c r="H207">
        <v>64857</v>
      </c>
      <c r="I207" t="s">
        <v>17</v>
      </c>
      <c r="J207" t="s">
        <v>16</v>
      </c>
      <c r="K207">
        <v>15525.5</v>
      </c>
      <c r="L207">
        <v>64857.15</v>
      </c>
      <c r="M207">
        <v>3</v>
      </c>
      <c r="Y207" s="1">
        <f t="shared" si="15"/>
        <v>2027.1020000000001</v>
      </c>
      <c r="Z207" s="2">
        <f t="shared" si="16"/>
        <v>49331.5</v>
      </c>
      <c r="AA207" s="2">
        <f t="shared" si="17"/>
        <v>49331.50872526395</v>
      </c>
      <c r="AB207" s="1">
        <f t="shared" si="18"/>
        <v>6.2167988765553968E-2</v>
      </c>
      <c r="AC207" s="1" t="b">
        <f t="shared" si="19"/>
        <v>1</v>
      </c>
    </row>
    <row r="208" spans="1:29" x14ac:dyDescent="0.25">
      <c r="A208" s="1">
        <v>2026.9480000000001</v>
      </c>
      <c r="B208">
        <v>10</v>
      </c>
      <c r="D208" s="2">
        <v>49335.3</v>
      </c>
      <c r="E208">
        <v>18063</v>
      </c>
      <c r="F208" t="s">
        <v>15</v>
      </c>
      <c r="G208" t="s">
        <v>16</v>
      </c>
      <c r="H208">
        <v>67398</v>
      </c>
      <c r="I208" t="s">
        <v>17</v>
      </c>
      <c r="J208" t="s">
        <v>16</v>
      </c>
      <c r="K208">
        <v>18063.36</v>
      </c>
      <c r="L208">
        <v>67398.789999999994</v>
      </c>
      <c r="M208">
        <v>3</v>
      </c>
      <c r="Y208" s="1">
        <f t="shared" si="15"/>
        <v>2026.9480000000001</v>
      </c>
      <c r="Z208" s="2">
        <f t="shared" si="16"/>
        <v>49335.3</v>
      </c>
      <c r="AA208" s="2">
        <f t="shared" si="17"/>
        <v>49335.25675054318</v>
      </c>
      <c r="AB208" s="1">
        <f t="shared" si="18"/>
        <v>6.2169837793210087E-2</v>
      </c>
      <c r="AC208" s="1" t="b">
        <f t="shared" si="19"/>
        <v>1</v>
      </c>
    </row>
    <row r="209" spans="1:29" x14ac:dyDescent="0.25">
      <c r="A209" s="1">
        <v>2026.694</v>
      </c>
      <c r="B209">
        <v>10</v>
      </c>
      <c r="D209" s="2">
        <v>49341.4</v>
      </c>
      <c r="E209">
        <v>18990</v>
      </c>
      <c r="F209" t="s">
        <v>15</v>
      </c>
      <c r="G209" t="s">
        <v>18</v>
      </c>
      <c r="H209">
        <v>68331</v>
      </c>
      <c r="I209" t="s">
        <v>17</v>
      </c>
      <c r="J209" t="s">
        <v>18</v>
      </c>
      <c r="K209">
        <v>18990.080000000002</v>
      </c>
      <c r="L209">
        <v>68331.73</v>
      </c>
      <c r="M209">
        <v>3</v>
      </c>
      <c r="Y209" s="1">
        <f t="shared" si="15"/>
        <v>2026.694</v>
      </c>
      <c r="Z209" s="2">
        <f t="shared" si="16"/>
        <v>49341.4</v>
      </c>
      <c r="AA209" s="2">
        <f t="shared" si="17"/>
        <v>49341.43980295003</v>
      </c>
      <c r="AB209" s="1">
        <f t="shared" si="18"/>
        <v>6.217288840914071E-2</v>
      </c>
      <c r="AC209" s="1" t="b">
        <f t="shared" si="19"/>
        <v>1</v>
      </c>
    </row>
    <row r="210" spans="1:29" x14ac:dyDescent="0.25">
      <c r="A210" s="1">
        <v>2026.0070000000001</v>
      </c>
      <c r="B210">
        <v>30</v>
      </c>
      <c r="C210" t="s">
        <v>122</v>
      </c>
      <c r="D210" s="2">
        <v>49358.2</v>
      </c>
      <c r="M210">
        <v>3</v>
      </c>
      <c r="Y210" s="1">
        <f t="shared" si="15"/>
        <v>2026.0070000000001</v>
      </c>
      <c r="Z210" s="2">
        <f t="shared" si="16"/>
        <v>49358.2</v>
      </c>
      <c r="AA210" s="2">
        <f t="shared" si="17"/>
        <v>49358.171023101102</v>
      </c>
      <c r="AB210" s="1">
        <f t="shared" si="18"/>
        <v>6.2181145233728488E-2</v>
      </c>
      <c r="AC210" s="1" t="b">
        <f t="shared" si="19"/>
        <v>1</v>
      </c>
    </row>
    <row r="211" spans="1:29" x14ac:dyDescent="0.25">
      <c r="A211" s="1">
        <v>2025.296</v>
      </c>
      <c r="B211">
        <v>30</v>
      </c>
      <c r="D211" s="2">
        <v>49375.5</v>
      </c>
      <c r="E211">
        <v>14859</v>
      </c>
      <c r="F211" t="s">
        <v>15</v>
      </c>
      <c r="G211" t="s">
        <v>23</v>
      </c>
      <c r="H211">
        <v>64235</v>
      </c>
      <c r="I211" t="s">
        <v>17</v>
      </c>
      <c r="J211" t="s">
        <v>16</v>
      </c>
      <c r="K211">
        <v>14859.96</v>
      </c>
      <c r="L211">
        <v>64235.61</v>
      </c>
      <c r="M211">
        <v>3</v>
      </c>
      <c r="Y211" s="1">
        <f t="shared" si="15"/>
        <v>2025.296</v>
      </c>
      <c r="Z211" s="2">
        <f t="shared" si="16"/>
        <v>49375.5</v>
      </c>
      <c r="AA211" s="2">
        <f t="shared" si="17"/>
        <v>49375.498692536792</v>
      </c>
      <c r="AB211" s="1">
        <f t="shared" si="18"/>
        <v>6.2189699355683511E-2</v>
      </c>
      <c r="AC211" s="1" t="b">
        <f t="shared" si="19"/>
        <v>1</v>
      </c>
    </row>
    <row r="212" spans="1:29" x14ac:dyDescent="0.25">
      <c r="A212" s="1">
        <v>2024.954</v>
      </c>
      <c r="B212">
        <v>100</v>
      </c>
      <c r="D212" s="2">
        <v>49383.8</v>
      </c>
      <c r="E212">
        <v>18921</v>
      </c>
      <c r="F212" t="s">
        <v>15</v>
      </c>
      <c r="G212" t="s">
        <v>57</v>
      </c>
      <c r="H212">
        <v>68305</v>
      </c>
      <c r="I212" t="s">
        <v>17</v>
      </c>
      <c r="J212" t="s">
        <v>57</v>
      </c>
      <c r="K212">
        <v>18921.240000000002</v>
      </c>
      <c r="L212">
        <v>68305.100000000006</v>
      </c>
      <c r="M212">
        <v>3</v>
      </c>
      <c r="Y212" s="1">
        <f t="shared" si="15"/>
        <v>2024.954</v>
      </c>
      <c r="Z212" s="2">
        <f t="shared" si="16"/>
        <v>49383.8</v>
      </c>
      <c r="AA212" s="2">
        <f t="shared" si="17"/>
        <v>49383.837855082144</v>
      </c>
      <c r="AB212" s="1">
        <f t="shared" si="18"/>
        <v>6.2193817206485223E-2</v>
      </c>
      <c r="AC212" s="1" t="b">
        <f t="shared" si="19"/>
        <v>1</v>
      </c>
    </row>
    <row r="213" spans="1:29" x14ac:dyDescent="0.25">
      <c r="A213" s="1">
        <v>2024.8119999999999</v>
      </c>
      <c r="B213">
        <v>2</v>
      </c>
      <c r="D213" s="2">
        <v>49387.3</v>
      </c>
      <c r="M213">
        <v>3</v>
      </c>
      <c r="Y213" s="1">
        <f t="shared" si="15"/>
        <v>2024.8119999999999</v>
      </c>
      <c r="Z213" s="2">
        <f t="shared" si="16"/>
        <v>49387.3</v>
      </c>
      <c r="AA213" s="2">
        <f t="shared" si="17"/>
        <v>49387.301142031953</v>
      </c>
      <c r="AB213" s="1">
        <f t="shared" si="18"/>
        <v>6.2195527570468756E-2</v>
      </c>
      <c r="AC213" s="1" t="b">
        <f t="shared" si="19"/>
        <v>1</v>
      </c>
    </row>
    <row r="214" spans="1:29" x14ac:dyDescent="0.25">
      <c r="A214" s="1">
        <v>2024.5730000000001</v>
      </c>
      <c r="B214">
        <v>20</v>
      </c>
      <c r="C214" t="s">
        <v>122</v>
      </c>
      <c r="D214" s="2">
        <v>49393.1</v>
      </c>
      <c r="E214">
        <v>16516</v>
      </c>
      <c r="F214" t="s">
        <v>15</v>
      </c>
      <c r="G214" t="s">
        <v>18</v>
      </c>
      <c r="H214">
        <v>65909</v>
      </c>
      <c r="I214" t="s">
        <v>17</v>
      </c>
      <c r="J214" t="s">
        <v>28</v>
      </c>
      <c r="K214">
        <v>16516.150000000001</v>
      </c>
      <c r="L214">
        <v>65909.440000000002</v>
      </c>
      <c r="M214">
        <v>3</v>
      </c>
      <c r="Y214" s="1">
        <f t="shared" si="15"/>
        <v>2024.5730000000001</v>
      </c>
      <c r="Z214" s="2">
        <f t="shared" si="16"/>
        <v>49393.1</v>
      </c>
      <c r="AA214" s="2">
        <f t="shared" si="17"/>
        <v>49393.131292376216</v>
      </c>
      <c r="AB214" s="1">
        <f t="shared" si="18"/>
        <v>6.2198407094329576E-2</v>
      </c>
      <c r="AC214" s="1" t="b">
        <f t="shared" si="19"/>
        <v>1</v>
      </c>
    </row>
    <row r="215" spans="1:29" x14ac:dyDescent="0.25">
      <c r="A215" s="1">
        <v>2024.54</v>
      </c>
      <c r="B215">
        <v>400</v>
      </c>
      <c r="D215" s="2">
        <v>49393.9</v>
      </c>
      <c r="E215">
        <v>12846</v>
      </c>
      <c r="F215" t="s">
        <v>15</v>
      </c>
      <c r="G215" t="s">
        <v>16</v>
      </c>
      <c r="H215">
        <v>62240</v>
      </c>
      <c r="I215" t="s">
        <v>17</v>
      </c>
      <c r="J215" t="s">
        <v>23</v>
      </c>
      <c r="K215">
        <v>12846.66</v>
      </c>
      <c r="L215">
        <v>62240.83</v>
      </c>
      <c r="M215">
        <v>3</v>
      </c>
      <c r="Y215" s="1">
        <f t="shared" si="15"/>
        <v>2024.54</v>
      </c>
      <c r="Z215" s="2">
        <f t="shared" si="16"/>
        <v>49393.9</v>
      </c>
      <c r="AA215" s="2">
        <f t="shared" si="17"/>
        <v>49393.936400367493</v>
      </c>
      <c r="AB215" s="1">
        <f t="shared" si="18"/>
        <v>6.2198804765617746E-2</v>
      </c>
      <c r="AC215" s="1" t="b">
        <f t="shared" si="19"/>
        <v>1</v>
      </c>
    </row>
    <row r="216" spans="1:29" x14ac:dyDescent="0.25">
      <c r="A216" s="1">
        <v>2024.298</v>
      </c>
      <c r="B216">
        <v>70</v>
      </c>
      <c r="D216" s="2">
        <v>49399.8</v>
      </c>
      <c r="M216">
        <v>3</v>
      </c>
      <c r="Y216" s="1">
        <f t="shared" si="15"/>
        <v>2024.298</v>
      </c>
      <c r="Z216" s="2">
        <f t="shared" si="16"/>
        <v>49399.8</v>
      </c>
      <c r="AA216" s="2">
        <f t="shared" si="17"/>
        <v>49399.841327709655</v>
      </c>
      <c r="AB216" s="1">
        <f t="shared" si="18"/>
        <v>6.2201721616014456E-2</v>
      </c>
      <c r="AC216" s="1" t="b">
        <f t="shared" si="19"/>
        <v>1</v>
      </c>
    </row>
    <row r="217" spans="1:29" x14ac:dyDescent="0.25">
      <c r="A217" s="1">
        <v>2023.848</v>
      </c>
      <c r="B217">
        <v>10</v>
      </c>
      <c r="D217" s="2">
        <v>49410.8</v>
      </c>
      <c r="E217">
        <v>15454</v>
      </c>
      <c r="F217" t="s">
        <v>15</v>
      </c>
      <c r="G217" t="s">
        <v>50</v>
      </c>
      <c r="H217">
        <v>64865</v>
      </c>
      <c r="I217" t="s">
        <v>17</v>
      </c>
      <c r="J217" t="s">
        <v>23</v>
      </c>
      <c r="K217">
        <v>15454.16</v>
      </c>
      <c r="L217">
        <v>64865.15</v>
      </c>
      <c r="M217">
        <v>3</v>
      </c>
      <c r="Y217" s="1">
        <f t="shared" si="15"/>
        <v>2023.848</v>
      </c>
      <c r="Z217" s="2">
        <f t="shared" si="16"/>
        <v>49410.8</v>
      </c>
      <c r="AA217" s="2">
        <f t="shared" si="17"/>
        <v>49410.82531889747</v>
      </c>
      <c r="AB217" s="1">
        <f t="shared" si="18"/>
        <v>6.2207148293473E-2</v>
      </c>
      <c r="AC217" s="1" t="b">
        <f t="shared" si="19"/>
        <v>1</v>
      </c>
    </row>
    <row r="218" spans="1:29" x14ac:dyDescent="0.25">
      <c r="A218" s="1">
        <v>2023.39</v>
      </c>
      <c r="B218">
        <v>10</v>
      </c>
      <c r="D218" s="2">
        <v>49422</v>
      </c>
      <c r="E218">
        <v>17627</v>
      </c>
      <c r="F218" t="s">
        <v>15</v>
      </c>
      <c r="G218" t="s">
        <v>16</v>
      </c>
      <c r="H218">
        <v>67049</v>
      </c>
      <c r="I218" t="s">
        <v>17</v>
      </c>
      <c r="J218" t="s">
        <v>16</v>
      </c>
      <c r="K218">
        <v>17627</v>
      </c>
      <c r="L218">
        <v>67049.179999999993</v>
      </c>
      <c r="M218">
        <v>3</v>
      </c>
      <c r="Y218" s="1">
        <f t="shared" si="15"/>
        <v>2023.39</v>
      </c>
      <c r="Z218" s="2">
        <f t="shared" si="16"/>
        <v>49422</v>
      </c>
      <c r="AA218" s="2">
        <f t="shared" si="17"/>
        <v>49422.009597754259</v>
      </c>
      <c r="AB218" s="1">
        <f t="shared" si="18"/>
        <v>6.2212675163402578E-2</v>
      </c>
      <c r="AC218" s="1" t="b">
        <f t="shared" si="19"/>
        <v>1</v>
      </c>
    </row>
    <row r="219" spans="1:29" x14ac:dyDescent="0.25">
      <c r="A219" s="1">
        <v>2023.0050000000001</v>
      </c>
      <c r="B219">
        <v>200</v>
      </c>
      <c r="D219" s="2">
        <v>49431.4</v>
      </c>
      <c r="E219">
        <v>29263</v>
      </c>
      <c r="F219" t="s">
        <v>15</v>
      </c>
      <c r="G219" t="s">
        <v>50</v>
      </c>
      <c r="H219">
        <v>78694</v>
      </c>
      <c r="I219" t="s">
        <v>17</v>
      </c>
      <c r="J219" t="s">
        <v>23</v>
      </c>
      <c r="K219">
        <v>29263.08</v>
      </c>
      <c r="L219">
        <v>78694.570000000007</v>
      </c>
      <c r="M219">
        <v>3</v>
      </c>
      <c r="Y219" s="1">
        <f t="shared" si="15"/>
        <v>2023.0050000000001</v>
      </c>
      <c r="Z219" s="2">
        <f t="shared" si="16"/>
        <v>49431.4</v>
      </c>
      <c r="AA219" s="2">
        <f t="shared" si="17"/>
        <v>49431.415147268541</v>
      </c>
      <c r="AB219" s="1">
        <f t="shared" si="18"/>
        <v>6.2217324017308048E-2</v>
      </c>
      <c r="AC219" s="1" t="b">
        <f t="shared" si="19"/>
        <v>1</v>
      </c>
    </row>
    <row r="220" spans="1:29" x14ac:dyDescent="0.25">
      <c r="A220" s="1">
        <v>2022.7660000000001</v>
      </c>
      <c r="B220">
        <v>70</v>
      </c>
      <c r="D220" s="2">
        <v>49437.3</v>
      </c>
      <c r="E220">
        <v>19700</v>
      </c>
      <c r="F220" t="s">
        <v>15</v>
      </c>
      <c r="G220" t="s">
        <v>23</v>
      </c>
      <c r="H220">
        <v>69138</v>
      </c>
      <c r="I220" t="s">
        <v>17</v>
      </c>
      <c r="J220" t="s">
        <v>16</v>
      </c>
      <c r="K220">
        <v>19700.900000000001</v>
      </c>
      <c r="L220">
        <v>69138.28</v>
      </c>
      <c r="M220">
        <v>3</v>
      </c>
      <c r="Y220" s="1">
        <f t="shared" si="15"/>
        <v>2022.7660000000001</v>
      </c>
      <c r="Z220" s="2">
        <f t="shared" si="16"/>
        <v>49437.3</v>
      </c>
      <c r="AA220" s="2">
        <f t="shared" si="17"/>
        <v>49437.255718160181</v>
      </c>
      <c r="AB220" s="1">
        <f t="shared" si="18"/>
        <v>6.2220211264713811E-2</v>
      </c>
      <c r="AC220" s="1" t="b">
        <f t="shared" si="19"/>
        <v>1</v>
      </c>
    </row>
    <row r="221" spans="1:29" x14ac:dyDescent="0.25">
      <c r="A221" s="1">
        <v>2022.37</v>
      </c>
      <c r="B221">
        <v>3</v>
      </c>
      <c r="D221" s="2">
        <v>49446.9</v>
      </c>
      <c r="M221">
        <v>3</v>
      </c>
      <c r="Y221" s="1">
        <f t="shared" si="15"/>
        <v>2022.37</v>
      </c>
      <c r="Z221" s="2">
        <f t="shared" si="16"/>
        <v>49446.9</v>
      </c>
      <c r="AA221" s="2">
        <f t="shared" si="17"/>
        <v>49446.936020609486</v>
      </c>
      <c r="AB221" s="1">
        <f t="shared" si="18"/>
        <v>6.2224997409131247E-2</v>
      </c>
      <c r="AC221" s="1" t="b">
        <f t="shared" si="19"/>
        <v>1</v>
      </c>
    </row>
    <row r="222" spans="1:29" x14ac:dyDescent="0.25">
      <c r="A222" s="1">
        <v>2022.027</v>
      </c>
      <c r="B222">
        <v>1</v>
      </c>
      <c r="D222" s="2">
        <v>49455.3</v>
      </c>
      <c r="E222">
        <v>22080</v>
      </c>
      <c r="F222" t="s">
        <v>15</v>
      </c>
      <c r="G222" t="s">
        <v>18</v>
      </c>
      <c r="H222">
        <v>71536</v>
      </c>
      <c r="I222" t="s">
        <v>17</v>
      </c>
      <c r="J222" t="s">
        <v>28</v>
      </c>
      <c r="K222">
        <v>22080.94</v>
      </c>
      <c r="L222">
        <v>71536.38</v>
      </c>
      <c r="M222">
        <v>3</v>
      </c>
      <c r="Y222" s="1">
        <f t="shared" si="15"/>
        <v>2022.027</v>
      </c>
      <c r="Z222" s="2">
        <f t="shared" si="16"/>
        <v>49455.3</v>
      </c>
      <c r="AA222" s="2">
        <f t="shared" si="17"/>
        <v>49455.323791423158</v>
      </c>
      <c r="AB222" s="1">
        <f t="shared" si="18"/>
        <v>6.2229145256572534E-2</v>
      </c>
      <c r="AC222" s="1" t="b">
        <f t="shared" si="19"/>
        <v>1</v>
      </c>
    </row>
    <row r="223" spans="1:29" x14ac:dyDescent="0.25">
      <c r="A223" s="1">
        <v>2021.5440000000001</v>
      </c>
      <c r="B223">
        <v>50</v>
      </c>
      <c r="D223" s="2">
        <v>49467.1</v>
      </c>
      <c r="E223">
        <v>22527</v>
      </c>
      <c r="F223" t="s">
        <v>15</v>
      </c>
      <c r="G223" t="s">
        <v>18</v>
      </c>
      <c r="H223">
        <v>71994</v>
      </c>
      <c r="I223" t="s">
        <v>17</v>
      </c>
      <c r="J223" t="s">
        <v>28</v>
      </c>
      <c r="K223">
        <v>22527.7</v>
      </c>
      <c r="L223">
        <v>71994.81</v>
      </c>
      <c r="M223">
        <v>3</v>
      </c>
      <c r="Y223" s="1">
        <f t="shared" si="15"/>
        <v>2021.5440000000001</v>
      </c>
      <c r="Z223" s="2">
        <f t="shared" si="16"/>
        <v>49467.1</v>
      </c>
      <c r="AA223" s="2">
        <f t="shared" si="17"/>
        <v>49467.139968261879</v>
      </c>
      <c r="AB223" s="1">
        <f t="shared" si="18"/>
        <v>6.2234989683198058E-2</v>
      </c>
      <c r="AC223" s="1" t="b">
        <f t="shared" si="19"/>
        <v>1</v>
      </c>
    </row>
    <row r="224" spans="1:29" x14ac:dyDescent="0.25">
      <c r="A224" s="1">
        <v>2021.249</v>
      </c>
      <c r="B224">
        <v>1</v>
      </c>
      <c r="D224" s="2">
        <v>49474.400000000001</v>
      </c>
      <c r="M224">
        <v>3</v>
      </c>
      <c r="Y224" s="1">
        <f t="shared" si="15"/>
        <v>2021.249</v>
      </c>
      <c r="Z224" s="2">
        <f t="shared" si="16"/>
        <v>49474.400000000001</v>
      </c>
      <c r="AA224" s="2">
        <f t="shared" si="17"/>
        <v>49474.359665731434</v>
      </c>
      <c r="AB224" s="1">
        <f t="shared" si="18"/>
        <v>6.2238561321670771E-2</v>
      </c>
      <c r="AC224" s="1" t="b">
        <f t="shared" si="19"/>
        <v>1</v>
      </c>
    </row>
    <row r="225" spans="1:29" x14ac:dyDescent="0.25">
      <c r="A225" s="1">
        <v>2020.778</v>
      </c>
      <c r="B225">
        <v>10</v>
      </c>
      <c r="D225" s="2">
        <v>49485.9</v>
      </c>
      <c r="E225">
        <v>21535</v>
      </c>
      <c r="F225" t="s">
        <v>15</v>
      </c>
      <c r="G225" t="s">
        <v>16</v>
      </c>
      <c r="H225">
        <v>71021</v>
      </c>
      <c r="I225" t="s">
        <v>17</v>
      </c>
      <c r="J225" t="s">
        <v>16</v>
      </c>
      <c r="K225">
        <v>21535.17</v>
      </c>
      <c r="L225">
        <v>71021.100000000006</v>
      </c>
      <c r="M225">
        <v>3</v>
      </c>
      <c r="Y225" s="1">
        <f t="shared" si="15"/>
        <v>2020.778</v>
      </c>
      <c r="Z225" s="2">
        <f t="shared" si="16"/>
        <v>49485.9</v>
      </c>
      <c r="AA225" s="2">
        <f t="shared" si="17"/>
        <v>49485.891077594868</v>
      </c>
      <c r="AB225" s="1">
        <f t="shared" si="18"/>
        <v>6.224426707871792E-2</v>
      </c>
      <c r="AC225" s="1" t="b">
        <f t="shared" si="19"/>
        <v>1</v>
      </c>
    </row>
    <row r="226" spans="1:29" x14ac:dyDescent="0.25">
      <c r="A226" s="1">
        <v>2018.5119999999999</v>
      </c>
      <c r="B226">
        <v>1</v>
      </c>
      <c r="D226" s="2">
        <v>49541.4</v>
      </c>
      <c r="M226">
        <v>3</v>
      </c>
      <c r="Y226" s="1">
        <f t="shared" si="15"/>
        <v>2018.5119999999999</v>
      </c>
      <c r="Z226" s="2">
        <f t="shared" si="16"/>
        <v>49541.4</v>
      </c>
      <c r="AA226" s="2">
        <f t="shared" si="17"/>
        <v>49541.444390719502</v>
      </c>
      <c r="AB226" s="1">
        <f t="shared" si="18"/>
        <v>6.2271773561593767E-2</v>
      </c>
      <c r="AC226" s="1" t="b">
        <f t="shared" si="19"/>
        <v>1</v>
      </c>
    </row>
    <row r="227" spans="1:29" x14ac:dyDescent="0.25">
      <c r="A227" s="1">
        <v>2018.385</v>
      </c>
      <c r="B227">
        <v>10</v>
      </c>
      <c r="D227" s="2">
        <v>49544.6</v>
      </c>
      <c r="E227">
        <v>26095</v>
      </c>
      <c r="F227" t="s">
        <v>15</v>
      </c>
      <c r="G227" t="s">
        <v>23</v>
      </c>
      <c r="H227">
        <v>75640</v>
      </c>
      <c r="I227" t="s">
        <v>17</v>
      </c>
      <c r="J227" t="s">
        <v>23</v>
      </c>
      <c r="K227">
        <v>26095.23</v>
      </c>
      <c r="L227">
        <v>75640</v>
      </c>
      <c r="M227">
        <v>3</v>
      </c>
      <c r="Y227" s="1">
        <f t="shared" si="15"/>
        <v>2018.385</v>
      </c>
      <c r="Z227" s="2">
        <f t="shared" si="16"/>
        <v>49544.6</v>
      </c>
      <c r="AA227" s="2">
        <f t="shared" si="17"/>
        <v>49544.561617332671</v>
      </c>
      <c r="AB227" s="1">
        <f t="shared" si="18"/>
        <v>6.2273317929268372E-2</v>
      </c>
      <c r="AC227" s="1" t="b">
        <f t="shared" si="19"/>
        <v>1</v>
      </c>
    </row>
    <row r="228" spans="1:29" x14ac:dyDescent="0.25">
      <c r="A228" s="1">
        <v>2017.7449999999999</v>
      </c>
      <c r="B228">
        <v>30</v>
      </c>
      <c r="D228" s="2">
        <v>49560.3</v>
      </c>
      <c r="E228">
        <v>29835</v>
      </c>
      <c r="F228" t="s">
        <v>15</v>
      </c>
      <c r="G228" t="s">
        <v>16</v>
      </c>
      <c r="H228">
        <v>79395</v>
      </c>
      <c r="I228" t="s">
        <v>17</v>
      </c>
      <c r="J228" t="s">
        <v>18</v>
      </c>
      <c r="K228">
        <v>29835.09</v>
      </c>
      <c r="L228">
        <v>79395.55</v>
      </c>
      <c r="M228">
        <v>3</v>
      </c>
      <c r="Y228" s="1">
        <f t="shared" si="15"/>
        <v>2017.7449999999999</v>
      </c>
      <c r="Z228" s="2">
        <f t="shared" si="16"/>
        <v>49560.3</v>
      </c>
      <c r="AA228" s="2">
        <f t="shared" si="17"/>
        <v>49560.276447222022</v>
      </c>
      <c r="AB228" s="1">
        <f t="shared" si="18"/>
        <v>6.2281105007625355E-2</v>
      </c>
      <c r="AC228" s="1" t="b">
        <f t="shared" si="19"/>
        <v>1</v>
      </c>
    </row>
    <row r="229" spans="1:29" x14ac:dyDescent="0.25">
      <c r="A229" s="1">
        <v>2016.711</v>
      </c>
      <c r="B229">
        <v>100</v>
      </c>
      <c r="D229" s="2">
        <v>49585.7</v>
      </c>
      <c r="M229">
        <v>3</v>
      </c>
      <c r="Y229" s="1">
        <f t="shared" si="15"/>
        <v>2016.711</v>
      </c>
      <c r="Z229" s="2">
        <f t="shared" si="16"/>
        <v>49585.7</v>
      </c>
      <c r="AA229" s="2">
        <f t="shared" si="17"/>
        <v>49585.686793992791</v>
      </c>
      <c r="AB229" s="1">
        <f t="shared" si="18"/>
        <v>6.2293701674159756E-2</v>
      </c>
      <c r="AC229" s="1" t="b">
        <f t="shared" si="19"/>
        <v>1</v>
      </c>
    </row>
    <row r="230" spans="1:29" x14ac:dyDescent="0.25">
      <c r="A230" s="1">
        <v>2016.6369999999999</v>
      </c>
      <c r="B230">
        <v>2</v>
      </c>
      <c r="D230" s="2">
        <v>49587.5</v>
      </c>
      <c r="E230">
        <v>23442</v>
      </c>
      <c r="F230" t="s">
        <v>15</v>
      </c>
      <c r="G230" t="s">
        <v>23</v>
      </c>
      <c r="H230">
        <v>73029</v>
      </c>
      <c r="I230" t="s">
        <v>17</v>
      </c>
      <c r="J230" t="s">
        <v>16</v>
      </c>
      <c r="K230">
        <v>23442.25</v>
      </c>
      <c r="L230">
        <v>73029.899999999994</v>
      </c>
      <c r="M230">
        <v>3</v>
      </c>
      <c r="Y230" s="1">
        <f t="shared" si="15"/>
        <v>2016.6369999999999</v>
      </c>
      <c r="Z230" s="2">
        <f t="shared" si="16"/>
        <v>49587.5</v>
      </c>
      <c r="AA230" s="2">
        <f t="shared" si="17"/>
        <v>49587.506328605494</v>
      </c>
      <c r="AB230" s="1">
        <f t="shared" si="18"/>
        <v>6.2294603919447453E-2</v>
      </c>
      <c r="AC230" s="1" t="b">
        <f t="shared" si="19"/>
        <v>1</v>
      </c>
    </row>
    <row r="231" spans="1:29" x14ac:dyDescent="0.25">
      <c r="A231" s="1">
        <v>2016.463</v>
      </c>
      <c r="B231">
        <v>1</v>
      </c>
      <c r="D231" s="2">
        <v>49591.8</v>
      </c>
      <c r="E231">
        <v>14558</v>
      </c>
      <c r="F231" t="s">
        <v>15</v>
      </c>
      <c r="G231" t="s">
        <v>16</v>
      </c>
      <c r="H231">
        <v>64150</v>
      </c>
      <c r="I231" t="s">
        <v>17</v>
      </c>
      <c r="J231" t="s">
        <v>23</v>
      </c>
      <c r="K231">
        <v>14558.82</v>
      </c>
      <c r="L231">
        <v>64150.94</v>
      </c>
      <c r="M231">
        <v>3</v>
      </c>
      <c r="Y231" s="1">
        <f t="shared" si="15"/>
        <v>2016.463</v>
      </c>
      <c r="Z231" s="2">
        <f t="shared" si="16"/>
        <v>49591.8</v>
      </c>
      <c r="AA231" s="2">
        <f t="shared" si="17"/>
        <v>49591.785219961886</v>
      </c>
      <c r="AB231" s="1">
        <f t="shared" si="18"/>
        <v>6.2296725806514151E-2</v>
      </c>
      <c r="AC231" s="1" t="b">
        <f t="shared" si="19"/>
        <v>1</v>
      </c>
    </row>
    <row r="232" spans="1:29" x14ac:dyDescent="0.25">
      <c r="A232" s="1">
        <v>2015.5909999999999</v>
      </c>
      <c r="B232">
        <v>100</v>
      </c>
      <c r="D232" s="2">
        <v>49613.2</v>
      </c>
      <c r="E232">
        <v>17627</v>
      </c>
      <c r="F232" t="s">
        <v>15</v>
      </c>
      <c r="G232" t="s">
        <v>16</v>
      </c>
      <c r="H232">
        <v>67240</v>
      </c>
      <c r="I232" t="s">
        <v>17</v>
      </c>
      <c r="J232" t="s">
        <v>18</v>
      </c>
      <c r="K232">
        <v>17627</v>
      </c>
      <c r="L232">
        <v>67240.350000000006</v>
      </c>
      <c r="M232">
        <v>3</v>
      </c>
      <c r="Y232" s="1">
        <f t="shared" si="15"/>
        <v>2015.5909999999999</v>
      </c>
      <c r="Z232" s="2">
        <f t="shared" si="16"/>
        <v>49613.2</v>
      </c>
      <c r="AA232" s="2">
        <f t="shared" si="17"/>
        <v>49613.239987676076</v>
      </c>
      <c r="AB232" s="1">
        <f t="shared" si="18"/>
        <v>6.2307367910373702E-2</v>
      </c>
      <c r="AC232" s="1" t="b">
        <f t="shared" si="19"/>
        <v>1</v>
      </c>
    </row>
    <row r="233" spans="1:29" x14ac:dyDescent="0.25">
      <c r="A233" s="1">
        <v>2015.4880000000001</v>
      </c>
      <c r="B233">
        <v>200</v>
      </c>
      <c r="D233" s="2">
        <v>49615.8</v>
      </c>
      <c r="E233">
        <v>18063</v>
      </c>
      <c r="F233" t="s">
        <v>15</v>
      </c>
      <c r="G233" t="s">
        <v>16</v>
      </c>
      <c r="H233">
        <v>67679</v>
      </c>
      <c r="I233" t="s">
        <v>17</v>
      </c>
      <c r="J233" t="s">
        <v>18</v>
      </c>
      <c r="K233">
        <v>18063.36</v>
      </c>
      <c r="L233">
        <v>67679.210000000006</v>
      </c>
      <c r="M233">
        <v>3</v>
      </c>
      <c r="Y233" s="1">
        <f t="shared" si="15"/>
        <v>2015.4880000000001</v>
      </c>
      <c r="Z233" s="2">
        <f t="shared" si="16"/>
        <v>49615.8</v>
      </c>
      <c r="AA233" s="2">
        <f t="shared" si="17"/>
        <v>49615.775435031115</v>
      </c>
      <c r="AB233" s="1">
        <f t="shared" si="18"/>
        <v>6.2308625860097187E-2</v>
      </c>
      <c r="AC233" s="1" t="b">
        <f t="shared" si="19"/>
        <v>1</v>
      </c>
    </row>
    <row r="234" spans="1:29" x14ac:dyDescent="0.25">
      <c r="A234" s="1">
        <v>2015.2670000000001</v>
      </c>
      <c r="B234">
        <v>20</v>
      </c>
      <c r="D234" s="2">
        <v>49621.2</v>
      </c>
      <c r="E234">
        <v>29267</v>
      </c>
      <c r="F234" t="s">
        <v>15</v>
      </c>
      <c r="G234" t="s">
        <v>28</v>
      </c>
      <c r="H234">
        <v>78889</v>
      </c>
      <c r="I234" t="s">
        <v>17</v>
      </c>
      <c r="J234" t="s">
        <v>29</v>
      </c>
      <c r="K234">
        <v>29267.86</v>
      </c>
      <c r="L234">
        <v>78889.14</v>
      </c>
      <c r="M234">
        <v>3</v>
      </c>
      <c r="Y234" s="1">
        <f t="shared" si="15"/>
        <v>2015.2670000000001</v>
      </c>
      <c r="Z234" s="2">
        <f t="shared" si="16"/>
        <v>49621.2</v>
      </c>
      <c r="AA234" s="2">
        <f t="shared" si="17"/>
        <v>49621.216444272643</v>
      </c>
      <c r="AB234" s="1">
        <f t="shared" si="18"/>
        <v>6.2311325607046775E-2</v>
      </c>
      <c r="AC234" s="1" t="b">
        <f t="shared" si="19"/>
        <v>1</v>
      </c>
    </row>
    <row r="235" spans="1:29" x14ac:dyDescent="0.25">
      <c r="A235" s="1">
        <v>2015.2139999999999</v>
      </c>
      <c r="B235">
        <v>100</v>
      </c>
      <c r="D235" s="2">
        <v>49622.5</v>
      </c>
      <c r="E235">
        <v>17113</v>
      </c>
      <c r="F235" t="s">
        <v>15</v>
      </c>
      <c r="G235" t="s">
        <v>50</v>
      </c>
      <c r="H235">
        <v>66735</v>
      </c>
      <c r="I235" t="s">
        <v>17</v>
      </c>
      <c r="J235" t="s">
        <v>50</v>
      </c>
      <c r="K235">
        <v>17113.189999999999</v>
      </c>
      <c r="L235">
        <v>66735.88</v>
      </c>
      <c r="M235">
        <v>3</v>
      </c>
      <c r="Y235" s="1">
        <f t="shared" si="15"/>
        <v>2015.2139999999999</v>
      </c>
      <c r="Z235" s="2">
        <f t="shared" si="16"/>
        <v>49622.5</v>
      </c>
      <c r="AA235" s="2">
        <f t="shared" si="17"/>
        <v>49622.521479108422</v>
      </c>
      <c r="AB235" s="1">
        <f t="shared" si="18"/>
        <v>6.231197318972289E-2</v>
      </c>
      <c r="AC235" s="1" t="b">
        <f t="shared" si="19"/>
        <v>1</v>
      </c>
    </row>
    <row r="236" spans="1:29" x14ac:dyDescent="0.25">
      <c r="A236" s="1">
        <v>2014.9459999999999</v>
      </c>
      <c r="B236">
        <v>100</v>
      </c>
      <c r="D236" s="2">
        <v>49629.1</v>
      </c>
      <c r="E236">
        <v>18241</v>
      </c>
      <c r="F236" t="s">
        <v>15</v>
      </c>
      <c r="G236" t="s">
        <v>23</v>
      </c>
      <c r="H236">
        <v>67870</v>
      </c>
      <c r="I236" t="s">
        <v>17</v>
      </c>
      <c r="J236" t="s">
        <v>16</v>
      </c>
      <c r="K236">
        <v>18241.54</v>
      </c>
      <c r="L236">
        <v>67870.759999999995</v>
      </c>
      <c r="M236">
        <v>3</v>
      </c>
      <c r="Y236" s="1">
        <f t="shared" si="15"/>
        <v>2014.9459999999999</v>
      </c>
      <c r="Z236" s="2">
        <f t="shared" si="16"/>
        <v>49629.1</v>
      </c>
      <c r="AA236" s="2">
        <f t="shared" si="17"/>
        <v>49629.12157447396</v>
      </c>
      <c r="AB236" s="1">
        <f t="shared" si="18"/>
        <v>6.2315248541269588E-2</v>
      </c>
      <c r="AC236" s="1" t="b">
        <f t="shared" si="19"/>
        <v>1</v>
      </c>
    </row>
    <row r="237" spans="1:29" x14ac:dyDescent="0.25">
      <c r="A237" s="1">
        <v>2014.405</v>
      </c>
      <c r="B237">
        <v>2</v>
      </c>
      <c r="D237" s="2">
        <v>49642.400000000001</v>
      </c>
      <c r="M237">
        <v>3</v>
      </c>
      <c r="Y237" s="1">
        <f t="shared" si="15"/>
        <v>2014.405</v>
      </c>
      <c r="Z237" s="2">
        <f t="shared" si="16"/>
        <v>49642.400000000001</v>
      </c>
      <c r="AA237" s="2">
        <f t="shared" si="17"/>
        <v>49642.450252059542</v>
      </c>
      <c r="AB237" s="1">
        <f t="shared" si="18"/>
        <v>6.2321864335141038E-2</v>
      </c>
      <c r="AC237" s="1" t="b">
        <f t="shared" si="19"/>
        <v>1</v>
      </c>
    </row>
    <row r="238" spans="1:29" x14ac:dyDescent="0.25">
      <c r="A238" s="1">
        <v>2013.8969999999999</v>
      </c>
      <c r="B238">
        <v>5</v>
      </c>
      <c r="D238" s="2">
        <v>49655</v>
      </c>
      <c r="M238">
        <v>3</v>
      </c>
      <c r="Y238" s="1">
        <f t="shared" si="15"/>
        <v>2013.8969999999999</v>
      </c>
      <c r="Z238" s="2">
        <f t="shared" si="16"/>
        <v>49655</v>
      </c>
      <c r="AA238" s="2">
        <f t="shared" si="17"/>
        <v>49654.972424111067</v>
      </c>
      <c r="AB238" s="1">
        <f t="shared" si="18"/>
        <v>6.2328081432196154E-2</v>
      </c>
      <c r="AC238" s="1" t="b">
        <f t="shared" si="19"/>
        <v>1</v>
      </c>
    </row>
    <row r="239" spans="1:29" x14ac:dyDescent="0.25">
      <c r="A239" s="1">
        <v>2013.0150000000001</v>
      </c>
      <c r="B239">
        <v>100</v>
      </c>
      <c r="D239" s="2">
        <v>49676.7</v>
      </c>
      <c r="E239">
        <v>14558</v>
      </c>
      <c r="F239" t="s">
        <v>15</v>
      </c>
      <c r="G239" t="s">
        <v>16</v>
      </c>
      <c r="H239">
        <v>64235</v>
      </c>
      <c r="I239" t="s">
        <v>17</v>
      </c>
      <c r="J239" t="s">
        <v>16</v>
      </c>
      <c r="K239">
        <v>14558.82</v>
      </c>
      <c r="L239">
        <v>64235.61</v>
      </c>
      <c r="M239">
        <v>3</v>
      </c>
      <c r="Y239" s="1">
        <f t="shared" si="15"/>
        <v>2013.0150000000001</v>
      </c>
      <c r="Z239" s="2">
        <f t="shared" si="16"/>
        <v>49676.7</v>
      </c>
      <c r="AA239" s="2">
        <f t="shared" si="17"/>
        <v>49676.728688062431</v>
      </c>
      <c r="AB239" s="1">
        <f t="shared" si="18"/>
        <v>6.2338886865736826E-2</v>
      </c>
      <c r="AC239" s="1" t="b">
        <f t="shared" si="19"/>
        <v>1</v>
      </c>
    </row>
    <row r="240" spans="1:29" x14ac:dyDescent="0.25">
      <c r="A240" s="1">
        <v>2012.896</v>
      </c>
      <c r="B240">
        <v>30</v>
      </c>
      <c r="D240" s="2">
        <v>49679.7</v>
      </c>
      <c r="E240">
        <v>25934</v>
      </c>
      <c r="F240" t="s">
        <v>15</v>
      </c>
      <c r="G240" t="s">
        <v>28</v>
      </c>
      <c r="H240">
        <v>75614</v>
      </c>
      <c r="I240" t="s">
        <v>17</v>
      </c>
      <c r="J240" t="s">
        <v>28</v>
      </c>
      <c r="K240">
        <v>25934.98</v>
      </c>
      <c r="L240">
        <v>75614.81</v>
      </c>
      <c r="M240">
        <v>3</v>
      </c>
      <c r="Y240" s="1">
        <f t="shared" si="15"/>
        <v>2012.896</v>
      </c>
      <c r="Z240" s="2">
        <f t="shared" si="16"/>
        <v>49679.7</v>
      </c>
      <c r="AA240" s="2">
        <f t="shared" si="17"/>
        <v>49679.665516748013</v>
      </c>
      <c r="AB240" s="1">
        <f t="shared" si="18"/>
        <v>6.234034582927981E-2</v>
      </c>
      <c r="AC240" s="1" t="b">
        <f t="shared" si="19"/>
        <v>1</v>
      </c>
    </row>
    <row r="241" spans="1:29" x14ac:dyDescent="0.25">
      <c r="A241" s="1">
        <v>2011.5930000000001</v>
      </c>
      <c r="B241">
        <v>100</v>
      </c>
      <c r="D241" s="2">
        <v>49711.8</v>
      </c>
      <c r="E241">
        <v>12846</v>
      </c>
      <c r="F241" t="s">
        <v>15</v>
      </c>
      <c r="G241" t="s">
        <v>16</v>
      </c>
      <c r="H241">
        <v>62558</v>
      </c>
      <c r="I241" t="s">
        <v>17</v>
      </c>
      <c r="J241" t="s">
        <v>23</v>
      </c>
      <c r="K241">
        <v>12846.66</v>
      </c>
      <c r="L241">
        <v>62558.67</v>
      </c>
      <c r="M241">
        <v>3</v>
      </c>
      <c r="Y241" s="1">
        <f t="shared" si="15"/>
        <v>2011.5930000000001</v>
      </c>
      <c r="Z241" s="2">
        <f t="shared" si="16"/>
        <v>49711.8</v>
      </c>
      <c r="AA241" s="2">
        <f t="shared" si="17"/>
        <v>49711.845288783567</v>
      </c>
      <c r="AB241" s="1">
        <f t="shared" si="18"/>
        <v>6.2356337810079765E-2</v>
      </c>
      <c r="AC241" s="1" t="b">
        <f t="shared" si="19"/>
        <v>1</v>
      </c>
    </row>
    <row r="242" spans="1:29" x14ac:dyDescent="0.25">
      <c r="A242" s="1">
        <v>2011.3879999999999</v>
      </c>
      <c r="B242">
        <v>3</v>
      </c>
      <c r="D242" s="2">
        <v>49716.9</v>
      </c>
      <c r="E242">
        <v>22277</v>
      </c>
      <c r="F242" t="s">
        <v>15</v>
      </c>
      <c r="G242" t="s">
        <v>29</v>
      </c>
      <c r="H242">
        <v>71994</v>
      </c>
      <c r="I242" t="s">
        <v>17</v>
      </c>
      <c r="J242" t="s">
        <v>28</v>
      </c>
      <c r="K242">
        <v>22277.66</v>
      </c>
      <c r="L242">
        <v>71994.81</v>
      </c>
      <c r="M242">
        <v>3</v>
      </c>
      <c r="Y242" s="1">
        <f t="shared" si="15"/>
        <v>2011.3879999999999</v>
      </c>
      <c r="Z242" s="2">
        <f t="shared" si="16"/>
        <v>49716.9</v>
      </c>
      <c r="AA242" s="2">
        <f t="shared" si="17"/>
        <v>49716.911903620785</v>
      </c>
      <c r="AB242" s="1">
        <f t="shared" si="18"/>
        <v>6.2358856646161955E-2</v>
      </c>
      <c r="AC242" s="1" t="b">
        <f t="shared" si="19"/>
        <v>1</v>
      </c>
    </row>
    <row r="243" spans="1:29" x14ac:dyDescent="0.25">
      <c r="A243" s="1">
        <v>2011.008</v>
      </c>
      <c r="B243">
        <v>1</v>
      </c>
      <c r="C243" t="s">
        <v>27</v>
      </c>
      <c r="D243" s="2">
        <v>49726.3</v>
      </c>
      <c r="E243">
        <v>21294</v>
      </c>
      <c r="F243" t="s">
        <v>15</v>
      </c>
      <c r="G243" t="s">
        <v>18</v>
      </c>
      <c r="H243">
        <v>71021</v>
      </c>
      <c r="I243" t="s">
        <v>17</v>
      </c>
      <c r="J243" t="s">
        <v>16</v>
      </c>
      <c r="K243">
        <v>21294.89</v>
      </c>
      <c r="L243">
        <v>71021.100000000006</v>
      </c>
      <c r="M243">
        <v>3</v>
      </c>
      <c r="Y243" s="1">
        <f t="shared" si="15"/>
        <v>2011.008</v>
      </c>
      <c r="Z243" s="2">
        <f t="shared" si="16"/>
        <v>49726.3</v>
      </c>
      <c r="AA243" s="2">
        <f t="shared" si="17"/>
        <v>49726.306409521989</v>
      </c>
      <c r="AB243" s="1">
        <f t="shared" si="18"/>
        <v>6.2363527745668342E-2</v>
      </c>
      <c r="AC243" s="1" t="b">
        <f t="shared" si="19"/>
        <v>1</v>
      </c>
    </row>
    <row r="244" spans="1:29" x14ac:dyDescent="0.25">
      <c r="A244" s="1">
        <v>2011.008</v>
      </c>
      <c r="B244">
        <v>1</v>
      </c>
      <c r="C244" t="s">
        <v>27</v>
      </c>
      <c r="D244" s="2">
        <v>49726.3</v>
      </c>
      <c r="E244">
        <v>23651</v>
      </c>
      <c r="F244" t="s">
        <v>15</v>
      </c>
      <c r="G244" t="s">
        <v>18</v>
      </c>
      <c r="H244">
        <v>73378</v>
      </c>
      <c r="I244" t="s">
        <v>17</v>
      </c>
      <c r="J244" t="s">
        <v>18</v>
      </c>
      <c r="K244">
        <v>23651.88</v>
      </c>
      <c r="L244">
        <v>73378.42</v>
      </c>
      <c r="M244">
        <v>3</v>
      </c>
      <c r="Y244" s="1">
        <f t="shared" si="15"/>
        <v>2011.008</v>
      </c>
      <c r="Z244" s="2">
        <f t="shared" si="16"/>
        <v>49726.3</v>
      </c>
      <c r="AA244" s="2">
        <f t="shared" si="17"/>
        <v>49726.306409521989</v>
      </c>
      <c r="AB244" s="1">
        <f t="shared" si="18"/>
        <v>6.2363527745668342E-2</v>
      </c>
      <c r="AC244" s="1" t="b">
        <f t="shared" si="19"/>
        <v>1</v>
      </c>
    </row>
    <row r="245" spans="1:29" x14ac:dyDescent="0.25">
      <c r="A245" s="1">
        <v>2010.6959999999999</v>
      </c>
      <c r="B245">
        <v>20</v>
      </c>
      <c r="D245" s="2">
        <v>49734</v>
      </c>
      <c r="M245">
        <v>3</v>
      </c>
      <c r="Y245" s="1">
        <f t="shared" si="15"/>
        <v>2010.6959999999999</v>
      </c>
      <c r="Z245" s="2">
        <f t="shared" si="16"/>
        <v>49734</v>
      </c>
      <c r="AA245" s="2">
        <f t="shared" si="17"/>
        <v>49734.022447948373</v>
      </c>
      <c r="AB245" s="1">
        <f t="shared" si="18"/>
        <v>6.2367364944265168E-2</v>
      </c>
      <c r="AC245" s="1" t="b">
        <f t="shared" si="19"/>
        <v>1</v>
      </c>
    </row>
    <row r="246" spans="1:29" x14ac:dyDescent="0.25">
      <c r="A246" s="1">
        <v>2010.3389999999999</v>
      </c>
      <c r="B246">
        <v>80</v>
      </c>
      <c r="D246" s="2">
        <v>49742.8</v>
      </c>
      <c r="E246">
        <v>28720</v>
      </c>
      <c r="F246" t="s">
        <v>15</v>
      </c>
      <c r="G246" t="s">
        <v>16</v>
      </c>
      <c r="H246">
        <v>78463</v>
      </c>
      <c r="I246" t="s">
        <v>17</v>
      </c>
      <c r="J246" t="s">
        <v>18</v>
      </c>
      <c r="K246">
        <v>28720.71</v>
      </c>
      <c r="L246">
        <v>78463.600000000006</v>
      </c>
      <c r="M246">
        <v>3</v>
      </c>
      <c r="Y246" s="1">
        <f t="shared" si="15"/>
        <v>2010.3389999999999</v>
      </c>
      <c r="Z246" s="2">
        <f t="shared" si="16"/>
        <v>49742.8</v>
      </c>
      <c r="AA246" s="2">
        <f t="shared" si="17"/>
        <v>49742.85431462057</v>
      </c>
      <c r="AB246" s="1">
        <f t="shared" si="18"/>
        <v>6.2371757776827838E-2</v>
      </c>
      <c r="AC246" s="1" t="b">
        <f t="shared" si="19"/>
        <v>1</v>
      </c>
    </row>
    <row r="247" spans="1:29" x14ac:dyDescent="0.25">
      <c r="A247" s="1">
        <v>2009.905</v>
      </c>
      <c r="B247">
        <v>80</v>
      </c>
      <c r="D247" s="2">
        <v>49753.599999999999</v>
      </c>
      <c r="E247">
        <v>18211</v>
      </c>
      <c r="F247" t="s">
        <v>15</v>
      </c>
      <c r="G247" t="s">
        <v>28</v>
      </c>
      <c r="H247">
        <v>67965</v>
      </c>
      <c r="I247" t="s">
        <v>17</v>
      </c>
      <c r="J247" t="s">
        <v>29</v>
      </c>
      <c r="K247">
        <v>18211.759999999998</v>
      </c>
      <c r="L247">
        <v>67965.47</v>
      </c>
      <c r="M247">
        <v>3</v>
      </c>
      <c r="Y247" s="1">
        <f t="shared" si="15"/>
        <v>2009.905</v>
      </c>
      <c r="Z247" s="2">
        <f t="shared" si="16"/>
        <v>49753.599999999999</v>
      </c>
      <c r="AA247" s="2">
        <f t="shared" si="17"/>
        <v>49753.595319181753</v>
      </c>
      <c r="AB247" s="1">
        <f t="shared" si="18"/>
        <v>6.2377101235924527E-2</v>
      </c>
      <c r="AC247" s="1" t="b">
        <f t="shared" si="19"/>
        <v>1</v>
      </c>
    </row>
    <row r="248" spans="1:29" x14ac:dyDescent="0.25">
      <c r="A248" s="1">
        <v>2009.579</v>
      </c>
      <c r="B248">
        <v>40</v>
      </c>
      <c r="D248" s="2">
        <v>49761.7</v>
      </c>
      <c r="M248">
        <v>3</v>
      </c>
      <c r="Y248" s="1">
        <f t="shared" si="15"/>
        <v>2009.579</v>
      </c>
      <c r="Z248" s="2">
        <f t="shared" si="16"/>
        <v>49761.7</v>
      </c>
      <c r="AA248" s="2">
        <f t="shared" si="17"/>
        <v>49761.66649830636</v>
      </c>
      <c r="AB248" s="1">
        <f t="shared" si="18"/>
        <v>6.2381117263443336E-2</v>
      </c>
      <c r="AC248" s="1" t="b">
        <f t="shared" si="19"/>
        <v>1</v>
      </c>
    </row>
    <row r="249" spans="1:29" x14ac:dyDescent="0.25">
      <c r="A249" s="1">
        <v>2009.4670000000001</v>
      </c>
      <c r="B249">
        <v>5</v>
      </c>
      <c r="D249" s="2">
        <v>49764.4</v>
      </c>
      <c r="E249">
        <v>23844</v>
      </c>
      <c r="F249" t="s">
        <v>15</v>
      </c>
      <c r="G249" t="s">
        <v>16</v>
      </c>
      <c r="H249">
        <v>73609</v>
      </c>
      <c r="I249" t="s">
        <v>17</v>
      </c>
      <c r="J249" t="s">
        <v>23</v>
      </c>
      <c r="K249">
        <v>23844.58</v>
      </c>
      <c r="L249">
        <v>73609.100000000006</v>
      </c>
      <c r="M249">
        <v>3</v>
      </c>
      <c r="Y249" s="1">
        <f t="shared" si="15"/>
        <v>2009.4670000000001</v>
      </c>
      <c r="Z249" s="2">
        <f t="shared" si="16"/>
        <v>49764.4</v>
      </c>
      <c r="AA249" s="2">
        <f t="shared" si="17"/>
        <v>49764.440023150411</v>
      </c>
      <c r="AB249" s="1">
        <f t="shared" si="18"/>
        <v>6.2382497454088678E-2</v>
      </c>
      <c r="AC249" s="1" t="b">
        <f t="shared" si="19"/>
        <v>1</v>
      </c>
    </row>
    <row r="250" spans="1:29" x14ac:dyDescent="0.25">
      <c r="A250" s="1">
        <v>2009.1769999999999</v>
      </c>
      <c r="B250">
        <v>40</v>
      </c>
      <c r="C250" t="s">
        <v>27</v>
      </c>
      <c r="D250" s="2">
        <v>49771.6</v>
      </c>
      <c r="E250">
        <v>15045</v>
      </c>
      <c r="F250" t="s">
        <v>15</v>
      </c>
      <c r="G250" t="s">
        <v>28</v>
      </c>
      <c r="H250">
        <v>64817</v>
      </c>
      <c r="I250" t="s">
        <v>17</v>
      </c>
      <c r="J250" t="s">
        <v>28</v>
      </c>
      <c r="K250">
        <v>15045.8</v>
      </c>
      <c r="L250">
        <v>64817.53</v>
      </c>
      <c r="M250">
        <v>3</v>
      </c>
      <c r="Y250" s="1">
        <f t="shared" si="15"/>
        <v>2009.1769999999999</v>
      </c>
      <c r="Z250" s="2">
        <f t="shared" si="16"/>
        <v>49771.6</v>
      </c>
      <c r="AA250" s="2">
        <f t="shared" si="17"/>
        <v>49771.622908285332</v>
      </c>
      <c r="AB250" s="1">
        <f t="shared" si="18"/>
        <v>6.2386072234622766E-2</v>
      </c>
      <c r="AC250" s="1" t="b">
        <f t="shared" si="19"/>
        <v>1</v>
      </c>
    </row>
    <row r="251" spans="1:29" x14ac:dyDescent="0.25">
      <c r="A251" s="1">
        <v>2009.1769999999999</v>
      </c>
      <c r="B251">
        <v>40</v>
      </c>
      <c r="C251" t="s">
        <v>27</v>
      </c>
      <c r="D251" s="2">
        <v>49771.6</v>
      </c>
      <c r="E251">
        <v>17627</v>
      </c>
      <c r="F251" t="s">
        <v>15</v>
      </c>
      <c r="G251" t="s">
        <v>16</v>
      </c>
      <c r="H251">
        <v>67398</v>
      </c>
      <c r="I251" t="s">
        <v>17</v>
      </c>
      <c r="J251" t="s">
        <v>16</v>
      </c>
      <c r="K251">
        <v>17627</v>
      </c>
      <c r="L251">
        <v>67398.789999999994</v>
      </c>
      <c r="M251">
        <v>3</v>
      </c>
      <c r="Y251" s="1">
        <f t="shared" si="15"/>
        <v>2009.1769999999999</v>
      </c>
      <c r="Z251" s="2">
        <f t="shared" si="16"/>
        <v>49771.6</v>
      </c>
      <c r="AA251" s="2">
        <f t="shared" si="17"/>
        <v>49771.622908285332</v>
      </c>
      <c r="AB251" s="1">
        <f t="shared" si="18"/>
        <v>6.2386072234622766E-2</v>
      </c>
      <c r="AC251" s="1" t="b">
        <f t="shared" si="19"/>
        <v>1</v>
      </c>
    </row>
    <row r="252" spans="1:29" x14ac:dyDescent="0.25">
      <c r="A252" s="1">
        <v>2009.107</v>
      </c>
      <c r="B252">
        <v>40</v>
      </c>
      <c r="D252" s="2">
        <v>49773.4</v>
      </c>
      <c r="E252">
        <v>16135</v>
      </c>
      <c r="F252" t="s">
        <v>15</v>
      </c>
      <c r="G252" t="s">
        <v>18</v>
      </c>
      <c r="H252">
        <v>65909</v>
      </c>
      <c r="I252" t="s">
        <v>17</v>
      </c>
      <c r="J252" t="s">
        <v>28</v>
      </c>
      <c r="K252">
        <v>16135.97</v>
      </c>
      <c r="L252">
        <v>65909.440000000002</v>
      </c>
      <c r="M252">
        <v>3</v>
      </c>
      <c r="Y252" s="1">
        <f t="shared" si="15"/>
        <v>2009.107</v>
      </c>
      <c r="Z252" s="2">
        <f t="shared" si="16"/>
        <v>49773.4</v>
      </c>
      <c r="AA252" s="2">
        <f t="shared" si="17"/>
        <v>49773.35701881483</v>
      </c>
      <c r="AB252" s="1">
        <f t="shared" si="18"/>
        <v>6.2386935344612024E-2</v>
      </c>
      <c r="AC252" s="1" t="b">
        <f t="shared" si="19"/>
        <v>1</v>
      </c>
    </row>
    <row r="253" spans="1:29" x14ac:dyDescent="0.25">
      <c r="A253" s="1">
        <v>2008.066</v>
      </c>
      <c r="B253">
        <v>10</v>
      </c>
      <c r="D253" s="2">
        <v>49799.199999999997</v>
      </c>
      <c r="E253">
        <v>16135</v>
      </c>
      <c r="F253" t="s">
        <v>15</v>
      </c>
      <c r="G253" t="s">
        <v>18</v>
      </c>
      <c r="H253">
        <v>65935</v>
      </c>
      <c r="I253" t="s">
        <v>17</v>
      </c>
      <c r="J253" t="s">
        <v>18</v>
      </c>
      <c r="K253">
        <v>16135.97</v>
      </c>
      <c r="L253">
        <v>65935.25</v>
      </c>
      <c r="M253">
        <v>3</v>
      </c>
      <c r="Y253" s="1">
        <f t="shared" si="15"/>
        <v>2008.066</v>
      </c>
      <c r="Z253" s="2">
        <f t="shared" si="16"/>
        <v>49799.199999999997</v>
      </c>
      <c r="AA253" s="2">
        <f t="shared" si="17"/>
        <v>49799.159987769322</v>
      </c>
      <c r="AB253" s="1">
        <f t="shared" si="18"/>
        <v>6.2399781677437233E-2</v>
      </c>
      <c r="AC253" s="1" t="b">
        <f t="shared" si="19"/>
        <v>1</v>
      </c>
    </row>
    <row r="254" spans="1:29" x14ac:dyDescent="0.25">
      <c r="A254" s="1">
        <v>2007.7380000000001</v>
      </c>
      <c r="B254">
        <v>20</v>
      </c>
      <c r="D254" s="2">
        <v>49807.3</v>
      </c>
      <c r="E254">
        <v>18063</v>
      </c>
      <c r="F254" t="s">
        <v>15</v>
      </c>
      <c r="G254" t="s">
        <v>16</v>
      </c>
      <c r="H254" s="4">
        <v>67870</v>
      </c>
      <c r="I254" t="s">
        <v>17</v>
      </c>
      <c r="J254" t="s">
        <v>16</v>
      </c>
      <c r="K254">
        <v>18063.36</v>
      </c>
      <c r="L254" s="7" t="s">
        <v>1076</v>
      </c>
      <c r="M254" s="9">
        <v>3</v>
      </c>
      <c r="N254" s="4" t="s">
        <v>1077</v>
      </c>
      <c r="O254" s="4" t="s">
        <v>1100</v>
      </c>
      <c r="Y254" s="1">
        <f t="shared" si="15"/>
        <v>2007.7380000000001</v>
      </c>
      <c r="Z254" s="2">
        <f t="shared" si="16"/>
        <v>49807.3</v>
      </c>
      <c r="AA254" s="2">
        <f t="shared" si="17"/>
        <v>49807.295573426411</v>
      </c>
      <c r="AB254" s="1">
        <f t="shared" si="18"/>
        <v>6.2403833461693314E-2</v>
      </c>
      <c r="AC254" s="1" t="b">
        <f t="shared" si="19"/>
        <v>1</v>
      </c>
    </row>
    <row r="255" spans="1:29" x14ac:dyDescent="0.25">
      <c r="A255" s="1">
        <v>2006.7629999999999</v>
      </c>
      <c r="B255">
        <v>1</v>
      </c>
      <c r="D255" s="2">
        <v>49831.5</v>
      </c>
      <c r="M255">
        <v>3</v>
      </c>
      <c r="Y255" s="1">
        <f t="shared" si="15"/>
        <v>2006.7629999999999</v>
      </c>
      <c r="Z255" s="2">
        <f t="shared" si="16"/>
        <v>49831.5</v>
      </c>
      <c r="AA255" s="2">
        <f t="shared" si="17"/>
        <v>49831.494800332679</v>
      </c>
      <c r="AB255" s="1">
        <f t="shared" si="18"/>
        <v>6.2415889370177918E-2</v>
      </c>
      <c r="AC255" s="1" t="b">
        <f t="shared" si="19"/>
        <v>1</v>
      </c>
    </row>
    <row r="256" spans="1:29" x14ac:dyDescent="0.25">
      <c r="A256" s="1">
        <v>2006.5650000000001</v>
      </c>
      <c r="B256">
        <v>30</v>
      </c>
      <c r="D256" s="2">
        <v>49836.4</v>
      </c>
      <c r="E256">
        <v>21755</v>
      </c>
      <c r="F256" t="s">
        <v>15</v>
      </c>
      <c r="G256" t="s">
        <v>23</v>
      </c>
      <c r="H256">
        <v>71592</v>
      </c>
      <c r="I256" t="s">
        <v>17</v>
      </c>
      <c r="J256" t="s">
        <v>16</v>
      </c>
      <c r="K256">
        <v>21755.84</v>
      </c>
      <c r="L256">
        <v>71592.34</v>
      </c>
      <c r="M256">
        <v>3</v>
      </c>
      <c r="Y256" s="1">
        <f t="shared" si="15"/>
        <v>2006.5650000000001</v>
      </c>
      <c r="Z256" s="2">
        <f t="shared" si="16"/>
        <v>49836.4</v>
      </c>
      <c r="AA256" s="2">
        <f t="shared" si="17"/>
        <v>49836.411977683252</v>
      </c>
      <c r="AB256" s="1">
        <f t="shared" si="18"/>
        <v>6.2418339794046859E-2</v>
      </c>
      <c r="AC256" s="1" t="b">
        <f t="shared" si="19"/>
        <v>1</v>
      </c>
    </row>
    <row r="257" spans="1:29" x14ac:dyDescent="0.25">
      <c r="A257" s="1">
        <v>2006.0719999999999</v>
      </c>
      <c r="B257">
        <v>10</v>
      </c>
      <c r="D257" s="2">
        <v>49848.7</v>
      </c>
      <c r="M257">
        <v>3</v>
      </c>
      <c r="Y257" s="1">
        <f t="shared" si="15"/>
        <v>2006.0719999999999</v>
      </c>
      <c r="Z257" s="2">
        <f t="shared" si="16"/>
        <v>49848.7</v>
      </c>
      <c r="AA257" s="2">
        <f t="shared" si="17"/>
        <v>49848.659469849539</v>
      </c>
      <c r="AB257" s="1">
        <f t="shared" si="18"/>
        <v>6.24244442547051E-2</v>
      </c>
      <c r="AC257" s="1" t="b">
        <f t="shared" si="19"/>
        <v>1</v>
      </c>
    </row>
    <row r="258" spans="1:29" x14ac:dyDescent="0.25">
      <c r="A258" s="1">
        <v>2005.817</v>
      </c>
      <c r="B258">
        <v>30</v>
      </c>
      <c r="D258" s="2">
        <v>49855</v>
      </c>
      <c r="E258">
        <v>30505</v>
      </c>
      <c r="F258" t="s">
        <v>15</v>
      </c>
      <c r="G258" t="s">
        <v>23</v>
      </c>
      <c r="H258">
        <v>80360</v>
      </c>
      <c r="I258" t="s">
        <v>17</v>
      </c>
      <c r="J258" t="s">
        <v>23</v>
      </c>
      <c r="K258">
        <v>30505.72</v>
      </c>
      <c r="L258">
        <v>80360.820000000007</v>
      </c>
      <c r="M258">
        <v>3</v>
      </c>
      <c r="Y258" s="1">
        <f t="shared" si="15"/>
        <v>2005.817</v>
      </c>
      <c r="Z258" s="2">
        <f t="shared" si="16"/>
        <v>49855</v>
      </c>
      <c r="AA258" s="2">
        <f t="shared" si="17"/>
        <v>49854.996741975963</v>
      </c>
      <c r="AB258" s="1">
        <f t="shared" si="18"/>
        <v>6.2427603500712171E-2</v>
      </c>
      <c r="AC258" s="1" t="b">
        <f t="shared" si="19"/>
        <v>1</v>
      </c>
    </row>
    <row r="259" spans="1:29" x14ac:dyDescent="0.25">
      <c r="A259" s="1">
        <v>2004.4159999999999</v>
      </c>
      <c r="B259">
        <v>10</v>
      </c>
      <c r="D259" s="2">
        <v>49889.8</v>
      </c>
      <c r="E259">
        <v>21611</v>
      </c>
      <c r="F259" t="s">
        <v>15</v>
      </c>
      <c r="G259" t="s">
        <v>28</v>
      </c>
      <c r="H259">
        <v>71501</v>
      </c>
      <c r="I259" t="s">
        <v>17</v>
      </c>
      <c r="J259" t="s">
        <v>29</v>
      </c>
      <c r="K259">
        <v>21611.19</v>
      </c>
      <c r="L259">
        <v>71501</v>
      </c>
      <c r="M259">
        <v>3</v>
      </c>
      <c r="Y259" s="1">
        <f t="shared" ref="Y259:Y322" si="20">ROUND($A259,3)+0</f>
        <v>2004.4159999999999</v>
      </c>
      <c r="Z259" s="2">
        <f t="shared" ref="Z259:Z322" si="21">ROUND($D259,1)+0</f>
        <v>49889.8</v>
      </c>
      <c r="AA259" s="2">
        <f t="shared" ref="AA259:AA322" si="22">100000000/Y259</f>
        <v>49889.843226156649</v>
      </c>
      <c r="AB259" s="1">
        <f t="shared" ref="AB259:AB322" si="23">0.0005/$Y259*AA259+0.05</f>
        <v>6.2444982285652442E-2</v>
      </c>
      <c r="AC259" s="1" t="b">
        <f t="shared" ref="AC259:AC322" si="24">ABS(Z259-AA259)&lt;AB259</f>
        <v>1</v>
      </c>
    </row>
    <row r="260" spans="1:29" x14ac:dyDescent="0.25">
      <c r="A260" s="1">
        <v>2003.9079999999999</v>
      </c>
      <c r="B260">
        <v>20</v>
      </c>
      <c r="D260" s="2">
        <v>49902.5</v>
      </c>
      <c r="M260">
        <v>3</v>
      </c>
      <c r="Y260" s="1">
        <f t="shared" si="20"/>
        <v>2003.9079999999999</v>
      </c>
      <c r="Z260" s="2">
        <f t="shared" si="21"/>
        <v>49902.5</v>
      </c>
      <c r="AA260" s="2">
        <f t="shared" si="22"/>
        <v>49902.490533497548</v>
      </c>
      <c r="AB260" s="1">
        <f t="shared" si="23"/>
        <v>6.2451292807229067E-2</v>
      </c>
      <c r="AC260" s="1" t="b">
        <f t="shared" si="24"/>
        <v>1</v>
      </c>
    </row>
    <row r="261" spans="1:29" x14ac:dyDescent="0.25">
      <c r="A261" s="1">
        <v>2003.001</v>
      </c>
      <c r="B261">
        <v>10</v>
      </c>
      <c r="D261" s="2">
        <v>49925.1</v>
      </c>
      <c r="E261">
        <v>21611</v>
      </c>
      <c r="F261" t="s">
        <v>15</v>
      </c>
      <c r="G261" t="s">
        <v>28</v>
      </c>
      <c r="H261">
        <v>71536</v>
      </c>
      <c r="I261" t="s">
        <v>17</v>
      </c>
      <c r="J261" t="s">
        <v>28</v>
      </c>
      <c r="K261">
        <v>21611.19</v>
      </c>
      <c r="L261">
        <v>71536.38</v>
      </c>
      <c r="M261">
        <v>3</v>
      </c>
      <c r="Y261" s="1">
        <f t="shared" si="20"/>
        <v>2003.001</v>
      </c>
      <c r="Z261" s="2">
        <f t="shared" si="21"/>
        <v>49925.1</v>
      </c>
      <c r="AA261" s="2">
        <f t="shared" si="22"/>
        <v>49925.087406346778</v>
      </c>
      <c r="AB261" s="1">
        <f t="shared" si="23"/>
        <v>6.2462571762656835E-2</v>
      </c>
      <c r="AC261" s="1" t="b">
        <f t="shared" si="24"/>
        <v>1</v>
      </c>
    </row>
    <row r="262" spans="1:29" x14ac:dyDescent="0.25">
      <c r="A262" s="1">
        <v>2002.296</v>
      </c>
      <c r="B262">
        <v>2</v>
      </c>
      <c r="D262" s="2">
        <v>49942.7</v>
      </c>
      <c r="M262">
        <v>3</v>
      </c>
      <c r="Y262" s="1">
        <f t="shared" si="20"/>
        <v>2002.296</v>
      </c>
      <c r="Z262" s="2">
        <f t="shared" si="21"/>
        <v>49942.7</v>
      </c>
      <c r="AA262" s="2">
        <f t="shared" si="22"/>
        <v>49942.665819639056</v>
      </c>
      <c r="AB262" s="1">
        <f t="shared" si="23"/>
        <v>6.2471349345860717E-2</v>
      </c>
      <c r="AC262" s="1" t="b">
        <f t="shared" si="24"/>
        <v>1</v>
      </c>
    </row>
    <row r="263" spans="1:29" x14ac:dyDescent="0.25">
      <c r="A263" s="1">
        <v>2001.8389999999999</v>
      </c>
      <c r="B263">
        <v>1</v>
      </c>
      <c r="D263" s="2">
        <v>49954.1</v>
      </c>
      <c r="M263">
        <v>3</v>
      </c>
      <c r="Y263" s="1">
        <f t="shared" si="20"/>
        <v>2001.8389999999999</v>
      </c>
      <c r="Z263" s="2">
        <f t="shared" si="21"/>
        <v>49954.1</v>
      </c>
      <c r="AA263" s="2">
        <f t="shared" si="22"/>
        <v>49954.067235177259</v>
      </c>
      <c r="AB263" s="1">
        <f t="shared" si="23"/>
        <v>6.2477044166683052E-2</v>
      </c>
      <c r="AC263" s="1" t="b">
        <f t="shared" si="24"/>
        <v>1</v>
      </c>
    </row>
    <row r="264" spans="1:29" x14ac:dyDescent="0.25">
      <c r="A264" s="1">
        <v>2001.548</v>
      </c>
      <c r="B264">
        <v>10</v>
      </c>
      <c r="D264" s="2">
        <v>49961.3</v>
      </c>
      <c r="E264">
        <v>23647</v>
      </c>
      <c r="F264" t="s">
        <v>15</v>
      </c>
      <c r="G264" t="s">
        <v>50</v>
      </c>
      <c r="H264">
        <v>73609</v>
      </c>
      <c r="I264" t="s">
        <v>17</v>
      </c>
      <c r="J264" t="s">
        <v>23</v>
      </c>
      <c r="K264">
        <v>23647.77</v>
      </c>
      <c r="L264">
        <v>73609.100000000006</v>
      </c>
      <c r="M264">
        <v>3</v>
      </c>
      <c r="Y264" s="1">
        <f t="shared" si="20"/>
        <v>2001.548</v>
      </c>
      <c r="Z264" s="2">
        <f t="shared" si="21"/>
        <v>49961.3</v>
      </c>
      <c r="AA264" s="2">
        <f t="shared" si="22"/>
        <v>49961.329930633692</v>
      </c>
      <c r="AB264" s="1">
        <f t="shared" si="23"/>
        <v>6.2480672442188176E-2</v>
      </c>
      <c r="AC264" s="1" t="b">
        <f t="shared" si="24"/>
        <v>1</v>
      </c>
    </row>
    <row r="265" spans="1:29" x14ac:dyDescent="0.25">
      <c r="A265" s="1">
        <v>2001.441</v>
      </c>
      <c r="B265">
        <v>40</v>
      </c>
      <c r="D265" s="2">
        <v>49964</v>
      </c>
      <c r="M265">
        <v>3</v>
      </c>
      <c r="Y265" s="1">
        <f t="shared" si="20"/>
        <v>2001.441</v>
      </c>
      <c r="Z265" s="2">
        <f t="shared" si="21"/>
        <v>49964</v>
      </c>
      <c r="AA265" s="2">
        <f t="shared" si="22"/>
        <v>49964.000937324658</v>
      </c>
      <c r="AB265" s="1">
        <f t="shared" si="23"/>
        <v>6.2482006948324897E-2</v>
      </c>
      <c r="AC265" s="1" t="b">
        <f t="shared" si="24"/>
        <v>1</v>
      </c>
    </row>
    <row r="266" spans="1:29" x14ac:dyDescent="0.25">
      <c r="A266" s="1">
        <v>2001.049</v>
      </c>
      <c r="B266">
        <v>5</v>
      </c>
      <c r="D266" s="2">
        <v>49973.8</v>
      </c>
      <c r="E266">
        <v>28720</v>
      </c>
      <c r="F266" t="s">
        <v>15</v>
      </c>
      <c r="G266" t="s">
        <v>16</v>
      </c>
      <c r="H266">
        <v>78694</v>
      </c>
      <c r="I266" t="s">
        <v>17</v>
      </c>
      <c r="J266" t="s">
        <v>23</v>
      </c>
      <c r="K266">
        <v>28720.71</v>
      </c>
      <c r="L266">
        <v>78694.570000000007</v>
      </c>
      <c r="M266">
        <v>3</v>
      </c>
      <c r="Y266" s="1">
        <f t="shared" si="20"/>
        <v>2001.049</v>
      </c>
      <c r="Z266" s="2">
        <f t="shared" si="21"/>
        <v>49973.8</v>
      </c>
      <c r="AA266" s="2">
        <f t="shared" si="22"/>
        <v>49973.78874780178</v>
      </c>
      <c r="AB266" s="1">
        <f t="shared" si="23"/>
        <v>6.2486897809049605E-2</v>
      </c>
      <c r="AC266" s="1" t="b">
        <f t="shared" si="24"/>
        <v>1</v>
      </c>
    </row>
    <row r="267" spans="1:29" x14ac:dyDescent="0.25">
      <c r="A267" s="1">
        <v>2000.7840000000001</v>
      </c>
      <c r="B267">
        <v>2</v>
      </c>
      <c r="D267" s="2">
        <v>49980.4</v>
      </c>
      <c r="E267">
        <v>21755</v>
      </c>
      <c r="F267" t="s">
        <v>15</v>
      </c>
      <c r="G267" t="s">
        <v>23</v>
      </c>
      <c r="H267">
        <v>71736</v>
      </c>
      <c r="I267" t="s">
        <v>17</v>
      </c>
      <c r="J267" t="s">
        <v>23</v>
      </c>
      <c r="K267">
        <v>21755.84</v>
      </c>
      <c r="L267">
        <v>71736.45</v>
      </c>
      <c r="M267">
        <v>3</v>
      </c>
      <c r="N267" t="s">
        <v>1101</v>
      </c>
      <c r="Y267" s="1">
        <f t="shared" si="20"/>
        <v>2000.7840000000001</v>
      </c>
      <c r="Z267" s="2">
        <f t="shared" si="21"/>
        <v>49980.4</v>
      </c>
      <c r="AA267" s="2">
        <f t="shared" si="22"/>
        <v>49980.407680189361</v>
      </c>
      <c r="AB267" s="1">
        <f t="shared" si="23"/>
        <v>6.2490205759389662E-2</v>
      </c>
      <c r="AC267" s="1" t="b">
        <f t="shared" si="24"/>
        <v>1</v>
      </c>
    </row>
    <row r="268" spans="1:29" x14ac:dyDescent="0.25">
      <c r="A268" s="1">
        <v>2000.587</v>
      </c>
      <c r="B268">
        <v>200</v>
      </c>
      <c r="D268" s="2">
        <v>49985.3</v>
      </c>
      <c r="E268">
        <v>19700</v>
      </c>
      <c r="F268" t="s">
        <v>15</v>
      </c>
      <c r="G268" t="s">
        <v>23</v>
      </c>
      <c r="H268">
        <v>69686</v>
      </c>
      <c r="I268" t="s">
        <v>17</v>
      </c>
      <c r="J268" t="s">
        <v>16</v>
      </c>
      <c r="K268">
        <v>19700.900000000001</v>
      </c>
      <c r="L268">
        <v>69686.259999999995</v>
      </c>
      <c r="M268">
        <v>3</v>
      </c>
      <c r="Y268" s="1">
        <f t="shared" si="20"/>
        <v>2000.587</v>
      </c>
      <c r="Z268" s="2">
        <f t="shared" si="21"/>
        <v>49985.3</v>
      </c>
      <c r="AA268" s="2">
        <f t="shared" si="22"/>
        <v>49985.329305848732</v>
      </c>
      <c r="AB268" s="1">
        <f t="shared" si="23"/>
        <v>6.2492665729070702E-2</v>
      </c>
      <c r="AC268" s="1" t="b">
        <f t="shared" si="24"/>
        <v>1</v>
      </c>
    </row>
    <row r="269" spans="1:29" x14ac:dyDescent="0.25">
      <c r="A269" s="1">
        <v>2000.462</v>
      </c>
      <c r="B269">
        <v>20</v>
      </c>
      <c r="D269" s="2">
        <v>49988.4</v>
      </c>
      <c r="E269">
        <v>18990</v>
      </c>
      <c r="F269" t="s">
        <v>15</v>
      </c>
      <c r="G269" t="s">
        <v>18</v>
      </c>
      <c r="H269">
        <v>68978</v>
      </c>
      <c r="I269" t="s">
        <v>17</v>
      </c>
      <c r="J269" t="s">
        <v>28</v>
      </c>
      <c r="K269">
        <v>18990.080000000002</v>
      </c>
      <c r="L269">
        <v>68978.55</v>
      </c>
      <c r="M269">
        <v>3</v>
      </c>
      <c r="Y269" s="1">
        <f t="shared" si="20"/>
        <v>2000.462</v>
      </c>
      <c r="Z269" s="2">
        <f t="shared" si="21"/>
        <v>49988.4</v>
      </c>
      <c r="AA269" s="2">
        <f t="shared" si="22"/>
        <v>49988.452667433819</v>
      </c>
      <c r="AB269" s="1">
        <f t="shared" si="23"/>
        <v>6.2494227000421357E-2</v>
      </c>
      <c r="AC269" s="1" t="b">
        <f t="shared" si="24"/>
        <v>1</v>
      </c>
    </row>
    <row r="270" spans="1:29" x14ac:dyDescent="0.25">
      <c r="A270" s="1">
        <v>2000.116</v>
      </c>
      <c r="B270">
        <v>400</v>
      </c>
      <c r="C270" t="s">
        <v>27</v>
      </c>
      <c r="D270" s="2">
        <v>49997.1</v>
      </c>
      <c r="E270">
        <v>14859</v>
      </c>
      <c r="F270" t="s">
        <v>15</v>
      </c>
      <c r="G270" t="s">
        <v>23</v>
      </c>
      <c r="H270">
        <v>64857</v>
      </c>
      <c r="I270" t="s">
        <v>17</v>
      </c>
      <c r="J270" t="s">
        <v>16</v>
      </c>
      <c r="K270">
        <v>14859.96</v>
      </c>
      <c r="L270">
        <v>64857.15</v>
      </c>
      <c r="M270">
        <v>3</v>
      </c>
      <c r="Y270" s="1">
        <f t="shared" si="20"/>
        <v>2000.116</v>
      </c>
      <c r="Z270" s="2">
        <f t="shared" si="21"/>
        <v>49997.1</v>
      </c>
      <c r="AA270" s="2">
        <f t="shared" si="22"/>
        <v>49997.100168190249</v>
      </c>
      <c r="AB270" s="1">
        <f t="shared" si="23"/>
        <v>6.2498550126140251E-2</v>
      </c>
      <c r="AC270" s="1" t="b">
        <f t="shared" si="24"/>
        <v>1</v>
      </c>
    </row>
    <row r="271" spans="1:29" x14ac:dyDescent="0.25">
      <c r="A271" s="1">
        <v>2000.116</v>
      </c>
      <c r="B271">
        <v>400</v>
      </c>
      <c r="C271" t="s">
        <v>27</v>
      </c>
      <c r="D271" s="2">
        <v>49997.1</v>
      </c>
      <c r="E271">
        <v>18990</v>
      </c>
      <c r="F271" t="s">
        <v>15</v>
      </c>
      <c r="G271" t="s">
        <v>18</v>
      </c>
      <c r="H271">
        <v>68987</v>
      </c>
      <c r="I271" t="s">
        <v>17</v>
      </c>
      <c r="J271" t="s">
        <v>18</v>
      </c>
      <c r="K271">
        <v>18990.080000000002</v>
      </c>
      <c r="L271">
        <v>68987.070000000007</v>
      </c>
      <c r="M271">
        <v>3</v>
      </c>
      <c r="Y271" s="1">
        <f t="shared" si="20"/>
        <v>2000.116</v>
      </c>
      <c r="Z271" s="2">
        <f t="shared" si="21"/>
        <v>49997.1</v>
      </c>
      <c r="AA271" s="2">
        <f t="shared" si="22"/>
        <v>49997.100168190249</v>
      </c>
      <c r="AB271" s="1">
        <f t="shared" si="23"/>
        <v>6.2498550126140251E-2</v>
      </c>
      <c r="AC271" s="1" t="b">
        <f t="shared" si="24"/>
        <v>1</v>
      </c>
    </row>
    <row r="272" spans="1:29" x14ac:dyDescent="0.25">
      <c r="A272" s="1">
        <v>1999.902</v>
      </c>
      <c r="B272">
        <v>30</v>
      </c>
      <c r="D272" s="2">
        <v>50002.400000000001</v>
      </c>
      <c r="E272">
        <v>24461</v>
      </c>
      <c r="F272" t="s">
        <v>15</v>
      </c>
      <c r="G272" t="s">
        <v>28</v>
      </c>
      <c r="H272">
        <v>74463</v>
      </c>
      <c r="I272" t="s">
        <v>17</v>
      </c>
      <c r="J272" t="s">
        <v>29</v>
      </c>
      <c r="K272">
        <v>24461.24</v>
      </c>
      <c r="L272">
        <v>74463.7</v>
      </c>
      <c r="M272">
        <v>3</v>
      </c>
      <c r="Y272" s="1">
        <f t="shared" si="20"/>
        <v>1999.902</v>
      </c>
      <c r="Z272" s="2">
        <f t="shared" si="21"/>
        <v>50002.400000000001</v>
      </c>
      <c r="AA272" s="2">
        <f t="shared" si="22"/>
        <v>50002.450120055881</v>
      </c>
      <c r="AB272" s="1">
        <f t="shared" si="23"/>
        <v>6.2501225090043383E-2</v>
      </c>
      <c r="AC272" s="1" t="b">
        <f t="shared" si="24"/>
        <v>1</v>
      </c>
    </row>
    <row r="273" spans="1:29" x14ac:dyDescent="0.25">
      <c r="A273" s="1">
        <v>1999.7950000000001</v>
      </c>
      <c r="B273">
        <v>100</v>
      </c>
      <c r="D273" s="2">
        <v>50005.1</v>
      </c>
      <c r="E273">
        <v>14859</v>
      </c>
      <c r="F273" t="s">
        <v>15</v>
      </c>
      <c r="G273" t="s">
        <v>23</v>
      </c>
      <c r="H273">
        <v>64865</v>
      </c>
      <c r="I273" t="s">
        <v>17</v>
      </c>
      <c r="J273" t="s">
        <v>23</v>
      </c>
      <c r="K273">
        <v>14859.96</v>
      </c>
      <c r="L273">
        <v>64865.15</v>
      </c>
      <c r="M273">
        <v>3</v>
      </c>
      <c r="Y273" s="1">
        <f t="shared" si="20"/>
        <v>1999.7950000000001</v>
      </c>
      <c r="Z273" s="2">
        <f t="shared" si="21"/>
        <v>50005.1</v>
      </c>
      <c r="AA273" s="2">
        <f t="shared" si="22"/>
        <v>50005.125525366348</v>
      </c>
      <c r="AB273" s="1">
        <f t="shared" si="23"/>
        <v>6.250256289403823E-2</v>
      </c>
      <c r="AC273" s="1" t="b">
        <f t="shared" si="24"/>
        <v>1</v>
      </c>
    </row>
    <row r="274" spans="1:29" x14ac:dyDescent="0.25">
      <c r="A274" s="1">
        <v>1998.905</v>
      </c>
      <c r="B274">
        <v>30</v>
      </c>
      <c r="D274" s="2">
        <v>50027.4</v>
      </c>
      <c r="M274">
        <v>3</v>
      </c>
      <c r="Y274" s="1">
        <f t="shared" si="20"/>
        <v>1998.905</v>
      </c>
      <c r="Z274" s="2">
        <f t="shared" si="21"/>
        <v>50027.4</v>
      </c>
      <c r="AA274" s="2">
        <f t="shared" si="22"/>
        <v>50027.389996022823</v>
      </c>
      <c r="AB274" s="1">
        <f t="shared" si="23"/>
        <v>6.2513698749070826E-2</v>
      </c>
      <c r="AC274" s="1" t="b">
        <f t="shared" si="24"/>
        <v>1</v>
      </c>
    </row>
    <row r="275" spans="1:29" x14ac:dyDescent="0.25">
      <c r="A275" s="1">
        <v>1998.598</v>
      </c>
      <c r="B275">
        <v>10</v>
      </c>
      <c r="D275" s="2">
        <v>50035.1</v>
      </c>
      <c r="M275">
        <v>3</v>
      </c>
      <c r="Y275" s="1">
        <f t="shared" si="20"/>
        <v>1998.598</v>
      </c>
      <c r="Z275" s="2">
        <f t="shared" si="21"/>
        <v>50035.1</v>
      </c>
      <c r="AA275" s="2">
        <f t="shared" si="22"/>
        <v>50035.074587285686</v>
      </c>
      <c r="AB275" s="1">
        <f t="shared" si="23"/>
        <v>6.2517543444776211E-2</v>
      </c>
      <c r="AC275" s="1" t="b">
        <f t="shared" si="24"/>
        <v>1</v>
      </c>
    </row>
    <row r="276" spans="1:29" x14ac:dyDescent="0.25">
      <c r="A276" s="1">
        <v>1998.3009999999999</v>
      </c>
      <c r="B276">
        <v>1</v>
      </c>
      <c r="D276" s="2">
        <v>50042.5</v>
      </c>
      <c r="M276">
        <v>3</v>
      </c>
      <c r="Y276" s="1">
        <f t="shared" si="20"/>
        <v>1998.3009999999999</v>
      </c>
      <c r="Z276" s="2">
        <f t="shared" si="21"/>
        <v>50042.5</v>
      </c>
      <c r="AA276" s="2">
        <f t="shared" si="22"/>
        <v>50042.51111319066</v>
      </c>
      <c r="AB276" s="1">
        <f t="shared" si="23"/>
        <v>6.2521264592569056E-2</v>
      </c>
      <c r="AC276" s="1" t="b">
        <f t="shared" si="24"/>
        <v>1</v>
      </c>
    </row>
    <row r="277" spans="1:29" x14ac:dyDescent="0.25">
      <c r="A277" s="1">
        <v>1998.0640000000001</v>
      </c>
      <c r="B277">
        <v>400</v>
      </c>
      <c r="D277" s="2">
        <v>50048.4</v>
      </c>
      <c r="E277">
        <v>19360</v>
      </c>
      <c r="F277" t="s">
        <v>15</v>
      </c>
      <c r="G277" t="s">
        <v>50</v>
      </c>
      <c r="H277">
        <v>69408</v>
      </c>
      <c r="I277" t="s">
        <v>17</v>
      </c>
      <c r="J277" t="s">
        <v>23</v>
      </c>
      <c r="K277">
        <v>19360.099999999999</v>
      </c>
      <c r="L277">
        <v>69408.509999999995</v>
      </c>
      <c r="M277">
        <v>3</v>
      </c>
      <c r="Y277" s="1">
        <f t="shared" si="20"/>
        <v>1998.0640000000001</v>
      </c>
      <c r="Z277" s="2">
        <f t="shared" si="21"/>
        <v>50048.4</v>
      </c>
      <c r="AA277" s="2">
        <f t="shared" si="22"/>
        <v>50048.446896595902</v>
      </c>
      <c r="AB277" s="1">
        <f t="shared" si="23"/>
        <v>6.2524235183806898E-2</v>
      </c>
      <c r="AC277" s="1" t="b">
        <f t="shared" si="24"/>
        <v>1</v>
      </c>
    </row>
    <row r="278" spans="1:29" x14ac:dyDescent="0.25">
      <c r="A278" s="1">
        <v>1997.912</v>
      </c>
      <c r="B278">
        <v>20</v>
      </c>
      <c r="D278" s="2">
        <v>50052.2</v>
      </c>
      <c r="E278">
        <v>17627</v>
      </c>
      <c r="F278" t="s">
        <v>15</v>
      </c>
      <c r="G278" t="s">
        <v>16</v>
      </c>
      <c r="H278">
        <v>67679</v>
      </c>
      <c r="I278" t="s">
        <v>17</v>
      </c>
      <c r="J278" t="s">
        <v>18</v>
      </c>
      <c r="K278">
        <v>17627</v>
      </c>
      <c r="L278">
        <v>67679.210000000006</v>
      </c>
      <c r="M278">
        <v>3</v>
      </c>
      <c r="Y278" s="1">
        <f t="shared" si="20"/>
        <v>1997.912</v>
      </c>
      <c r="Z278" s="2">
        <f t="shared" si="21"/>
        <v>50052.2</v>
      </c>
      <c r="AA278" s="2">
        <f t="shared" si="22"/>
        <v>50052.254553754115</v>
      </c>
      <c r="AB278" s="1">
        <f t="shared" si="23"/>
        <v>6.2526140929568999E-2</v>
      </c>
      <c r="AC278" s="1" t="b">
        <f t="shared" si="24"/>
        <v>1</v>
      </c>
    </row>
    <row r="279" spans="1:29" x14ac:dyDescent="0.25">
      <c r="A279" s="1">
        <v>1996.7149999999999</v>
      </c>
      <c r="B279">
        <v>30</v>
      </c>
      <c r="D279" s="2">
        <v>50082.3</v>
      </c>
      <c r="E279">
        <v>21418</v>
      </c>
      <c r="F279" t="s">
        <v>15</v>
      </c>
      <c r="G279" t="s">
        <v>28</v>
      </c>
      <c r="H279">
        <v>71501</v>
      </c>
      <c r="I279" t="s">
        <v>17</v>
      </c>
      <c r="J279" t="s">
        <v>29</v>
      </c>
      <c r="K279">
        <v>21418.84</v>
      </c>
      <c r="L279">
        <v>71501</v>
      </c>
      <c r="M279">
        <v>3</v>
      </c>
      <c r="Y279" s="1">
        <f t="shared" si="20"/>
        <v>1996.7149999999999</v>
      </c>
      <c r="Z279" s="2">
        <f t="shared" si="21"/>
        <v>50082.3</v>
      </c>
      <c r="AA279" s="2">
        <f t="shared" si="22"/>
        <v>50082.260112234348</v>
      </c>
      <c r="AB279" s="1">
        <f t="shared" si="23"/>
        <v>6.2541163889747509E-2</v>
      </c>
      <c r="AC279" s="1" t="b">
        <f t="shared" si="24"/>
        <v>1</v>
      </c>
    </row>
    <row r="280" spans="1:29" x14ac:dyDescent="0.25">
      <c r="A280" s="1">
        <v>1996.423</v>
      </c>
      <c r="B280">
        <v>3</v>
      </c>
      <c r="D280" s="2">
        <v>50089.599999999999</v>
      </c>
      <c r="M280">
        <v>3</v>
      </c>
      <c r="Y280" s="1">
        <f t="shared" si="20"/>
        <v>1996.423</v>
      </c>
      <c r="Z280" s="2">
        <f t="shared" si="21"/>
        <v>50089.599999999999</v>
      </c>
      <c r="AA280" s="2">
        <f t="shared" si="22"/>
        <v>50089.585223171642</v>
      </c>
      <c r="AB280" s="1">
        <f t="shared" si="23"/>
        <v>6.2544832739146877E-2</v>
      </c>
      <c r="AC280" s="1" t="b">
        <f t="shared" si="24"/>
        <v>1</v>
      </c>
    </row>
    <row r="281" spans="1:29" x14ac:dyDescent="0.25">
      <c r="A281" s="1">
        <v>1996.0229999999999</v>
      </c>
      <c r="B281">
        <v>5</v>
      </c>
      <c r="C281" t="s">
        <v>122</v>
      </c>
      <c r="D281" s="2">
        <v>50099.6</v>
      </c>
      <c r="E281">
        <v>19308</v>
      </c>
      <c r="F281" t="s">
        <v>15</v>
      </c>
      <c r="G281" t="s">
        <v>23</v>
      </c>
      <c r="H281">
        <v>69408</v>
      </c>
      <c r="I281" t="s">
        <v>17</v>
      </c>
      <c r="J281" t="s">
        <v>23</v>
      </c>
      <c r="K281">
        <v>19308.93</v>
      </c>
      <c r="L281">
        <v>69408.509999999995</v>
      </c>
      <c r="M281">
        <v>3</v>
      </c>
      <c r="Y281" s="1">
        <f t="shared" si="20"/>
        <v>1996.0229999999999</v>
      </c>
      <c r="Z281" s="2">
        <f t="shared" si="21"/>
        <v>50099.6</v>
      </c>
      <c r="AA281" s="2">
        <f t="shared" si="22"/>
        <v>50099.62310053542</v>
      </c>
      <c r="AB281" s="1">
        <f t="shared" si="23"/>
        <v>6.2549861174078514E-2</v>
      </c>
      <c r="AC281" s="1" t="b">
        <f t="shared" si="24"/>
        <v>1</v>
      </c>
    </row>
    <row r="282" spans="1:29" x14ac:dyDescent="0.25">
      <c r="A282" s="1">
        <v>1995.989</v>
      </c>
      <c r="B282">
        <v>10</v>
      </c>
      <c r="D282" s="2">
        <v>50100.5</v>
      </c>
      <c r="M282">
        <v>3</v>
      </c>
      <c r="Y282" s="1">
        <f t="shared" si="20"/>
        <v>1995.989</v>
      </c>
      <c r="Z282" s="2">
        <f t="shared" si="21"/>
        <v>50100.5</v>
      </c>
      <c r="AA282" s="2">
        <f t="shared" si="22"/>
        <v>50100.476505632047</v>
      </c>
      <c r="AB282" s="1">
        <f t="shared" si="23"/>
        <v>6.255028873045694E-2</v>
      </c>
      <c r="AC282" s="1" t="b">
        <f t="shared" si="24"/>
        <v>1</v>
      </c>
    </row>
    <row r="283" spans="1:29" x14ac:dyDescent="0.25">
      <c r="A283" s="1">
        <v>1995.2159999999999</v>
      </c>
      <c r="B283">
        <v>100</v>
      </c>
      <c r="D283" s="2">
        <v>50119.9</v>
      </c>
      <c r="E283">
        <v>18211</v>
      </c>
      <c r="F283" t="s">
        <v>15</v>
      </c>
      <c r="G283" t="s">
        <v>28</v>
      </c>
      <c r="H283">
        <v>68331</v>
      </c>
      <c r="I283" t="s">
        <v>17</v>
      </c>
      <c r="J283" t="s">
        <v>18</v>
      </c>
      <c r="K283">
        <v>18211.759999999998</v>
      </c>
      <c r="L283">
        <v>68331.73</v>
      </c>
      <c r="M283">
        <v>3</v>
      </c>
      <c r="Y283" s="1">
        <f t="shared" si="20"/>
        <v>1995.2159999999999</v>
      </c>
      <c r="Z283" s="2">
        <f t="shared" si="21"/>
        <v>50119.9</v>
      </c>
      <c r="AA283" s="2">
        <f t="shared" si="22"/>
        <v>50119.886769151817</v>
      </c>
      <c r="AB283" s="1">
        <f t="shared" si="23"/>
        <v>6.2560015248762993E-2</v>
      </c>
      <c r="AC283" s="1" t="b">
        <f t="shared" si="24"/>
        <v>1</v>
      </c>
    </row>
    <row r="284" spans="1:29" x14ac:dyDescent="0.25">
      <c r="A284" s="1">
        <v>1994.856</v>
      </c>
      <c r="B284">
        <v>1</v>
      </c>
      <c r="D284" s="2">
        <v>50128.9</v>
      </c>
      <c r="M284">
        <v>3</v>
      </c>
      <c r="Y284" s="1">
        <f t="shared" si="20"/>
        <v>1994.856</v>
      </c>
      <c r="Z284" s="2">
        <f t="shared" si="21"/>
        <v>50128.9</v>
      </c>
      <c r="AA284" s="2">
        <f t="shared" si="22"/>
        <v>50128.931612106338</v>
      </c>
      <c r="AB284" s="1">
        <f t="shared" si="23"/>
        <v>6.2564548922856178E-2</v>
      </c>
      <c r="AC284" s="1" t="b">
        <f t="shared" si="24"/>
        <v>1</v>
      </c>
    </row>
    <row r="285" spans="1:29" x14ac:dyDescent="0.25">
      <c r="A285" s="1">
        <v>1994.692</v>
      </c>
      <c r="B285">
        <v>400</v>
      </c>
      <c r="D285" s="2">
        <v>50133</v>
      </c>
      <c r="E285">
        <v>18241</v>
      </c>
      <c r="F285" t="s">
        <v>15</v>
      </c>
      <c r="G285" t="s">
        <v>23</v>
      </c>
      <c r="H285">
        <v>68374</v>
      </c>
      <c r="I285" t="s">
        <v>17</v>
      </c>
      <c r="J285" t="s">
        <v>16</v>
      </c>
      <c r="K285">
        <v>18241.54</v>
      </c>
      <c r="L285">
        <v>68374.539999999994</v>
      </c>
      <c r="M285">
        <v>3</v>
      </c>
      <c r="Y285" s="1">
        <f t="shared" si="20"/>
        <v>1994.692</v>
      </c>
      <c r="Z285" s="2">
        <f t="shared" si="21"/>
        <v>50133</v>
      </c>
      <c r="AA285" s="2">
        <f t="shared" si="22"/>
        <v>50133.053122988415</v>
      </c>
      <c r="AB285" s="1">
        <f t="shared" si="23"/>
        <v>6.2566615077161894E-2</v>
      </c>
      <c r="AC285" s="1" t="b">
        <f t="shared" si="24"/>
        <v>1</v>
      </c>
    </row>
    <row r="286" spans="1:29" x14ac:dyDescent="0.25">
      <c r="A286" s="1">
        <v>1994.027</v>
      </c>
      <c r="B286">
        <v>20</v>
      </c>
      <c r="D286" s="2">
        <v>50149.8</v>
      </c>
      <c r="E286">
        <v>31254</v>
      </c>
      <c r="F286" t="s">
        <v>15</v>
      </c>
      <c r="G286" t="s">
        <v>18</v>
      </c>
      <c r="H286">
        <v>81404</v>
      </c>
      <c r="I286" t="s">
        <v>17</v>
      </c>
      <c r="J286" t="s">
        <v>28</v>
      </c>
      <c r="K286">
        <v>31254.71</v>
      </c>
      <c r="L286">
        <v>81404.52</v>
      </c>
      <c r="M286">
        <v>3</v>
      </c>
      <c r="Y286" s="1">
        <f t="shared" si="20"/>
        <v>1994.027</v>
      </c>
      <c r="Z286" s="2">
        <f t="shared" si="21"/>
        <v>50149.8</v>
      </c>
      <c r="AA286" s="2">
        <f t="shared" si="22"/>
        <v>50149.772294958893</v>
      </c>
      <c r="AB286" s="1">
        <f t="shared" si="23"/>
        <v>6.2574998306181129E-2</v>
      </c>
      <c r="AC286" s="1" t="b">
        <f t="shared" si="24"/>
        <v>1</v>
      </c>
    </row>
    <row r="287" spans="1:29" x14ac:dyDescent="0.25">
      <c r="A287" s="1">
        <v>1993.422</v>
      </c>
      <c r="B287">
        <v>300</v>
      </c>
      <c r="C287" t="s">
        <v>122</v>
      </c>
      <c r="D287" s="2">
        <v>50165</v>
      </c>
      <c r="E287">
        <v>16516</v>
      </c>
      <c r="F287" t="s">
        <v>15</v>
      </c>
      <c r="G287" t="s">
        <v>18</v>
      </c>
      <c r="H287">
        <v>66681</v>
      </c>
      <c r="I287" t="s">
        <v>17</v>
      </c>
      <c r="J287" t="s">
        <v>28</v>
      </c>
      <c r="K287">
        <v>16516.150000000001</v>
      </c>
      <c r="L287">
        <v>66681.14</v>
      </c>
      <c r="M287">
        <v>3</v>
      </c>
      <c r="Y287" s="1">
        <f t="shared" si="20"/>
        <v>1993.422</v>
      </c>
      <c r="Z287" s="2">
        <f t="shared" si="21"/>
        <v>50165</v>
      </c>
      <c r="AA287" s="2">
        <f t="shared" si="22"/>
        <v>50164.992660861571</v>
      </c>
      <c r="AB287" s="1">
        <f t="shared" si="23"/>
        <v>6.2582632443321476E-2</v>
      </c>
      <c r="AC287" s="1" t="b">
        <f t="shared" si="24"/>
        <v>1</v>
      </c>
    </row>
    <row r="288" spans="1:29" x14ac:dyDescent="0.25">
      <c r="A288" s="1">
        <v>1993.346</v>
      </c>
      <c r="B288">
        <v>100</v>
      </c>
      <c r="C288" t="s">
        <v>122</v>
      </c>
      <c r="D288" s="2">
        <v>50166.9</v>
      </c>
      <c r="E288">
        <v>23442</v>
      </c>
      <c r="F288" t="s">
        <v>15</v>
      </c>
      <c r="G288" t="s">
        <v>23</v>
      </c>
      <c r="H288">
        <v>73609</v>
      </c>
      <c r="I288" t="s">
        <v>17</v>
      </c>
      <c r="J288" t="s">
        <v>23</v>
      </c>
      <c r="K288">
        <v>23442.25</v>
      </c>
      <c r="L288">
        <v>73609.100000000006</v>
      </c>
      <c r="M288">
        <v>3</v>
      </c>
      <c r="Y288" s="1">
        <f t="shared" si="20"/>
        <v>1993.346</v>
      </c>
      <c r="Z288" s="2">
        <f t="shared" si="21"/>
        <v>50166.9</v>
      </c>
      <c r="AA288" s="2">
        <f t="shared" si="22"/>
        <v>50166.905293912845</v>
      </c>
      <c r="AB288" s="1">
        <f t="shared" si="23"/>
        <v>6.2583591933842109E-2</v>
      </c>
      <c r="AC288" s="1" t="b">
        <f t="shared" si="24"/>
        <v>1</v>
      </c>
    </row>
    <row r="289" spans="1:29" x14ac:dyDescent="0.25">
      <c r="A289" s="1">
        <v>1991.9829999999999</v>
      </c>
      <c r="B289">
        <v>10</v>
      </c>
      <c r="D289" s="2">
        <v>50201.2</v>
      </c>
      <c r="E289">
        <v>21535</v>
      </c>
      <c r="F289" t="s">
        <v>15</v>
      </c>
      <c r="G289" t="s">
        <v>16</v>
      </c>
      <c r="H289">
        <v>71736</v>
      </c>
      <c r="I289" t="s">
        <v>17</v>
      </c>
      <c r="J289" t="s">
        <v>23</v>
      </c>
      <c r="K289">
        <v>21535.17</v>
      </c>
      <c r="L289">
        <v>71736.45</v>
      </c>
      <c r="M289">
        <v>3</v>
      </c>
      <c r="Y289" s="1">
        <f t="shared" si="20"/>
        <v>1991.9829999999999</v>
      </c>
      <c r="Z289" s="2">
        <f t="shared" si="21"/>
        <v>50201.2</v>
      </c>
      <c r="AA289" s="2">
        <f t="shared" si="22"/>
        <v>50201.231637016986</v>
      </c>
      <c r="AB289" s="1">
        <f t="shared" si="23"/>
        <v>6.2600818289367172E-2</v>
      </c>
      <c r="AC289" s="1" t="b">
        <f t="shared" si="24"/>
        <v>1</v>
      </c>
    </row>
    <row r="290" spans="1:29" x14ac:dyDescent="0.25">
      <c r="A290" s="1">
        <v>1991.836</v>
      </c>
      <c r="B290">
        <v>6</v>
      </c>
      <c r="D290" s="2">
        <v>50204.9</v>
      </c>
      <c r="E290">
        <v>25409</v>
      </c>
      <c r="F290" t="s">
        <v>15</v>
      </c>
      <c r="G290" t="s">
        <v>18</v>
      </c>
      <c r="H290">
        <v>75614</v>
      </c>
      <c r="I290" t="s">
        <v>17</v>
      </c>
      <c r="J290" t="s">
        <v>28</v>
      </c>
      <c r="K290">
        <v>25409.74</v>
      </c>
      <c r="L290">
        <v>75614.81</v>
      </c>
      <c r="M290">
        <v>3</v>
      </c>
      <c r="Y290" s="1">
        <f t="shared" si="20"/>
        <v>1991.836</v>
      </c>
      <c r="Z290" s="2">
        <f t="shared" si="21"/>
        <v>50204.9</v>
      </c>
      <c r="AA290" s="2">
        <f t="shared" si="22"/>
        <v>50204.936551001185</v>
      </c>
      <c r="AB290" s="1">
        <f t="shared" si="23"/>
        <v>6.2602678270450268E-2</v>
      </c>
      <c r="AC290" s="1" t="b">
        <f t="shared" si="24"/>
        <v>1</v>
      </c>
    </row>
    <row r="291" spans="1:29" x14ac:dyDescent="0.25">
      <c r="A291" s="1">
        <v>1991.6220000000001</v>
      </c>
      <c r="B291">
        <v>60</v>
      </c>
      <c r="D291" s="2">
        <v>50210.3</v>
      </c>
      <c r="M291">
        <v>3</v>
      </c>
      <c r="Y291" s="1">
        <f t="shared" si="20"/>
        <v>1991.6220000000001</v>
      </c>
      <c r="Z291" s="2">
        <f t="shared" si="21"/>
        <v>50210.3</v>
      </c>
      <c r="AA291" s="2">
        <f t="shared" si="22"/>
        <v>50210.331076881055</v>
      </c>
      <c r="AB291" s="1">
        <f t="shared" si="23"/>
        <v>6.2605386734250035E-2</v>
      </c>
      <c r="AC291" s="1" t="b">
        <f t="shared" si="24"/>
        <v>1</v>
      </c>
    </row>
    <row r="292" spans="1:29" x14ac:dyDescent="0.25">
      <c r="A292" s="1">
        <v>1991.509</v>
      </c>
      <c r="B292">
        <v>30</v>
      </c>
      <c r="D292" s="2">
        <v>50213.2</v>
      </c>
      <c r="E292">
        <v>24250</v>
      </c>
      <c r="F292" t="s">
        <v>15</v>
      </c>
      <c r="G292" t="s">
        <v>29</v>
      </c>
      <c r="H292">
        <v>74463</v>
      </c>
      <c r="I292" t="s">
        <v>17</v>
      </c>
      <c r="J292" t="s">
        <v>29</v>
      </c>
      <c r="K292">
        <v>24250.62</v>
      </c>
      <c r="L292">
        <v>74463.7</v>
      </c>
      <c r="M292">
        <v>3</v>
      </c>
      <c r="Y292" s="1">
        <f t="shared" si="20"/>
        <v>1991.509</v>
      </c>
      <c r="Z292" s="2">
        <f t="shared" si="21"/>
        <v>50213.2</v>
      </c>
      <c r="AA292" s="2">
        <f t="shared" si="22"/>
        <v>50213.180055927442</v>
      </c>
      <c r="AB292" s="1">
        <f t="shared" si="23"/>
        <v>6.260681725664495E-2</v>
      </c>
      <c r="AC292" s="1" t="b">
        <f t="shared" si="24"/>
        <v>1</v>
      </c>
    </row>
    <row r="293" spans="1:29" x14ac:dyDescent="0.25">
      <c r="A293" s="1">
        <v>1991.049</v>
      </c>
      <c r="B293">
        <v>1</v>
      </c>
      <c r="D293" s="2">
        <v>50224.800000000003</v>
      </c>
      <c r="M293">
        <v>3</v>
      </c>
      <c r="Y293" s="1">
        <f t="shared" si="20"/>
        <v>1991.049</v>
      </c>
      <c r="Z293" s="2">
        <f t="shared" si="21"/>
        <v>50224.800000000003</v>
      </c>
      <c r="AA293" s="2">
        <f t="shared" si="22"/>
        <v>50224.781007398611</v>
      </c>
      <c r="AB293" s="1">
        <f t="shared" si="23"/>
        <v>6.2612643136205751E-2</v>
      </c>
      <c r="AC293" s="1" t="b">
        <f t="shared" si="24"/>
        <v>1</v>
      </c>
    </row>
    <row r="294" spans="1:29" x14ac:dyDescent="0.25">
      <c r="A294" s="1">
        <v>1990.9590000000001</v>
      </c>
      <c r="B294">
        <v>3</v>
      </c>
      <c r="D294" s="2">
        <v>50227</v>
      </c>
      <c r="M294">
        <v>3</v>
      </c>
      <c r="Y294" s="1">
        <f t="shared" si="20"/>
        <v>1990.9590000000001</v>
      </c>
      <c r="Z294" s="2">
        <f t="shared" si="21"/>
        <v>50227</v>
      </c>
      <c r="AA294" s="2">
        <f t="shared" si="22"/>
        <v>50227.051385789462</v>
      </c>
      <c r="AB294" s="1">
        <f t="shared" si="23"/>
        <v>6.2613783454553679E-2</v>
      </c>
      <c r="AC294" s="1" t="b">
        <f t="shared" si="24"/>
        <v>1</v>
      </c>
    </row>
    <row r="295" spans="1:29" x14ac:dyDescent="0.25">
      <c r="A295" s="1">
        <v>1989.646</v>
      </c>
      <c r="B295">
        <v>50</v>
      </c>
      <c r="D295" s="2">
        <v>50260.2</v>
      </c>
      <c r="E295">
        <v>25033</v>
      </c>
      <c r="F295" t="s">
        <v>15</v>
      </c>
      <c r="G295" t="s">
        <v>16</v>
      </c>
      <c r="H295">
        <v>75294</v>
      </c>
      <c r="I295" t="s">
        <v>17</v>
      </c>
      <c r="J295" t="s">
        <v>18</v>
      </c>
      <c r="K295">
        <v>25033.91</v>
      </c>
      <c r="L295">
        <v>75294</v>
      </c>
      <c r="M295">
        <v>3</v>
      </c>
      <c r="Y295" s="1">
        <f t="shared" si="20"/>
        <v>1989.646</v>
      </c>
      <c r="Z295" s="2">
        <f t="shared" si="21"/>
        <v>50260.2</v>
      </c>
      <c r="AA295" s="2">
        <f t="shared" si="22"/>
        <v>50260.197040076477</v>
      </c>
      <c r="AB295" s="1">
        <f t="shared" si="23"/>
        <v>6.2630437032536568E-2</v>
      </c>
      <c r="AC295" s="1" t="b">
        <f t="shared" si="24"/>
        <v>1</v>
      </c>
    </row>
    <row r="296" spans="1:29" x14ac:dyDescent="0.25">
      <c r="A296" s="1">
        <v>1989.319</v>
      </c>
      <c r="B296">
        <v>300</v>
      </c>
      <c r="D296" s="2">
        <v>50268.5</v>
      </c>
      <c r="E296">
        <v>18063</v>
      </c>
      <c r="F296" t="s">
        <v>15</v>
      </c>
      <c r="G296" t="s">
        <v>16</v>
      </c>
      <c r="H296">
        <v>68331</v>
      </c>
      <c r="I296" t="s">
        <v>17</v>
      </c>
      <c r="J296" t="s">
        <v>18</v>
      </c>
      <c r="K296">
        <v>18063.36</v>
      </c>
      <c r="L296">
        <v>68331.73</v>
      </c>
      <c r="M296">
        <v>3</v>
      </c>
      <c r="Y296" s="1">
        <f t="shared" si="20"/>
        <v>1989.319</v>
      </c>
      <c r="Z296" s="2">
        <f t="shared" si="21"/>
        <v>50268.5</v>
      </c>
      <c r="AA296" s="2">
        <f t="shared" si="22"/>
        <v>50268.458703707147</v>
      </c>
      <c r="AB296" s="1">
        <f t="shared" si="23"/>
        <v>6.2634589702231555E-2</v>
      </c>
      <c r="AC296" s="1" t="b">
        <f t="shared" si="24"/>
        <v>1</v>
      </c>
    </row>
    <row r="297" spans="1:29" x14ac:dyDescent="0.25">
      <c r="A297" s="1">
        <v>1988.77</v>
      </c>
      <c r="B297">
        <v>6</v>
      </c>
      <c r="D297" s="2">
        <v>50282.3</v>
      </c>
      <c r="E297">
        <v>22747</v>
      </c>
      <c r="F297" t="s">
        <v>15</v>
      </c>
      <c r="G297" t="s">
        <v>16</v>
      </c>
      <c r="H297">
        <v>73029</v>
      </c>
      <c r="I297" t="s">
        <v>17</v>
      </c>
      <c r="J297" t="s">
        <v>16</v>
      </c>
      <c r="K297">
        <v>22747.69</v>
      </c>
      <c r="L297">
        <v>73029.899999999994</v>
      </c>
      <c r="M297">
        <v>3</v>
      </c>
      <c r="Y297" s="1">
        <f t="shared" si="20"/>
        <v>1988.77</v>
      </c>
      <c r="Z297" s="2">
        <f t="shared" si="21"/>
        <v>50282.3</v>
      </c>
      <c r="AA297" s="2">
        <f t="shared" si="22"/>
        <v>50282.335312781266</v>
      </c>
      <c r="AB297" s="1">
        <f t="shared" si="23"/>
        <v>6.2641566222534847E-2</v>
      </c>
      <c r="AC297" s="1" t="b">
        <f t="shared" si="24"/>
        <v>1</v>
      </c>
    </row>
    <row r="298" spans="1:29" x14ac:dyDescent="0.25">
      <c r="A298" s="1">
        <v>1988.7070000000001</v>
      </c>
      <c r="B298">
        <v>2</v>
      </c>
      <c r="D298" s="2">
        <v>50283.9</v>
      </c>
      <c r="E298">
        <v>18241</v>
      </c>
      <c r="F298" t="s">
        <v>15</v>
      </c>
      <c r="G298" t="s">
        <v>23</v>
      </c>
      <c r="H298">
        <v>68525</v>
      </c>
      <c r="I298" t="s">
        <v>17</v>
      </c>
      <c r="J298" t="s">
        <v>23</v>
      </c>
      <c r="K298">
        <v>18241.54</v>
      </c>
      <c r="L298">
        <v>68525.62</v>
      </c>
      <c r="M298">
        <v>3</v>
      </c>
      <c r="Y298" s="1">
        <f t="shared" si="20"/>
        <v>1988.7070000000001</v>
      </c>
      <c r="Z298" s="2">
        <f t="shared" si="21"/>
        <v>50283.9</v>
      </c>
      <c r="AA298" s="2">
        <f t="shared" si="22"/>
        <v>50283.928200584596</v>
      </c>
      <c r="AB298" s="1">
        <f t="shared" si="23"/>
        <v>6.264236717640774E-2</v>
      </c>
      <c r="AC298" s="1" t="b">
        <f t="shared" si="24"/>
        <v>1</v>
      </c>
    </row>
    <row r="299" spans="1:29" x14ac:dyDescent="0.25">
      <c r="A299" s="1">
        <v>1988.2470000000001</v>
      </c>
      <c r="B299">
        <v>10</v>
      </c>
      <c r="D299" s="2">
        <v>50295.6</v>
      </c>
      <c r="M299">
        <v>3</v>
      </c>
      <c r="Y299" s="1">
        <f t="shared" si="20"/>
        <v>1988.2470000000001</v>
      </c>
      <c r="Z299" s="2">
        <f t="shared" si="21"/>
        <v>50295.6</v>
      </c>
      <c r="AA299" s="2">
        <f t="shared" si="22"/>
        <v>50295.561869325087</v>
      </c>
      <c r="AB299" s="1">
        <f t="shared" si="23"/>
        <v>6.2648217718755533E-2</v>
      </c>
      <c r="AC299" s="1" t="b">
        <f t="shared" si="24"/>
        <v>1</v>
      </c>
    </row>
    <row r="300" spans="1:29" x14ac:dyDescent="0.25">
      <c r="A300" s="1">
        <v>1988.1389999999999</v>
      </c>
      <c r="B300">
        <v>300</v>
      </c>
      <c r="D300" s="2">
        <v>50298.3</v>
      </c>
      <c r="E300">
        <v>14558</v>
      </c>
      <c r="F300" t="s">
        <v>15</v>
      </c>
      <c r="G300" t="s">
        <v>16</v>
      </c>
      <c r="H300">
        <v>64857</v>
      </c>
      <c r="I300" t="s">
        <v>17</v>
      </c>
      <c r="J300" t="s">
        <v>16</v>
      </c>
      <c r="K300">
        <v>14558.82</v>
      </c>
      <c r="L300">
        <v>64857.15</v>
      </c>
      <c r="M300">
        <v>3</v>
      </c>
      <c r="Y300" s="1">
        <f t="shared" si="20"/>
        <v>1988.1389999999999</v>
      </c>
      <c r="Z300" s="2">
        <f t="shared" si="21"/>
        <v>50298.3</v>
      </c>
      <c r="AA300" s="2">
        <f t="shared" si="22"/>
        <v>50298.294032761296</v>
      </c>
      <c r="AB300" s="1">
        <f t="shared" si="23"/>
        <v>6.2649591913030558E-2</v>
      </c>
      <c r="AC300" s="1" t="b">
        <f t="shared" si="24"/>
        <v>1</v>
      </c>
    </row>
    <row r="301" spans="1:29" x14ac:dyDescent="0.25">
      <c r="A301" s="1">
        <v>1987.6310000000001</v>
      </c>
      <c r="B301">
        <v>40</v>
      </c>
      <c r="D301" s="2">
        <v>50311.199999999997</v>
      </c>
      <c r="E301">
        <v>18063</v>
      </c>
      <c r="F301" t="s">
        <v>15</v>
      </c>
      <c r="G301" t="s">
        <v>16</v>
      </c>
      <c r="H301">
        <v>68374</v>
      </c>
      <c r="I301" t="s">
        <v>17</v>
      </c>
      <c r="J301" t="s">
        <v>16</v>
      </c>
      <c r="K301">
        <v>18063.36</v>
      </c>
      <c r="L301">
        <v>68374.539999999994</v>
      </c>
      <c r="M301">
        <v>4</v>
      </c>
      <c r="Y301" s="1">
        <f t="shared" si="20"/>
        <v>1987.6310000000001</v>
      </c>
      <c r="Z301" s="2">
        <f t="shared" si="21"/>
        <v>50311.199999999997</v>
      </c>
      <c r="AA301" s="2">
        <f t="shared" si="22"/>
        <v>50311.14930286356</v>
      </c>
      <c r="AB301" s="1">
        <f t="shared" si="23"/>
        <v>6.2656058720875152E-2</v>
      </c>
      <c r="AC301" s="1" t="b">
        <f t="shared" si="24"/>
        <v>1</v>
      </c>
    </row>
    <row r="302" spans="1:29" x14ac:dyDescent="0.25">
      <c r="A302" s="1">
        <v>1987.5419999999999</v>
      </c>
      <c r="B302">
        <v>2</v>
      </c>
      <c r="D302" s="2">
        <v>50313.4</v>
      </c>
      <c r="M302">
        <v>4</v>
      </c>
      <c r="Y302" s="1">
        <f t="shared" si="20"/>
        <v>1987.5419999999999</v>
      </c>
      <c r="Z302" s="2">
        <f t="shared" si="21"/>
        <v>50313.4</v>
      </c>
      <c r="AA302" s="2">
        <f t="shared" si="22"/>
        <v>50313.402182192884</v>
      </c>
      <c r="AB302" s="1">
        <f t="shared" si="23"/>
        <v>6.2657192195735456E-2</v>
      </c>
      <c r="AC302" s="1" t="b">
        <f t="shared" si="24"/>
        <v>1</v>
      </c>
    </row>
    <row r="303" spans="1:29" x14ac:dyDescent="0.25">
      <c r="A303" s="1">
        <v>1985.9949999999999</v>
      </c>
      <c r="B303">
        <v>5</v>
      </c>
      <c r="C303" t="s">
        <v>27</v>
      </c>
      <c r="D303" s="2">
        <v>50352.6</v>
      </c>
      <c r="E303">
        <v>21148</v>
      </c>
      <c r="F303" t="s">
        <v>15</v>
      </c>
      <c r="G303" t="s">
        <v>29</v>
      </c>
      <c r="H303">
        <v>71501</v>
      </c>
      <c r="I303" t="s">
        <v>17</v>
      </c>
      <c r="J303" t="s">
        <v>29</v>
      </c>
      <c r="K303">
        <v>21148.43</v>
      </c>
      <c r="L303">
        <v>71501</v>
      </c>
      <c r="M303">
        <v>4</v>
      </c>
      <c r="Y303" s="1">
        <f t="shared" si="20"/>
        <v>1985.9949999999999</v>
      </c>
      <c r="Z303" s="2">
        <f t="shared" si="21"/>
        <v>50352.6</v>
      </c>
      <c r="AA303" s="2">
        <f t="shared" si="22"/>
        <v>50352.594039763448</v>
      </c>
      <c r="AB303" s="1">
        <f t="shared" si="23"/>
        <v>6.2676918632666112E-2</v>
      </c>
      <c r="AC303" s="1" t="b">
        <f t="shared" si="24"/>
        <v>1</v>
      </c>
    </row>
    <row r="304" spans="1:29" x14ac:dyDescent="0.25">
      <c r="A304" s="1">
        <v>1985.9949999999999</v>
      </c>
      <c r="B304">
        <v>5</v>
      </c>
      <c r="C304" t="s">
        <v>27</v>
      </c>
      <c r="D304" s="2">
        <v>50352.6</v>
      </c>
      <c r="E304">
        <v>25409</v>
      </c>
      <c r="F304" t="s">
        <v>15</v>
      </c>
      <c r="G304" t="s">
        <v>18</v>
      </c>
      <c r="H304">
        <v>75762</v>
      </c>
      <c r="I304" t="s">
        <v>17</v>
      </c>
      <c r="J304" t="s">
        <v>16</v>
      </c>
      <c r="K304">
        <v>25409.74</v>
      </c>
      <c r="L304">
        <v>75762.23</v>
      </c>
      <c r="M304">
        <v>4</v>
      </c>
      <c r="Y304" s="1">
        <f t="shared" si="20"/>
        <v>1985.9949999999999</v>
      </c>
      <c r="Z304" s="2">
        <f t="shared" si="21"/>
        <v>50352.6</v>
      </c>
      <c r="AA304" s="2">
        <f t="shared" si="22"/>
        <v>50352.594039763448</v>
      </c>
      <c r="AB304" s="1">
        <f t="shared" si="23"/>
        <v>6.2676918632666112E-2</v>
      </c>
      <c r="AC304" s="1" t="b">
        <f t="shared" si="24"/>
        <v>1</v>
      </c>
    </row>
    <row r="305" spans="1:29" x14ac:dyDescent="0.25">
      <c r="A305" s="1">
        <v>1985.0229999999999</v>
      </c>
      <c r="B305">
        <v>1</v>
      </c>
      <c r="D305" s="2">
        <v>50377.2</v>
      </c>
      <c r="E305">
        <v>19308</v>
      </c>
      <c r="F305" t="s">
        <v>15</v>
      </c>
      <c r="G305" t="s">
        <v>23</v>
      </c>
      <c r="H305">
        <v>69686</v>
      </c>
      <c r="I305" t="s">
        <v>17</v>
      </c>
      <c r="J305" t="s">
        <v>16</v>
      </c>
      <c r="K305">
        <v>19308.93</v>
      </c>
      <c r="L305">
        <v>69686.259999999995</v>
      </c>
      <c r="M305">
        <v>4</v>
      </c>
      <c r="Y305" s="1">
        <f t="shared" si="20"/>
        <v>1985.0229999999999</v>
      </c>
      <c r="Z305" s="2">
        <f t="shared" si="21"/>
        <v>50377.2</v>
      </c>
      <c r="AA305" s="2">
        <f t="shared" si="22"/>
        <v>50377.250036901336</v>
      </c>
      <c r="AB305" s="1">
        <f t="shared" si="23"/>
        <v>6.2689336606402385E-2</v>
      </c>
      <c r="AC305" s="1" t="b">
        <f t="shared" si="24"/>
        <v>1</v>
      </c>
    </row>
    <row r="306" spans="1:29" x14ac:dyDescent="0.25">
      <c r="A306" s="1">
        <v>1984.87</v>
      </c>
      <c r="B306">
        <v>10</v>
      </c>
      <c r="D306" s="2">
        <v>50381.1</v>
      </c>
      <c r="M306">
        <v>4</v>
      </c>
      <c r="Y306" s="1">
        <f t="shared" si="20"/>
        <v>1984.87</v>
      </c>
      <c r="Z306" s="2">
        <f t="shared" si="21"/>
        <v>50381.1</v>
      </c>
      <c r="AA306" s="2">
        <f t="shared" si="22"/>
        <v>50381.133273211854</v>
      </c>
      <c r="AB306" s="1">
        <f t="shared" si="23"/>
        <v>6.2691292949465682E-2</v>
      </c>
      <c r="AC306" s="1" t="b">
        <f t="shared" si="24"/>
        <v>1</v>
      </c>
    </row>
    <row r="307" spans="1:29" x14ac:dyDescent="0.25">
      <c r="A307" s="1">
        <v>1984.6980000000001</v>
      </c>
      <c r="B307">
        <v>20</v>
      </c>
      <c r="D307" s="2">
        <v>50385.5</v>
      </c>
      <c r="E307">
        <v>12846</v>
      </c>
      <c r="F307" t="s">
        <v>15</v>
      </c>
      <c r="G307" t="s">
        <v>16</v>
      </c>
      <c r="H307">
        <v>63232</v>
      </c>
      <c r="I307" t="s">
        <v>17</v>
      </c>
      <c r="J307" t="s">
        <v>18</v>
      </c>
      <c r="K307">
        <v>12846.66</v>
      </c>
      <c r="L307">
        <v>63232.14</v>
      </c>
      <c r="M307">
        <v>4</v>
      </c>
      <c r="Y307" s="1">
        <f t="shared" si="20"/>
        <v>1984.6980000000001</v>
      </c>
      <c r="Z307" s="2">
        <f t="shared" si="21"/>
        <v>50385.5</v>
      </c>
      <c r="AA307" s="2">
        <f t="shared" si="22"/>
        <v>50385.499456340462</v>
      </c>
      <c r="AB307" s="1">
        <f t="shared" si="23"/>
        <v>6.269349277732443E-2</v>
      </c>
      <c r="AC307" s="1" t="b">
        <f t="shared" si="24"/>
        <v>1</v>
      </c>
    </row>
    <row r="308" spans="1:29" x14ac:dyDescent="0.25">
      <c r="A308" s="1">
        <v>1984.38</v>
      </c>
      <c r="B308">
        <v>4</v>
      </c>
      <c r="D308" s="2">
        <v>50393.599999999999</v>
      </c>
      <c r="M308">
        <v>4</v>
      </c>
      <c r="Y308" s="1">
        <f t="shared" si="20"/>
        <v>1984.38</v>
      </c>
      <c r="Z308" s="2">
        <f t="shared" si="21"/>
        <v>50393.599999999999</v>
      </c>
      <c r="AA308" s="2">
        <f t="shared" si="22"/>
        <v>50393.573811467562</v>
      </c>
      <c r="AB308" s="1">
        <f t="shared" si="23"/>
        <v>6.2697561407459149E-2</v>
      </c>
      <c r="AC308" s="1" t="b">
        <f t="shared" si="24"/>
        <v>1</v>
      </c>
    </row>
    <row r="309" spans="1:29" x14ac:dyDescent="0.25">
      <c r="A309" s="1">
        <v>1984.348</v>
      </c>
      <c r="B309">
        <v>2</v>
      </c>
      <c r="C309" t="s">
        <v>122</v>
      </c>
      <c r="D309" s="2">
        <v>50394.400000000001</v>
      </c>
      <c r="M309">
        <v>4</v>
      </c>
      <c r="Y309" s="1">
        <f t="shared" si="20"/>
        <v>1984.348</v>
      </c>
      <c r="Z309" s="2">
        <f t="shared" si="21"/>
        <v>50394.400000000001</v>
      </c>
      <c r="AA309" s="2">
        <f t="shared" si="22"/>
        <v>50394.386468502504</v>
      </c>
      <c r="AB309" s="1">
        <f t="shared" si="23"/>
        <v>6.269797093768395E-2</v>
      </c>
      <c r="AC309" s="1" t="b">
        <f t="shared" si="24"/>
        <v>1</v>
      </c>
    </row>
    <row r="310" spans="1:29" x14ac:dyDescent="0.25">
      <c r="A310" s="1">
        <v>1984.25</v>
      </c>
      <c r="B310">
        <v>50</v>
      </c>
      <c r="D310" s="2">
        <v>50396.9</v>
      </c>
      <c r="E310">
        <v>15525</v>
      </c>
      <c r="F310" t="s">
        <v>15</v>
      </c>
      <c r="G310" t="s">
        <v>23</v>
      </c>
      <c r="H310">
        <v>65922</v>
      </c>
      <c r="I310" t="s">
        <v>17</v>
      </c>
      <c r="J310" t="s">
        <v>23</v>
      </c>
      <c r="K310">
        <v>15525.5</v>
      </c>
      <c r="L310">
        <v>65922.42</v>
      </c>
      <c r="M310">
        <v>4</v>
      </c>
      <c r="Y310" s="1">
        <f t="shared" si="20"/>
        <v>1984.25</v>
      </c>
      <c r="Z310" s="2">
        <f t="shared" si="21"/>
        <v>50396.9</v>
      </c>
      <c r="AA310" s="2">
        <f t="shared" si="22"/>
        <v>50396.87539372559</v>
      </c>
      <c r="AB310" s="1">
        <f t="shared" si="23"/>
        <v>6.2699225247253521E-2</v>
      </c>
      <c r="AC310" s="1" t="b">
        <f t="shared" si="24"/>
        <v>1</v>
      </c>
    </row>
    <row r="311" spans="1:29" x14ac:dyDescent="0.25">
      <c r="A311" s="1">
        <v>1983.3109999999999</v>
      </c>
      <c r="B311">
        <v>10</v>
      </c>
      <c r="D311" s="2">
        <v>50420.7</v>
      </c>
      <c r="E311">
        <v>14558</v>
      </c>
      <c r="F311" t="s">
        <v>15</v>
      </c>
      <c r="G311" t="s">
        <v>16</v>
      </c>
      <c r="H311">
        <v>64979</v>
      </c>
      <c r="I311" t="s">
        <v>17</v>
      </c>
      <c r="J311" t="s">
        <v>18</v>
      </c>
      <c r="K311">
        <v>14558.82</v>
      </c>
      <c r="L311">
        <v>64979.55</v>
      </c>
      <c r="M311">
        <v>4</v>
      </c>
      <c r="Y311" s="1">
        <f t="shared" si="20"/>
        <v>1983.3109999999999</v>
      </c>
      <c r="Z311" s="2">
        <f t="shared" si="21"/>
        <v>50420.7</v>
      </c>
      <c r="AA311" s="2">
        <f t="shared" si="22"/>
        <v>50420.735830134559</v>
      </c>
      <c r="AB311" s="1">
        <f t="shared" si="23"/>
        <v>6.2711253008261081E-2</v>
      </c>
      <c r="AC311" s="1" t="b">
        <f t="shared" si="24"/>
        <v>1</v>
      </c>
    </row>
    <row r="312" spans="1:29" x14ac:dyDescent="0.25">
      <c r="A312" s="1">
        <v>1983.066</v>
      </c>
      <c r="B312">
        <v>2</v>
      </c>
      <c r="D312" s="2">
        <v>50427</v>
      </c>
      <c r="E312">
        <v>16516</v>
      </c>
      <c r="F312" t="s">
        <v>15</v>
      </c>
      <c r="G312" t="s">
        <v>18</v>
      </c>
      <c r="H312">
        <v>66943</v>
      </c>
      <c r="I312" t="s">
        <v>17</v>
      </c>
      <c r="J312" t="s">
        <v>28</v>
      </c>
      <c r="K312">
        <v>16516.150000000001</v>
      </c>
      <c r="L312">
        <v>66943.039999999994</v>
      </c>
      <c r="M312">
        <v>4</v>
      </c>
      <c r="Y312" s="1">
        <f t="shared" si="20"/>
        <v>1983.066</v>
      </c>
      <c r="Z312" s="2">
        <f t="shared" si="21"/>
        <v>50427</v>
      </c>
      <c r="AA312" s="2">
        <f t="shared" si="22"/>
        <v>50426.965113616992</v>
      </c>
      <c r="AB312" s="1">
        <f t="shared" si="23"/>
        <v>6.2714394052849731E-2</v>
      </c>
      <c r="AC312" s="1" t="b">
        <f t="shared" si="24"/>
        <v>1</v>
      </c>
    </row>
    <row r="313" spans="1:29" x14ac:dyDescent="0.25">
      <c r="A313" s="1">
        <v>1982.981</v>
      </c>
      <c r="B313">
        <v>300</v>
      </c>
      <c r="D313" s="2">
        <v>50429.1</v>
      </c>
      <c r="E313">
        <v>18063</v>
      </c>
      <c r="F313" t="s">
        <v>15</v>
      </c>
      <c r="G313" t="s">
        <v>16</v>
      </c>
      <c r="H313">
        <v>68492</v>
      </c>
      <c r="I313" t="s">
        <v>17</v>
      </c>
      <c r="J313" t="s">
        <v>18</v>
      </c>
      <c r="K313">
        <v>18063.36</v>
      </c>
      <c r="L313">
        <v>68492.429999999993</v>
      </c>
      <c r="M313">
        <v>4</v>
      </c>
      <c r="Y313" s="1">
        <f t="shared" si="20"/>
        <v>1982.981</v>
      </c>
      <c r="Z313" s="2">
        <f t="shared" si="21"/>
        <v>50429.1</v>
      </c>
      <c r="AA313" s="2">
        <f t="shared" si="22"/>
        <v>50429.12665325588</v>
      </c>
      <c r="AB313" s="1">
        <f t="shared" si="23"/>
        <v>6.271548407505062E-2</v>
      </c>
      <c r="AC313" s="1" t="b">
        <f t="shared" si="24"/>
        <v>1</v>
      </c>
    </row>
    <row r="314" spans="1:29" x14ac:dyDescent="0.25">
      <c r="A314" s="1">
        <v>1982.7850000000001</v>
      </c>
      <c r="B314">
        <v>2</v>
      </c>
      <c r="D314" s="2">
        <v>50434.1</v>
      </c>
      <c r="E314">
        <v>23175</v>
      </c>
      <c r="F314" t="s">
        <v>15</v>
      </c>
      <c r="G314" t="s">
        <v>50</v>
      </c>
      <c r="H314">
        <v>73609</v>
      </c>
      <c r="I314" t="s">
        <v>17</v>
      </c>
      <c r="J314" t="s">
        <v>23</v>
      </c>
      <c r="K314">
        <v>23175.09</v>
      </c>
      <c r="L314">
        <v>73609.100000000006</v>
      </c>
      <c r="M314">
        <v>4</v>
      </c>
      <c r="Y314" s="1">
        <f t="shared" si="20"/>
        <v>1982.7850000000001</v>
      </c>
      <c r="Z314" s="2">
        <f t="shared" si="21"/>
        <v>50434.1</v>
      </c>
      <c r="AA314" s="2">
        <f t="shared" si="22"/>
        <v>50434.111615732414</v>
      </c>
      <c r="AB314" s="1">
        <f t="shared" si="23"/>
        <v>6.2717998072340783E-2</v>
      </c>
      <c r="AC314" s="1" t="b">
        <f t="shared" si="24"/>
        <v>1</v>
      </c>
    </row>
    <row r="315" spans="1:29" x14ac:dyDescent="0.25">
      <c r="A315" s="1">
        <v>1982.492</v>
      </c>
      <c r="B315">
        <v>5</v>
      </c>
      <c r="D315" s="2">
        <v>50441.599999999999</v>
      </c>
      <c r="E315">
        <v>15525</v>
      </c>
      <c r="F315" t="s">
        <v>15</v>
      </c>
      <c r="G315" t="s">
        <v>23</v>
      </c>
      <c r="H315">
        <v>65967</v>
      </c>
      <c r="I315" t="s">
        <v>17</v>
      </c>
      <c r="J315" t="s">
        <v>50</v>
      </c>
      <c r="K315">
        <v>15525.5</v>
      </c>
      <c r="L315">
        <v>65967.149999999994</v>
      </c>
      <c r="M315">
        <v>4</v>
      </c>
      <c r="Y315" s="1">
        <f t="shared" si="20"/>
        <v>1982.492</v>
      </c>
      <c r="Z315" s="2">
        <f t="shared" si="21"/>
        <v>50441.599999999999</v>
      </c>
      <c r="AA315" s="2">
        <f t="shared" si="22"/>
        <v>50441.56546407249</v>
      </c>
      <c r="AB315" s="1">
        <f t="shared" si="23"/>
        <v>6.2721757632331551E-2</v>
      </c>
      <c r="AC315" s="1" t="b">
        <f t="shared" si="24"/>
        <v>1</v>
      </c>
    </row>
    <row r="316" spans="1:29" x14ac:dyDescent="0.25">
      <c r="A316" s="1">
        <v>1982.4280000000001</v>
      </c>
      <c r="B316">
        <v>1</v>
      </c>
      <c r="D316" s="2">
        <v>50443.199999999997</v>
      </c>
      <c r="E316">
        <v>21535</v>
      </c>
      <c r="F316" t="s">
        <v>15</v>
      </c>
      <c r="G316" t="s">
        <v>16</v>
      </c>
      <c r="H316">
        <v>71978</v>
      </c>
      <c r="I316" t="s">
        <v>17</v>
      </c>
      <c r="J316" t="s">
        <v>18</v>
      </c>
      <c r="K316">
        <v>21535.17</v>
      </c>
      <c r="L316">
        <v>71978.52</v>
      </c>
      <c r="M316">
        <v>4</v>
      </c>
      <c r="Y316" s="1">
        <f t="shared" si="20"/>
        <v>1982.4280000000001</v>
      </c>
      <c r="Z316" s="2">
        <f t="shared" si="21"/>
        <v>50443.199999999997</v>
      </c>
      <c r="AA316" s="2">
        <f t="shared" si="22"/>
        <v>50443.193901619627</v>
      </c>
      <c r="AB316" s="1">
        <f t="shared" si="23"/>
        <v>6.2722579054981978E-2</v>
      </c>
      <c r="AC316" s="1" t="b">
        <f t="shared" si="24"/>
        <v>1</v>
      </c>
    </row>
    <row r="317" spans="1:29" x14ac:dyDescent="0.25">
      <c r="A317" s="1">
        <v>1981.58</v>
      </c>
      <c r="B317">
        <v>100</v>
      </c>
      <c r="D317" s="2">
        <v>50464.800000000003</v>
      </c>
      <c r="E317">
        <v>13352</v>
      </c>
      <c r="F317" t="s">
        <v>15</v>
      </c>
      <c r="G317" t="s">
        <v>23</v>
      </c>
      <c r="H317">
        <v>63816</v>
      </c>
      <c r="I317" t="s">
        <v>17</v>
      </c>
      <c r="J317" t="s">
        <v>23</v>
      </c>
      <c r="K317">
        <v>13352.1</v>
      </c>
      <c r="L317">
        <v>63816.91</v>
      </c>
      <c r="M317">
        <v>4</v>
      </c>
      <c r="Y317" s="1">
        <f t="shared" si="20"/>
        <v>1981.58</v>
      </c>
      <c r="Z317" s="2">
        <f t="shared" si="21"/>
        <v>50464.800000000003</v>
      </c>
      <c r="AA317" s="2">
        <f t="shared" si="22"/>
        <v>50464.780629598608</v>
      </c>
      <c r="AB317" s="1">
        <f t="shared" si="23"/>
        <v>6.273347041996756E-2</v>
      </c>
      <c r="AC317" s="1" t="b">
        <f t="shared" si="24"/>
        <v>1</v>
      </c>
    </row>
    <row r="318" spans="1:29" x14ac:dyDescent="0.25">
      <c r="A318" s="1">
        <v>1981.4490000000001</v>
      </c>
      <c r="B318">
        <v>2</v>
      </c>
      <c r="D318" s="2">
        <v>50468.1</v>
      </c>
      <c r="E318">
        <v>15454</v>
      </c>
      <c r="F318" t="s">
        <v>15</v>
      </c>
      <c r="G318" t="s">
        <v>50</v>
      </c>
      <c r="H318">
        <v>65922</v>
      </c>
      <c r="I318" t="s">
        <v>17</v>
      </c>
      <c r="J318" t="s">
        <v>23</v>
      </c>
      <c r="K318">
        <v>15454.16</v>
      </c>
      <c r="L318">
        <v>65922.42</v>
      </c>
      <c r="M318">
        <v>4</v>
      </c>
      <c r="Y318" s="1">
        <f t="shared" si="20"/>
        <v>1981.4490000000001</v>
      </c>
      <c r="Z318" s="2">
        <f t="shared" si="21"/>
        <v>50468.1</v>
      </c>
      <c r="AA318" s="2">
        <f t="shared" si="22"/>
        <v>50468.11701941357</v>
      </c>
      <c r="AB318" s="1">
        <f t="shared" si="23"/>
        <v>6.2735154177426117E-2</v>
      </c>
      <c r="AC318" s="1" t="b">
        <f t="shared" si="24"/>
        <v>1</v>
      </c>
    </row>
    <row r="319" spans="1:29" x14ac:dyDescent="0.25">
      <c r="A319" s="1">
        <v>1981.14</v>
      </c>
      <c r="B319">
        <v>4</v>
      </c>
      <c r="D319" s="2">
        <v>50476</v>
      </c>
      <c r="M319">
        <v>4</v>
      </c>
      <c r="Y319" s="1">
        <f t="shared" si="20"/>
        <v>1981.14</v>
      </c>
      <c r="Z319" s="2">
        <f t="shared" si="21"/>
        <v>50476</v>
      </c>
      <c r="AA319" s="2">
        <f t="shared" si="22"/>
        <v>50475.988572236187</v>
      </c>
      <c r="AB319" s="1">
        <f t="shared" si="23"/>
        <v>6.2739127111722595E-2</v>
      </c>
      <c r="AC319" s="1" t="b">
        <f t="shared" si="24"/>
        <v>1</v>
      </c>
    </row>
    <row r="320" spans="1:29" x14ac:dyDescent="0.25">
      <c r="A320" s="1">
        <v>1980.95</v>
      </c>
      <c r="B320">
        <v>10</v>
      </c>
      <c r="D320" s="2">
        <v>50480.800000000003</v>
      </c>
      <c r="E320">
        <v>18063</v>
      </c>
      <c r="F320" t="s">
        <v>15</v>
      </c>
      <c r="G320" t="s">
        <v>16</v>
      </c>
      <c r="H320">
        <v>68544</v>
      </c>
      <c r="I320" t="s">
        <v>17</v>
      </c>
      <c r="J320" t="s">
        <v>16</v>
      </c>
      <c r="K320">
        <v>18063.36</v>
      </c>
      <c r="L320">
        <v>68544.19</v>
      </c>
      <c r="M320">
        <v>4</v>
      </c>
      <c r="Y320" s="1">
        <f t="shared" si="20"/>
        <v>1980.95</v>
      </c>
      <c r="Z320" s="2">
        <f t="shared" si="21"/>
        <v>50480.800000000003</v>
      </c>
      <c r="AA320" s="2">
        <f t="shared" si="22"/>
        <v>50480.829904843631</v>
      </c>
      <c r="AB320" s="1">
        <f t="shared" si="23"/>
        <v>6.2741570939408783E-2</v>
      </c>
      <c r="AC320" s="1" t="b">
        <f t="shared" si="24"/>
        <v>1</v>
      </c>
    </row>
    <row r="321" spans="1:29" x14ac:dyDescent="0.25">
      <c r="A321" s="1">
        <v>1980.867</v>
      </c>
      <c r="B321">
        <v>2</v>
      </c>
      <c r="D321" s="2">
        <v>50483</v>
      </c>
      <c r="E321">
        <v>30505</v>
      </c>
      <c r="F321" t="s">
        <v>15</v>
      </c>
      <c r="G321" t="s">
        <v>23</v>
      </c>
      <c r="H321">
        <v>80988</v>
      </c>
      <c r="I321" t="s">
        <v>17</v>
      </c>
      <c r="J321" t="s">
        <v>50</v>
      </c>
      <c r="K321">
        <v>30505.72</v>
      </c>
      <c r="L321">
        <v>80988.759999999995</v>
      </c>
      <c r="M321">
        <v>4</v>
      </c>
      <c r="Y321" s="1">
        <f t="shared" si="20"/>
        <v>1980.867</v>
      </c>
      <c r="Z321" s="2">
        <f t="shared" si="21"/>
        <v>50483</v>
      </c>
      <c r="AA321" s="2">
        <f t="shared" si="22"/>
        <v>50482.945094244089</v>
      </c>
      <c r="AB321" s="1">
        <f t="shared" si="23"/>
        <v>6.2742638726942315E-2</v>
      </c>
      <c r="AC321" s="1" t="b">
        <f t="shared" si="24"/>
        <v>1</v>
      </c>
    </row>
    <row r="322" spans="1:29" x14ac:dyDescent="0.25">
      <c r="A322" s="1">
        <v>1980.287</v>
      </c>
      <c r="B322">
        <v>200</v>
      </c>
      <c r="D322" s="2">
        <v>50497.7</v>
      </c>
      <c r="M322">
        <v>4</v>
      </c>
      <c r="Y322" s="1">
        <f t="shared" si="20"/>
        <v>1980.287</v>
      </c>
      <c r="Z322" s="2">
        <f t="shared" si="21"/>
        <v>50497.7</v>
      </c>
      <c r="AA322" s="2">
        <f t="shared" si="22"/>
        <v>50497.730884462704</v>
      </c>
      <c r="AB322" s="1">
        <f t="shared" si="23"/>
        <v>6.2750104122398093E-2</v>
      </c>
      <c r="AC322" s="1" t="b">
        <f t="shared" si="24"/>
        <v>1</v>
      </c>
    </row>
    <row r="323" spans="1:29" x14ac:dyDescent="0.25">
      <c r="A323" s="1">
        <v>1980.191</v>
      </c>
      <c r="B323">
        <v>100</v>
      </c>
      <c r="C323" t="s">
        <v>123</v>
      </c>
      <c r="D323" s="2">
        <v>50500.2</v>
      </c>
      <c r="E323">
        <v>38448</v>
      </c>
      <c r="F323" t="s">
        <v>15</v>
      </c>
      <c r="G323" t="s">
        <v>16</v>
      </c>
      <c r="H323">
        <v>88948</v>
      </c>
      <c r="I323" t="s">
        <v>17</v>
      </c>
      <c r="J323" t="s">
        <v>16</v>
      </c>
      <c r="K323">
        <v>38448.379999999997</v>
      </c>
      <c r="L323">
        <v>88948.6</v>
      </c>
      <c r="M323">
        <v>4</v>
      </c>
      <c r="Y323" s="1">
        <f t="shared" ref="Y323:Y386" si="25">ROUND($A323,3)+0</f>
        <v>1980.191</v>
      </c>
      <c r="Z323" s="2">
        <f t="shared" ref="Z323:Z386" si="26">ROUND($D323,1)+0</f>
        <v>50500.2</v>
      </c>
      <c r="AA323" s="2">
        <f t="shared" ref="AA323:AA386" si="27">100000000/Y323</f>
        <v>50500.179023134639</v>
      </c>
      <c r="AB323" s="1">
        <f t="shared" ref="AB323:AB386" si="28">0.0005/$Y323*AA323+0.05</f>
        <v>6.2751340406843242E-2</v>
      </c>
      <c r="AC323" s="1" t="b">
        <f t="shared" ref="AC323:AC386" si="29">ABS(Z323-AA323)&lt;AB323</f>
        <v>1</v>
      </c>
    </row>
    <row r="324" spans="1:29" x14ac:dyDescent="0.25">
      <c r="A324" s="1">
        <v>1979.7449999999999</v>
      </c>
      <c r="B324">
        <v>5</v>
      </c>
      <c r="C324" t="s">
        <v>124</v>
      </c>
      <c r="D324" s="2">
        <v>50511.6</v>
      </c>
      <c r="M324">
        <v>4</v>
      </c>
      <c r="Y324" s="1">
        <f t="shared" si="25"/>
        <v>1979.7449999999999</v>
      </c>
      <c r="Z324" s="2">
        <f t="shared" si="26"/>
        <v>50511.6</v>
      </c>
      <c r="AA324" s="2">
        <f t="shared" si="27"/>
        <v>50511.55578117384</v>
      </c>
      <c r="AB324" s="1">
        <f t="shared" si="28"/>
        <v>6.2757086337173182E-2</v>
      </c>
      <c r="AC324" s="1" t="b">
        <f t="shared" si="29"/>
        <v>1</v>
      </c>
    </row>
    <row r="325" spans="1:29" x14ac:dyDescent="0.25">
      <c r="A325" s="1">
        <v>1979.692</v>
      </c>
      <c r="B325">
        <v>20</v>
      </c>
      <c r="D325" s="2">
        <v>50512.9</v>
      </c>
      <c r="E325">
        <v>15454</v>
      </c>
      <c r="F325" t="s">
        <v>15</v>
      </c>
      <c r="G325" t="s">
        <v>50</v>
      </c>
      <c r="H325">
        <v>65967</v>
      </c>
      <c r="I325" t="s">
        <v>17</v>
      </c>
      <c r="J325" t="s">
        <v>50</v>
      </c>
      <c r="K325">
        <v>15454.16</v>
      </c>
      <c r="L325">
        <v>65967.149999999994</v>
      </c>
      <c r="M325">
        <v>4</v>
      </c>
      <c r="Y325" s="1">
        <f t="shared" si="25"/>
        <v>1979.692</v>
      </c>
      <c r="Z325" s="2">
        <f t="shared" si="26"/>
        <v>50512.9</v>
      </c>
      <c r="AA325" s="2">
        <f t="shared" si="27"/>
        <v>50512.908068527831</v>
      </c>
      <c r="AB325" s="1">
        <f t="shared" si="28"/>
        <v>6.2757769407697728E-2</v>
      </c>
      <c r="AC325" s="1" t="b">
        <f t="shared" si="29"/>
        <v>1</v>
      </c>
    </row>
    <row r="326" spans="1:29" x14ac:dyDescent="0.25">
      <c r="A326" s="1">
        <v>1978.4269999999999</v>
      </c>
      <c r="B326">
        <v>200</v>
      </c>
      <c r="D326" s="2">
        <v>50545.2</v>
      </c>
      <c r="E326">
        <v>16135</v>
      </c>
      <c r="F326" t="s">
        <v>15</v>
      </c>
      <c r="G326" t="s">
        <v>18</v>
      </c>
      <c r="H326">
        <v>66681</v>
      </c>
      <c r="I326" t="s">
        <v>17</v>
      </c>
      <c r="J326" t="s">
        <v>28</v>
      </c>
      <c r="K326">
        <v>16135.97</v>
      </c>
      <c r="L326">
        <v>66681.14</v>
      </c>
      <c r="M326">
        <v>4</v>
      </c>
      <c r="Y326" s="1">
        <f t="shared" si="25"/>
        <v>1978.4269999999999</v>
      </c>
      <c r="Z326" s="2">
        <f t="shared" si="26"/>
        <v>50545.2</v>
      </c>
      <c r="AA326" s="2">
        <f t="shared" si="27"/>
        <v>50545.205863041701</v>
      </c>
      <c r="AB326" s="1">
        <f t="shared" si="28"/>
        <v>6.2774089178686321E-2</v>
      </c>
      <c r="AC326" s="1" t="b">
        <f t="shared" si="29"/>
        <v>1</v>
      </c>
    </row>
    <row r="327" spans="1:29" x14ac:dyDescent="0.25">
      <c r="A327" s="1">
        <v>1975.85</v>
      </c>
      <c r="B327">
        <v>2</v>
      </c>
      <c r="D327" s="2">
        <v>50611.1</v>
      </c>
      <c r="E327">
        <v>17627</v>
      </c>
      <c r="F327" t="s">
        <v>15</v>
      </c>
      <c r="G327" t="s">
        <v>16</v>
      </c>
      <c r="H327">
        <v>68238</v>
      </c>
      <c r="I327" t="s">
        <v>17</v>
      </c>
      <c r="J327" t="s">
        <v>23</v>
      </c>
      <c r="K327">
        <v>17627</v>
      </c>
      <c r="L327">
        <v>68238.12</v>
      </c>
      <c r="M327">
        <v>4</v>
      </c>
      <c r="Y327" s="1">
        <f t="shared" si="25"/>
        <v>1975.85</v>
      </c>
      <c r="Z327" s="2">
        <f t="shared" si="26"/>
        <v>50611.1</v>
      </c>
      <c r="AA327" s="2">
        <f t="shared" si="27"/>
        <v>50611.129387352281</v>
      </c>
      <c r="AB327" s="1">
        <f t="shared" si="28"/>
        <v>6.2807432089316578E-2</v>
      </c>
      <c r="AC327" s="1" t="b">
        <f t="shared" si="29"/>
        <v>1</v>
      </c>
    </row>
    <row r="328" spans="1:29" x14ac:dyDescent="0.25">
      <c r="A328" s="1">
        <v>1975.7819999999999</v>
      </c>
      <c r="B328">
        <v>4</v>
      </c>
      <c r="D328" s="2">
        <v>50612.9</v>
      </c>
      <c r="M328">
        <v>4</v>
      </c>
      <c r="Y328" s="1">
        <f t="shared" si="25"/>
        <v>1975.7819999999999</v>
      </c>
      <c r="Z328" s="2">
        <f t="shared" si="26"/>
        <v>50612.9</v>
      </c>
      <c r="AA328" s="2">
        <f t="shared" si="27"/>
        <v>50612.871258063897</v>
      </c>
      <c r="AB328" s="1">
        <f t="shared" si="28"/>
        <v>6.2808313684926759E-2</v>
      </c>
      <c r="AC328" s="1" t="b">
        <f t="shared" si="29"/>
        <v>1</v>
      </c>
    </row>
    <row r="329" spans="1:29" x14ac:dyDescent="0.25">
      <c r="A329" s="1">
        <v>1975.5820000000001</v>
      </c>
      <c r="B329">
        <v>200</v>
      </c>
      <c r="D329" s="2">
        <v>50618</v>
      </c>
      <c r="E329">
        <v>19360</v>
      </c>
      <c r="F329" t="s">
        <v>15</v>
      </c>
      <c r="G329" t="s">
        <v>50</v>
      </c>
      <c r="H329">
        <v>69978</v>
      </c>
      <c r="I329" t="s">
        <v>17</v>
      </c>
      <c r="J329" t="s">
        <v>23</v>
      </c>
      <c r="K329">
        <v>19360.099999999999</v>
      </c>
      <c r="L329">
        <v>69978.080000000002</v>
      </c>
      <c r="M329">
        <v>4</v>
      </c>
      <c r="Y329" s="1">
        <f t="shared" si="25"/>
        <v>1975.5820000000001</v>
      </c>
      <c r="Z329" s="2">
        <f t="shared" si="26"/>
        <v>50618</v>
      </c>
      <c r="AA329" s="2">
        <f t="shared" si="27"/>
        <v>50617.995102202789</v>
      </c>
      <c r="AB329" s="1">
        <f t="shared" si="28"/>
        <v>6.2810907140833136E-2</v>
      </c>
      <c r="AC329" s="1" t="b">
        <f t="shared" si="29"/>
        <v>1</v>
      </c>
    </row>
    <row r="330" spans="1:29" x14ac:dyDescent="0.25">
      <c r="A330" s="1">
        <v>1975.424</v>
      </c>
      <c r="B330">
        <v>3</v>
      </c>
      <c r="D330" s="2">
        <v>50622</v>
      </c>
      <c r="M330">
        <v>4</v>
      </c>
      <c r="Y330" s="1">
        <f t="shared" si="25"/>
        <v>1975.424</v>
      </c>
      <c r="Z330" s="2">
        <f t="shared" si="26"/>
        <v>50622</v>
      </c>
      <c r="AA330" s="2">
        <f t="shared" si="27"/>
        <v>50622.043672649517</v>
      </c>
      <c r="AB330" s="1">
        <f t="shared" si="28"/>
        <v>6.2812956527978178E-2</v>
      </c>
      <c r="AC330" s="1" t="b">
        <f t="shared" si="29"/>
        <v>1</v>
      </c>
    </row>
    <row r="331" spans="1:29" x14ac:dyDescent="0.25">
      <c r="A331" s="1">
        <v>1973.8489999999999</v>
      </c>
      <c r="B331">
        <v>3</v>
      </c>
      <c r="D331" s="2">
        <v>50662.400000000001</v>
      </c>
      <c r="M331">
        <v>4</v>
      </c>
      <c r="Y331" s="1">
        <f t="shared" si="25"/>
        <v>1973.8489999999999</v>
      </c>
      <c r="Z331" s="2">
        <f t="shared" si="26"/>
        <v>50662.400000000001</v>
      </c>
      <c r="AA331" s="2">
        <f t="shared" si="27"/>
        <v>50662.436690952549</v>
      </c>
      <c r="AB331" s="1">
        <f t="shared" si="28"/>
        <v>6.2833412457323878E-2</v>
      </c>
      <c r="AC331" s="1" t="b">
        <f t="shared" si="29"/>
        <v>1</v>
      </c>
    </row>
    <row r="332" spans="1:29" x14ac:dyDescent="0.25">
      <c r="A332" s="1">
        <v>1973.59</v>
      </c>
      <c r="B332">
        <v>2</v>
      </c>
      <c r="D332" s="2">
        <v>50669.1</v>
      </c>
      <c r="E332">
        <v>19308</v>
      </c>
      <c r="F332" t="s">
        <v>15</v>
      </c>
      <c r="G332" t="s">
        <v>23</v>
      </c>
      <c r="H332">
        <v>69978</v>
      </c>
      <c r="I332" t="s">
        <v>17</v>
      </c>
      <c r="J332" t="s">
        <v>23</v>
      </c>
      <c r="K332">
        <v>19308.93</v>
      </c>
      <c r="L332">
        <v>69978.080000000002</v>
      </c>
      <c r="M332">
        <v>4</v>
      </c>
      <c r="Y332" s="1">
        <f t="shared" si="25"/>
        <v>1973.59</v>
      </c>
      <c r="Z332" s="2">
        <f t="shared" si="26"/>
        <v>50669.1</v>
      </c>
      <c r="AA332" s="2">
        <f t="shared" si="27"/>
        <v>50669.085271003605</v>
      </c>
      <c r="AB332" s="1">
        <f t="shared" si="28"/>
        <v>6.283678101100118E-2</v>
      </c>
      <c r="AC332" s="1" t="b">
        <f t="shared" si="29"/>
        <v>1</v>
      </c>
    </row>
    <row r="333" spans="1:29" x14ac:dyDescent="0.25">
      <c r="A333" s="1">
        <v>1973.367</v>
      </c>
      <c r="B333">
        <v>10</v>
      </c>
      <c r="D333" s="2">
        <v>50674.8</v>
      </c>
      <c r="E333">
        <v>28720</v>
      </c>
      <c r="F333" t="s">
        <v>15</v>
      </c>
      <c r="G333" t="s">
        <v>16</v>
      </c>
      <c r="H333">
        <v>79395</v>
      </c>
      <c r="I333" t="s">
        <v>17</v>
      </c>
      <c r="J333" t="s">
        <v>18</v>
      </c>
      <c r="K333">
        <v>28720.71</v>
      </c>
      <c r="L333">
        <v>79395.55</v>
      </c>
      <c r="M333">
        <v>4</v>
      </c>
      <c r="Y333" s="1">
        <f t="shared" si="25"/>
        <v>1973.367</v>
      </c>
      <c r="Z333" s="2">
        <f t="shared" si="26"/>
        <v>50674.8</v>
      </c>
      <c r="AA333" s="2">
        <f t="shared" si="27"/>
        <v>50674.811122310246</v>
      </c>
      <c r="AB333" s="1">
        <f t="shared" si="28"/>
        <v>6.2839682411409095E-2</v>
      </c>
      <c r="AC333" s="1" t="b">
        <f t="shared" si="29"/>
        <v>1</v>
      </c>
    </row>
    <row r="334" spans="1:29" x14ac:dyDescent="0.25">
      <c r="A334" s="1">
        <v>1972.857</v>
      </c>
      <c r="B334">
        <v>10</v>
      </c>
      <c r="D334" s="2">
        <v>50687.9</v>
      </c>
      <c r="E334">
        <v>20848</v>
      </c>
      <c r="F334" t="s">
        <v>15</v>
      </c>
      <c r="G334" t="s">
        <v>28</v>
      </c>
      <c r="H334">
        <v>71536</v>
      </c>
      <c r="I334" t="s">
        <v>17</v>
      </c>
      <c r="J334" t="s">
        <v>28</v>
      </c>
      <c r="K334">
        <v>20848.39</v>
      </c>
      <c r="L334">
        <v>71536.38</v>
      </c>
      <c r="M334">
        <v>4</v>
      </c>
      <c r="Y334" s="1">
        <f t="shared" si="25"/>
        <v>1972.857</v>
      </c>
      <c r="Z334" s="2">
        <f t="shared" si="26"/>
        <v>50687.9</v>
      </c>
      <c r="AA334" s="2">
        <f t="shared" si="27"/>
        <v>50687.910983918249</v>
      </c>
      <c r="AB334" s="1">
        <f t="shared" si="28"/>
        <v>6.28463215995681E-2</v>
      </c>
      <c r="AC334" s="1" t="b">
        <f t="shared" si="29"/>
        <v>1</v>
      </c>
    </row>
    <row r="335" spans="1:29" x14ac:dyDescent="0.25">
      <c r="A335" s="1">
        <v>1972.617</v>
      </c>
      <c r="B335">
        <v>5</v>
      </c>
      <c r="D335" s="2">
        <v>50694.1</v>
      </c>
      <c r="E335">
        <v>15454</v>
      </c>
      <c r="F335" t="s">
        <v>15</v>
      </c>
      <c r="G335" t="s">
        <v>50</v>
      </c>
      <c r="H335">
        <v>66148</v>
      </c>
      <c r="I335" t="s">
        <v>17</v>
      </c>
      <c r="J335" t="s">
        <v>50</v>
      </c>
      <c r="K335">
        <v>15454.16</v>
      </c>
      <c r="L335">
        <v>66148.399999999994</v>
      </c>
      <c r="M335">
        <v>4</v>
      </c>
      <c r="Y335" s="1">
        <f t="shared" si="25"/>
        <v>1972.617</v>
      </c>
      <c r="Z335" s="2">
        <f t="shared" si="26"/>
        <v>50694.1</v>
      </c>
      <c r="AA335" s="2">
        <f t="shared" si="27"/>
        <v>50694.077968505801</v>
      </c>
      <c r="AB335" s="1">
        <f t="shared" si="28"/>
        <v>6.2849447705384726E-2</v>
      </c>
      <c r="AC335" s="1" t="b">
        <f t="shared" si="29"/>
        <v>1</v>
      </c>
    </row>
    <row r="336" spans="1:29" x14ac:dyDescent="0.25">
      <c r="A336" s="1">
        <v>1972.2</v>
      </c>
      <c r="B336">
        <v>30</v>
      </c>
      <c r="D336" s="2">
        <v>50704.800000000003</v>
      </c>
      <c r="E336">
        <v>17627</v>
      </c>
      <c r="F336" t="s">
        <v>15</v>
      </c>
      <c r="G336" t="s">
        <v>16</v>
      </c>
      <c r="H336">
        <v>68331</v>
      </c>
      <c r="I336" t="s">
        <v>17</v>
      </c>
      <c r="J336" t="s">
        <v>18</v>
      </c>
      <c r="K336">
        <v>17627</v>
      </c>
      <c r="L336">
        <v>68331.73</v>
      </c>
      <c r="M336">
        <v>4</v>
      </c>
      <c r="Y336" s="1">
        <f t="shared" si="25"/>
        <v>1972.2</v>
      </c>
      <c r="Z336" s="2">
        <f t="shared" si="26"/>
        <v>50704.800000000003</v>
      </c>
      <c r="AA336" s="2">
        <f t="shared" si="27"/>
        <v>50704.796673765341</v>
      </c>
      <c r="AB336" s="1">
        <f t="shared" si="28"/>
        <v>6.2854882028639425E-2</v>
      </c>
      <c r="AC336" s="1" t="b">
        <f t="shared" si="29"/>
        <v>1</v>
      </c>
    </row>
    <row r="337" spans="1:29" x14ac:dyDescent="0.25">
      <c r="A337" s="1">
        <v>1971.913</v>
      </c>
      <c r="B337">
        <v>2</v>
      </c>
      <c r="D337" s="2">
        <v>50712.2</v>
      </c>
      <c r="M337">
        <v>4</v>
      </c>
      <c r="Y337" s="1">
        <f t="shared" si="25"/>
        <v>1971.913</v>
      </c>
      <c r="Z337" s="2">
        <f t="shared" si="26"/>
        <v>50712.2</v>
      </c>
      <c r="AA337" s="2">
        <f t="shared" si="27"/>
        <v>50712.176449975224</v>
      </c>
      <c r="AB337" s="1">
        <f t="shared" si="28"/>
        <v>6.2858624201467109E-2</v>
      </c>
      <c r="AC337" s="1" t="b">
        <f t="shared" si="29"/>
        <v>1</v>
      </c>
    </row>
    <row r="338" spans="1:29" x14ac:dyDescent="0.25">
      <c r="A338" s="1">
        <v>1971.73</v>
      </c>
      <c r="B338">
        <v>15</v>
      </c>
      <c r="D338" s="2">
        <v>50716.9</v>
      </c>
      <c r="E338">
        <v>16135</v>
      </c>
      <c r="F338" t="s">
        <v>15</v>
      </c>
      <c r="G338" t="s">
        <v>18</v>
      </c>
      <c r="H338">
        <v>66852</v>
      </c>
      <c r="I338" t="s">
        <v>17</v>
      </c>
      <c r="J338" t="s">
        <v>18</v>
      </c>
      <c r="K338">
        <v>16135.97</v>
      </c>
      <c r="L338">
        <v>66852.87</v>
      </c>
      <c r="M338">
        <v>4</v>
      </c>
      <c r="Y338" s="1">
        <f t="shared" si="25"/>
        <v>1971.73</v>
      </c>
      <c r="Z338" s="2">
        <f t="shared" si="26"/>
        <v>50716.9</v>
      </c>
      <c r="AA338" s="2">
        <f t="shared" si="27"/>
        <v>50716.883143229548</v>
      </c>
      <c r="AB338" s="1">
        <f t="shared" si="28"/>
        <v>6.2861011178820009E-2</v>
      </c>
      <c r="AC338" s="1" t="b">
        <f t="shared" si="29"/>
        <v>1</v>
      </c>
    </row>
    <row r="339" spans="1:29" x14ac:dyDescent="0.25">
      <c r="A339" s="1">
        <v>1971.636</v>
      </c>
      <c r="B339">
        <v>200</v>
      </c>
      <c r="D339" s="2">
        <v>50719.3</v>
      </c>
      <c r="M339">
        <v>4</v>
      </c>
      <c r="Y339" s="1">
        <f t="shared" si="25"/>
        <v>1971.636</v>
      </c>
      <c r="Z339" s="2">
        <f t="shared" si="26"/>
        <v>50719.3</v>
      </c>
      <c r="AA339" s="2">
        <f t="shared" si="27"/>
        <v>50719.30112860589</v>
      </c>
      <c r="AB339" s="1">
        <f t="shared" si="28"/>
        <v>6.2862237534871024E-2</v>
      </c>
      <c r="AC339" s="1" t="b">
        <f t="shared" si="29"/>
        <v>1</v>
      </c>
    </row>
    <row r="340" spans="1:29" x14ac:dyDescent="0.25">
      <c r="A340" s="1">
        <v>1971.287</v>
      </c>
      <c r="B340">
        <v>4</v>
      </c>
      <c r="D340" s="2">
        <v>50728.3</v>
      </c>
      <c r="E340">
        <v>25033</v>
      </c>
      <c r="F340" t="s">
        <v>15</v>
      </c>
      <c r="G340" t="s">
        <v>16</v>
      </c>
      <c r="H340">
        <v>75762</v>
      </c>
      <c r="I340" t="s">
        <v>17</v>
      </c>
      <c r="J340" t="s">
        <v>16</v>
      </c>
      <c r="K340">
        <v>25033.91</v>
      </c>
      <c r="L340">
        <v>75762.23</v>
      </c>
      <c r="M340">
        <v>4</v>
      </c>
      <c r="Y340" s="1">
        <f t="shared" si="25"/>
        <v>1971.287</v>
      </c>
      <c r="Z340" s="2">
        <f t="shared" si="26"/>
        <v>50728.3</v>
      </c>
      <c r="AA340" s="2">
        <f t="shared" si="27"/>
        <v>50728.280559857594</v>
      </c>
      <c r="AB340" s="1">
        <f t="shared" si="28"/>
        <v>6.2866792242798133E-2</v>
      </c>
      <c r="AC340" s="1" t="b">
        <f t="shared" si="29"/>
        <v>1</v>
      </c>
    </row>
    <row r="341" spans="1:29" x14ac:dyDescent="0.25">
      <c r="A341" s="1">
        <v>1971.248</v>
      </c>
      <c r="B341">
        <v>4</v>
      </c>
      <c r="D341" s="2">
        <v>50729.3</v>
      </c>
      <c r="M341">
        <v>4</v>
      </c>
      <c r="Y341" s="1">
        <f t="shared" si="25"/>
        <v>1971.248</v>
      </c>
      <c r="Z341" s="2">
        <f t="shared" si="26"/>
        <v>50729.3</v>
      </c>
      <c r="AA341" s="2">
        <f t="shared" si="27"/>
        <v>50729.284189508369</v>
      </c>
      <c r="AB341" s="1">
        <f t="shared" si="28"/>
        <v>6.2867301371899525E-2</v>
      </c>
      <c r="AC341" s="1" t="b">
        <f t="shared" si="29"/>
        <v>1</v>
      </c>
    </row>
    <row r="342" spans="1:29" x14ac:dyDescent="0.25">
      <c r="A342" s="1">
        <v>1970.5730000000001</v>
      </c>
      <c r="B342">
        <v>80</v>
      </c>
      <c r="D342" s="2">
        <v>50746.7</v>
      </c>
      <c r="E342">
        <v>12846</v>
      </c>
      <c r="F342" t="s">
        <v>15</v>
      </c>
      <c r="G342" t="s">
        <v>16</v>
      </c>
      <c r="H342">
        <v>63593</v>
      </c>
      <c r="I342" t="s">
        <v>17</v>
      </c>
      <c r="J342" t="s">
        <v>16</v>
      </c>
      <c r="K342">
        <v>12846.66</v>
      </c>
      <c r="L342">
        <v>63593.35</v>
      </c>
      <c r="M342">
        <v>4</v>
      </c>
      <c r="Y342" s="1">
        <f t="shared" si="25"/>
        <v>1970.5730000000001</v>
      </c>
      <c r="Z342" s="2">
        <f t="shared" si="26"/>
        <v>50746.7</v>
      </c>
      <c r="AA342" s="2">
        <f t="shared" si="27"/>
        <v>50746.660996573075</v>
      </c>
      <c r="AB342" s="1">
        <f t="shared" si="28"/>
        <v>6.2876118011505555E-2</v>
      </c>
      <c r="AC342" s="1" t="b">
        <f t="shared" si="29"/>
        <v>1</v>
      </c>
    </row>
    <row r="343" spans="1:29" x14ac:dyDescent="0.25">
      <c r="A343" s="1">
        <v>1970.0909999999999</v>
      </c>
      <c r="B343">
        <v>1</v>
      </c>
      <c r="D343" s="2">
        <v>50759.1</v>
      </c>
      <c r="E343">
        <v>39870</v>
      </c>
      <c r="F343" t="s">
        <v>15</v>
      </c>
      <c r="G343" t="s">
        <v>16</v>
      </c>
      <c r="H343">
        <v>90629</v>
      </c>
      <c r="I343" t="s">
        <v>17</v>
      </c>
      <c r="J343" t="s">
        <v>16</v>
      </c>
      <c r="K343">
        <v>39870.17</v>
      </c>
      <c r="L343">
        <v>90629.2</v>
      </c>
      <c r="M343">
        <v>4</v>
      </c>
      <c r="Y343" s="1">
        <f t="shared" si="25"/>
        <v>1970.0909999999999</v>
      </c>
      <c r="Z343" s="2">
        <f t="shared" si="26"/>
        <v>50759.1</v>
      </c>
      <c r="AA343" s="2">
        <f t="shared" si="27"/>
        <v>50759.076611181925</v>
      </c>
      <c r="AB343" s="1">
        <f t="shared" si="28"/>
        <v>6.2882419292099187E-2</v>
      </c>
      <c r="AC343" s="1" t="b">
        <f t="shared" si="29"/>
        <v>1</v>
      </c>
    </row>
    <row r="344" spans="1:29" x14ac:dyDescent="0.25">
      <c r="A344" s="1">
        <v>1969.7909999999999</v>
      </c>
      <c r="B344">
        <v>40</v>
      </c>
      <c r="D344" s="2">
        <v>50766.8</v>
      </c>
      <c r="E344">
        <v>18211</v>
      </c>
      <c r="F344" t="s">
        <v>15</v>
      </c>
      <c r="G344" t="s">
        <v>28</v>
      </c>
      <c r="H344">
        <v>68978</v>
      </c>
      <c r="I344" t="s">
        <v>17</v>
      </c>
      <c r="J344" t="s">
        <v>28</v>
      </c>
      <c r="K344">
        <v>18211.759999999998</v>
      </c>
      <c r="L344">
        <v>68978.55</v>
      </c>
      <c r="M344">
        <v>4</v>
      </c>
      <c r="Y344" s="1">
        <f t="shared" si="25"/>
        <v>1969.7909999999999</v>
      </c>
      <c r="Z344" s="2">
        <f t="shared" si="26"/>
        <v>50766.8</v>
      </c>
      <c r="AA344" s="2">
        <f t="shared" si="27"/>
        <v>50766.807239955917</v>
      </c>
      <c r="AB344" s="1">
        <f t="shared" si="28"/>
        <v>6.2886343586694204E-2</v>
      </c>
      <c r="AC344" s="1" t="b">
        <f t="shared" si="29"/>
        <v>1</v>
      </c>
    </row>
    <row r="345" spans="1:29" x14ac:dyDescent="0.25">
      <c r="A345" s="1">
        <v>1969.65</v>
      </c>
      <c r="B345">
        <v>20</v>
      </c>
      <c r="D345" s="2">
        <v>50770.400000000001</v>
      </c>
      <c r="E345">
        <v>17534</v>
      </c>
      <c r="F345" t="s">
        <v>15</v>
      </c>
      <c r="G345" t="s">
        <v>57</v>
      </c>
      <c r="H345">
        <v>68305</v>
      </c>
      <c r="I345" t="s">
        <v>17</v>
      </c>
      <c r="J345" t="s">
        <v>57</v>
      </c>
      <c r="K345">
        <v>17534.759999999998</v>
      </c>
      <c r="L345">
        <v>68305.100000000006</v>
      </c>
      <c r="M345">
        <v>4</v>
      </c>
      <c r="Y345" s="1">
        <f t="shared" si="25"/>
        <v>1969.65</v>
      </c>
      <c r="Z345" s="2">
        <f t="shared" si="26"/>
        <v>50770.400000000001</v>
      </c>
      <c r="AA345" s="2">
        <f t="shared" si="27"/>
        <v>50770.4414489884</v>
      </c>
      <c r="AB345" s="1">
        <f t="shared" si="28"/>
        <v>6.2888188624625807E-2</v>
      </c>
      <c r="AC345" s="1" t="b">
        <f t="shared" si="29"/>
        <v>1</v>
      </c>
    </row>
    <row r="346" spans="1:29" x14ac:dyDescent="0.25">
      <c r="A346" s="1">
        <v>1969.4680000000001</v>
      </c>
      <c r="B346">
        <v>10</v>
      </c>
      <c r="D346" s="2">
        <v>50775.1</v>
      </c>
      <c r="E346">
        <v>18211</v>
      </c>
      <c r="F346" t="s">
        <v>15</v>
      </c>
      <c r="G346" t="s">
        <v>28</v>
      </c>
      <c r="H346">
        <v>68987</v>
      </c>
      <c r="I346" t="s">
        <v>17</v>
      </c>
      <c r="J346" t="s">
        <v>18</v>
      </c>
      <c r="K346">
        <v>18211.759999999998</v>
      </c>
      <c r="L346">
        <v>68987.070000000007</v>
      </c>
      <c r="M346">
        <v>4</v>
      </c>
      <c r="Y346" s="1">
        <f t="shared" si="25"/>
        <v>1969.4680000000001</v>
      </c>
      <c r="Z346" s="2">
        <f t="shared" si="26"/>
        <v>50775.1</v>
      </c>
      <c r="AA346" s="2">
        <f t="shared" si="27"/>
        <v>50775.133183174337</v>
      </c>
      <c r="AB346" s="1">
        <f t="shared" si="28"/>
        <v>6.2890570748845465E-2</v>
      </c>
      <c r="AC346" s="1" t="b">
        <f t="shared" si="29"/>
        <v>1</v>
      </c>
    </row>
    <row r="347" spans="1:29" x14ac:dyDescent="0.25">
      <c r="A347" s="1">
        <v>1968.53</v>
      </c>
      <c r="B347">
        <v>60</v>
      </c>
      <c r="D347" s="2">
        <v>50799.3</v>
      </c>
      <c r="M347">
        <v>4</v>
      </c>
      <c r="Y347" s="1">
        <f t="shared" si="25"/>
        <v>1968.53</v>
      </c>
      <c r="Z347" s="2">
        <f t="shared" si="26"/>
        <v>50799.3</v>
      </c>
      <c r="AA347" s="2">
        <f t="shared" si="27"/>
        <v>50799.327416904998</v>
      </c>
      <c r="AB347" s="1">
        <f t="shared" si="28"/>
        <v>6.2902858330049577E-2</v>
      </c>
      <c r="AC347" s="1" t="b">
        <f t="shared" si="29"/>
        <v>1</v>
      </c>
    </row>
    <row r="348" spans="1:29" x14ac:dyDescent="0.25">
      <c r="A348" s="1">
        <v>1968.2270000000001</v>
      </c>
      <c r="B348">
        <v>40</v>
      </c>
      <c r="D348" s="2">
        <v>50807.199999999997</v>
      </c>
      <c r="E348">
        <v>16135</v>
      </c>
      <c r="F348" t="s">
        <v>15</v>
      </c>
      <c r="G348" t="s">
        <v>18</v>
      </c>
      <c r="H348">
        <v>66943</v>
      </c>
      <c r="I348" t="s">
        <v>17</v>
      </c>
      <c r="J348" t="s">
        <v>28</v>
      </c>
      <c r="K348">
        <v>16135.97</v>
      </c>
      <c r="L348">
        <v>66943.039999999994</v>
      </c>
      <c r="M348">
        <v>4</v>
      </c>
      <c r="Y348" s="1">
        <f t="shared" si="25"/>
        <v>1968.2270000000001</v>
      </c>
      <c r="Z348" s="2">
        <f t="shared" si="26"/>
        <v>50807.199999999997</v>
      </c>
      <c r="AA348" s="2">
        <f t="shared" si="27"/>
        <v>50807.14775277445</v>
      </c>
      <c r="AB348" s="1">
        <f t="shared" si="28"/>
        <v>6.2906831313861267E-2</v>
      </c>
      <c r="AC348" s="1" t="b">
        <f t="shared" si="29"/>
        <v>1</v>
      </c>
    </row>
    <row r="349" spans="1:29" x14ac:dyDescent="0.25">
      <c r="A349" s="1">
        <v>1967.6079999999999</v>
      </c>
      <c r="B349">
        <v>10</v>
      </c>
      <c r="D349" s="2">
        <v>50823.1</v>
      </c>
      <c r="E349">
        <v>24470</v>
      </c>
      <c r="F349" t="s">
        <v>15</v>
      </c>
      <c r="G349" t="s">
        <v>18</v>
      </c>
      <c r="H349">
        <v>75294</v>
      </c>
      <c r="I349" t="s">
        <v>17</v>
      </c>
      <c r="J349" t="s">
        <v>18</v>
      </c>
      <c r="K349">
        <v>24470.9</v>
      </c>
      <c r="L349">
        <v>75294</v>
      </c>
      <c r="M349">
        <v>4</v>
      </c>
      <c r="Y349" s="1">
        <f t="shared" si="25"/>
        <v>1967.6079999999999</v>
      </c>
      <c r="Z349" s="2">
        <f t="shared" si="26"/>
        <v>50823.1</v>
      </c>
      <c r="AA349" s="2">
        <f t="shared" si="27"/>
        <v>50823.131436749594</v>
      </c>
      <c r="AB349" s="1">
        <f t="shared" si="28"/>
        <v>6.2914953445185634E-2</v>
      </c>
      <c r="AC349" s="1" t="b">
        <f t="shared" si="29"/>
        <v>1</v>
      </c>
    </row>
    <row r="350" spans="1:29" x14ac:dyDescent="0.25">
      <c r="A350" s="1">
        <v>1967.4469999999999</v>
      </c>
      <c r="B350">
        <v>20</v>
      </c>
      <c r="D350" s="2">
        <v>50827.3</v>
      </c>
      <c r="M350">
        <v>4</v>
      </c>
      <c r="Y350" s="1">
        <f t="shared" si="25"/>
        <v>1967.4469999999999</v>
      </c>
      <c r="Z350" s="2">
        <f t="shared" si="26"/>
        <v>50827.3</v>
      </c>
      <c r="AA350" s="2">
        <f t="shared" si="27"/>
        <v>50827.290392066476</v>
      </c>
      <c r="AB350" s="1">
        <f t="shared" si="28"/>
        <v>6.2917067242997268E-2</v>
      </c>
      <c r="AC350" s="1" t="b">
        <f t="shared" si="29"/>
        <v>1</v>
      </c>
    </row>
    <row r="351" spans="1:29" x14ac:dyDescent="0.25">
      <c r="A351" s="1">
        <v>1967.373</v>
      </c>
      <c r="B351">
        <v>1</v>
      </c>
      <c r="D351" s="2">
        <v>50829.2</v>
      </c>
      <c r="M351">
        <v>4</v>
      </c>
      <c r="Y351" s="1">
        <f t="shared" si="25"/>
        <v>1967.373</v>
      </c>
      <c r="Z351" s="2">
        <f t="shared" si="26"/>
        <v>50829.2</v>
      </c>
      <c r="AA351" s="2">
        <f t="shared" si="27"/>
        <v>50829.202189925345</v>
      </c>
      <c r="AB351" s="1">
        <f t="shared" si="28"/>
        <v>6.2918038976321561E-2</v>
      </c>
      <c r="AC351" s="1" t="b">
        <f t="shared" si="29"/>
        <v>1</v>
      </c>
    </row>
    <row r="352" spans="1:29" x14ac:dyDescent="0.25">
      <c r="A352" s="1">
        <v>1967.2329999999999</v>
      </c>
      <c r="B352">
        <v>1</v>
      </c>
      <c r="D352" s="2">
        <v>50832.800000000003</v>
      </c>
      <c r="E352">
        <v>24461</v>
      </c>
      <c r="F352" t="s">
        <v>15</v>
      </c>
      <c r="G352" t="s">
        <v>28</v>
      </c>
      <c r="H352">
        <v>75294</v>
      </c>
      <c r="I352" t="s">
        <v>17</v>
      </c>
      <c r="J352" t="s">
        <v>18</v>
      </c>
      <c r="K352">
        <v>24461.24</v>
      </c>
      <c r="L352">
        <v>75294</v>
      </c>
      <c r="M352">
        <v>4</v>
      </c>
      <c r="Y352" s="1">
        <f t="shared" si="25"/>
        <v>1967.2329999999999</v>
      </c>
      <c r="Z352" s="2">
        <f t="shared" si="26"/>
        <v>50832.800000000003</v>
      </c>
      <c r="AA352" s="2">
        <f t="shared" si="27"/>
        <v>50832.81949824957</v>
      </c>
      <c r="AB352" s="1">
        <f t="shared" si="28"/>
        <v>6.2919877690708115E-2</v>
      </c>
      <c r="AC352" s="1" t="b">
        <f t="shared" si="29"/>
        <v>1</v>
      </c>
    </row>
    <row r="353" spans="1:29" x14ac:dyDescent="0.25">
      <c r="A353" s="1">
        <v>1966.71</v>
      </c>
      <c r="B353">
        <v>2</v>
      </c>
      <c r="D353" s="2">
        <v>50846.3</v>
      </c>
      <c r="E353">
        <v>21148</v>
      </c>
      <c r="F353" t="s">
        <v>15</v>
      </c>
      <c r="G353" t="s">
        <v>29</v>
      </c>
      <c r="H353">
        <v>71994</v>
      </c>
      <c r="I353" t="s">
        <v>17</v>
      </c>
      <c r="J353" t="s">
        <v>28</v>
      </c>
      <c r="K353">
        <v>21148.43</v>
      </c>
      <c r="L353">
        <v>71994.81</v>
      </c>
      <c r="M353">
        <v>4</v>
      </c>
      <c r="Y353" s="1">
        <f t="shared" si="25"/>
        <v>1966.71</v>
      </c>
      <c r="Z353" s="2">
        <f t="shared" si="26"/>
        <v>50846.3</v>
      </c>
      <c r="AA353" s="2">
        <f t="shared" si="27"/>
        <v>50846.337284093737</v>
      </c>
      <c r="AB353" s="1">
        <f t="shared" si="28"/>
        <v>6.2926750076039109E-2</v>
      </c>
      <c r="AC353" s="1" t="b">
        <f t="shared" si="29"/>
        <v>1</v>
      </c>
    </row>
    <row r="354" spans="1:29" x14ac:dyDescent="0.25">
      <c r="A354" s="1">
        <v>1966.502</v>
      </c>
      <c r="B354">
        <v>3</v>
      </c>
      <c r="D354" s="2">
        <v>50851.7</v>
      </c>
      <c r="E354">
        <v>24788</v>
      </c>
      <c r="F354" t="s">
        <v>15</v>
      </c>
      <c r="G354" t="s">
        <v>16</v>
      </c>
      <c r="H354">
        <v>75640</v>
      </c>
      <c r="I354" t="s">
        <v>17</v>
      </c>
      <c r="J354" t="s">
        <v>23</v>
      </c>
      <c r="K354">
        <v>24788.02</v>
      </c>
      <c r="L354">
        <v>75640</v>
      </c>
      <c r="M354">
        <v>4</v>
      </c>
      <c r="Y354" s="1">
        <f t="shared" si="25"/>
        <v>1966.502</v>
      </c>
      <c r="Z354" s="2">
        <f t="shared" si="26"/>
        <v>50851.7</v>
      </c>
      <c r="AA354" s="2">
        <f t="shared" si="27"/>
        <v>50851.715380914946</v>
      </c>
      <c r="AB354" s="1">
        <f t="shared" si="28"/>
        <v>6.2929484785907916E-2</v>
      </c>
      <c r="AC354" s="1" t="b">
        <f t="shared" si="29"/>
        <v>1</v>
      </c>
    </row>
    <row r="355" spans="1:29" x14ac:dyDescent="0.25">
      <c r="A355" s="1">
        <v>1966.2080000000001</v>
      </c>
      <c r="B355">
        <v>40</v>
      </c>
      <c r="C355" t="s">
        <v>27</v>
      </c>
      <c r="D355" s="2">
        <v>50859.3</v>
      </c>
      <c r="E355">
        <v>27604</v>
      </c>
      <c r="F355" t="s">
        <v>15</v>
      </c>
      <c r="G355" t="s">
        <v>16</v>
      </c>
      <c r="H355">
        <v>78463</v>
      </c>
      <c r="I355" t="s">
        <v>17</v>
      </c>
      <c r="J355" t="s">
        <v>18</v>
      </c>
      <c r="K355">
        <v>27604.26</v>
      </c>
      <c r="L355">
        <v>78463.600000000006</v>
      </c>
      <c r="M355">
        <v>4</v>
      </c>
      <c r="Y355" s="1">
        <f t="shared" si="25"/>
        <v>1966.2080000000001</v>
      </c>
      <c r="Z355" s="2">
        <f t="shared" si="26"/>
        <v>50859.3</v>
      </c>
      <c r="AA355" s="2">
        <f t="shared" si="27"/>
        <v>50859.319054749038</v>
      </c>
      <c r="AB355" s="1">
        <f t="shared" si="28"/>
        <v>6.29333516735638E-2</v>
      </c>
      <c r="AC355" s="1" t="b">
        <f t="shared" si="29"/>
        <v>1</v>
      </c>
    </row>
    <row r="356" spans="1:29" x14ac:dyDescent="0.25">
      <c r="A356" s="1">
        <v>1966.2080000000001</v>
      </c>
      <c r="B356">
        <v>40</v>
      </c>
      <c r="C356" t="s">
        <v>27</v>
      </c>
      <c r="D356" s="2">
        <v>50859.3</v>
      </c>
      <c r="E356">
        <v>36652</v>
      </c>
      <c r="F356" t="s">
        <v>15</v>
      </c>
      <c r="G356" t="s">
        <v>28</v>
      </c>
      <c r="H356">
        <v>87511</v>
      </c>
      <c r="I356" t="s">
        <v>17</v>
      </c>
      <c r="J356" t="s">
        <v>18</v>
      </c>
      <c r="K356">
        <v>36652.29</v>
      </c>
      <c r="L356">
        <v>87511.6</v>
      </c>
      <c r="M356">
        <v>4</v>
      </c>
      <c r="Y356" s="1">
        <f t="shared" si="25"/>
        <v>1966.2080000000001</v>
      </c>
      <c r="Z356" s="2">
        <f t="shared" si="26"/>
        <v>50859.3</v>
      </c>
      <c r="AA356" s="2">
        <f t="shared" si="27"/>
        <v>50859.319054749038</v>
      </c>
      <c r="AB356" s="1">
        <f t="shared" si="28"/>
        <v>6.29333516735638E-2</v>
      </c>
      <c r="AC356" s="1" t="b">
        <f t="shared" si="29"/>
        <v>1</v>
      </c>
    </row>
    <row r="357" spans="1:29" x14ac:dyDescent="0.25">
      <c r="A357" s="1">
        <v>1965.97</v>
      </c>
      <c r="B357">
        <v>80</v>
      </c>
      <c r="D357" s="2">
        <v>50865.5</v>
      </c>
      <c r="E357">
        <v>17627</v>
      </c>
      <c r="F357" t="s">
        <v>15</v>
      </c>
      <c r="G357" t="s">
        <v>16</v>
      </c>
      <c r="H357">
        <v>68492</v>
      </c>
      <c r="I357" t="s">
        <v>17</v>
      </c>
      <c r="J357" t="s">
        <v>18</v>
      </c>
      <c r="K357">
        <v>17627</v>
      </c>
      <c r="L357">
        <v>68492.429999999993</v>
      </c>
      <c r="M357">
        <v>4</v>
      </c>
      <c r="Y357" s="1">
        <f t="shared" si="25"/>
        <v>1965.97</v>
      </c>
      <c r="Z357" s="2">
        <f t="shared" si="26"/>
        <v>50865.5</v>
      </c>
      <c r="AA357" s="2">
        <f t="shared" si="27"/>
        <v>50865.476075423328</v>
      </c>
      <c r="AB357" s="1">
        <f t="shared" si="28"/>
        <v>6.2936483281897312E-2</v>
      </c>
      <c r="AC357" s="1" t="b">
        <f t="shared" si="29"/>
        <v>1</v>
      </c>
    </row>
    <row r="358" spans="1:29" x14ac:dyDescent="0.25">
      <c r="A358" s="1">
        <v>1965.346</v>
      </c>
      <c r="B358">
        <v>1</v>
      </c>
      <c r="D358" s="2">
        <v>50881.599999999999</v>
      </c>
      <c r="M358">
        <v>4</v>
      </c>
      <c r="Y358" s="1">
        <f t="shared" si="25"/>
        <v>1965.346</v>
      </c>
      <c r="Z358" s="2">
        <f t="shared" si="26"/>
        <v>50881.599999999999</v>
      </c>
      <c r="AA358" s="2">
        <f t="shared" si="27"/>
        <v>50881.625932532996</v>
      </c>
      <c r="AB358" s="1">
        <f t="shared" si="28"/>
        <v>6.2944699287691072E-2</v>
      </c>
      <c r="AC358" s="1" t="b">
        <f t="shared" si="29"/>
        <v>1</v>
      </c>
    </row>
    <row r="359" spans="1:29" x14ac:dyDescent="0.25">
      <c r="A359" s="1">
        <v>1963.9739999999999</v>
      </c>
      <c r="B359">
        <v>2</v>
      </c>
      <c r="D359" s="2">
        <v>50917.2</v>
      </c>
      <c r="E359">
        <v>17627</v>
      </c>
      <c r="F359" t="s">
        <v>15</v>
      </c>
      <c r="G359" t="s">
        <v>16</v>
      </c>
      <c r="H359">
        <v>68544</v>
      </c>
      <c r="I359" t="s">
        <v>17</v>
      </c>
      <c r="J359" t="s">
        <v>16</v>
      </c>
      <c r="K359">
        <v>17627</v>
      </c>
      <c r="L359">
        <v>68544.19</v>
      </c>
      <c r="M359">
        <v>4</v>
      </c>
      <c r="Y359" s="1">
        <f t="shared" si="25"/>
        <v>1963.9739999999999</v>
      </c>
      <c r="Z359" s="2">
        <f t="shared" si="26"/>
        <v>50917.2</v>
      </c>
      <c r="AA359" s="2">
        <f t="shared" si="27"/>
        <v>50917.171001245435</v>
      </c>
      <c r="AB359" s="1">
        <f t="shared" si="28"/>
        <v>6.2962791513850341E-2</v>
      </c>
      <c r="AC359" s="1" t="b">
        <f t="shared" si="29"/>
        <v>1</v>
      </c>
    </row>
    <row r="360" spans="1:29" x14ac:dyDescent="0.25">
      <c r="A360" s="1">
        <v>1963.9110000000001</v>
      </c>
      <c r="B360">
        <v>2</v>
      </c>
      <c r="D360" s="2">
        <v>50918.8</v>
      </c>
      <c r="M360">
        <v>4</v>
      </c>
      <c r="Y360" s="1">
        <f t="shared" si="25"/>
        <v>1963.9110000000001</v>
      </c>
      <c r="Z360" s="2">
        <f t="shared" si="26"/>
        <v>50918.8</v>
      </c>
      <c r="AA360" s="2">
        <f t="shared" si="27"/>
        <v>50918.804365370932</v>
      </c>
      <c r="AB360" s="1">
        <f t="shared" si="28"/>
        <v>6.29636231899946E-2</v>
      </c>
      <c r="AC360" s="1" t="b">
        <f t="shared" si="29"/>
        <v>1</v>
      </c>
    </row>
    <row r="361" spans="1:29" x14ac:dyDescent="0.25">
      <c r="A361" s="1">
        <v>1963.7860000000001</v>
      </c>
      <c r="B361">
        <v>100</v>
      </c>
      <c r="C361" t="s">
        <v>122</v>
      </c>
      <c r="D361" s="2">
        <v>50922</v>
      </c>
      <c r="E361">
        <v>12846</v>
      </c>
      <c r="F361" t="s">
        <v>15</v>
      </c>
      <c r="G361" t="s">
        <v>16</v>
      </c>
      <c r="H361">
        <v>63768</v>
      </c>
      <c r="I361" t="s">
        <v>17</v>
      </c>
      <c r="J361" t="s">
        <v>18</v>
      </c>
      <c r="K361">
        <v>12846.66</v>
      </c>
      <c r="L361">
        <v>63768.66</v>
      </c>
      <c r="M361">
        <v>4</v>
      </c>
      <c r="Y361" s="1">
        <f t="shared" si="25"/>
        <v>1963.7860000000001</v>
      </c>
      <c r="Z361" s="2">
        <f t="shared" si="26"/>
        <v>50922</v>
      </c>
      <c r="AA361" s="2">
        <f t="shared" si="27"/>
        <v>50922.045477460371</v>
      </c>
      <c r="AB361" s="1">
        <f t="shared" si="28"/>
        <v>6.2965273578042713E-2</v>
      </c>
      <c r="AC361" s="1" t="b">
        <f t="shared" si="29"/>
        <v>1</v>
      </c>
    </row>
    <row r="362" spans="1:29" x14ac:dyDescent="0.25">
      <c r="A362" s="1">
        <v>1963.731</v>
      </c>
      <c r="B362">
        <v>20</v>
      </c>
      <c r="C362" t="s">
        <v>122</v>
      </c>
      <c r="D362" s="2">
        <v>50923.5</v>
      </c>
      <c r="E362">
        <v>18063</v>
      </c>
      <c r="F362" t="s">
        <v>15</v>
      </c>
      <c r="G362" t="s">
        <v>16</v>
      </c>
      <c r="H362">
        <v>68987</v>
      </c>
      <c r="I362" t="s">
        <v>17</v>
      </c>
      <c r="J362" t="s">
        <v>18</v>
      </c>
      <c r="K362">
        <v>18063.36</v>
      </c>
      <c r="L362">
        <v>68987.070000000007</v>
      </c>
      <c r="M362">
        <v>4</v>
      </c>
      <c r="Y362" s="1">
        <f t="shared" si="25"/>
        <v>1963.731</v>
      </c>
      <c r="Z362" s="2">
        <f t="shared" si="26"/>
        <v>50923.5</v>
      </c>
      <c r="AA362" s="2">
        <f t="shared" si="27"/>
        <v>50923.47169749828</v>
      </c>
      <c r="AB362" s="1">
        <f t="shared" si="28"/>
        <v>6.296599984862955E-2</v>
      </c>
      <c r="AC362" s="1" t="b">
        <f t="shared" si="29"/>
        <v>1</v>
      </c>
    </row>
    <row r="363" spans="1:29" x14ac:dyDescent="0.25">
      <c r="A363" s="1">
        <v>1963.4010000000001</v>
      </c>
      <c r="B363">
        <v>100</v>
      </c>
      <c r="D363" s="2">
        <v>50932</v>
      </c>
      <c r="M363">
        <v>4</v>
      </c>
      <c r="Y363" s="1">
        <f t="shared" si="25"/>
        <v>1963.4010000000001</v>
      </c>
      <c r="Z363" s="2">
        <f t="shared" si="26"/>
        <v>50932</v>
      </c>
      <c r="AA363" s="2">
        <f t="shared" si="27"/>
        <v>50932.030695716261</v>
      </c>
      <c r="AB363" s="1">
        <f t="shared" si="28"/>
        <v>6.2970358753946923E-2</v>
      </c>
      <c r="AC363" s="1" t="b">
        <f t="shared" si="29"/>
        <v>1</v>
      </c>
    </row>
    <row r="364" spans="1:29" x14ac:dyDescent="0.25">
      <c r="A364" s="1">
        <v>1962.7470000000001</v>
      </c>
      <c r="B364">
        <v>4</v>
      </c>
      <c r="D364" s="2">
        <v>50949</v>
      </c>
      <c r="E364">
        <v>22080</v>
      </c>
      <c r="F364" t="s">
        <v>15</v>
      </c>
      <c r="G364" t="s">
        <v>18</v>
      </c>
      <c r="H364">
        <v>73029</v>
      </c>
      <c r="I364" t="s">
        <v>17</v>
      </c>
      <c r="J364" t="s">
        <v>16</v>
      </c>
      <c r="K364">
        <v>22080.94</v>
      </c>
      <c r="L364">
        <v>73029.899999999994</v>
      </c>
      <c r="M364">
        <v>4</v>
      </c>
      <c r="Y364" s="1">
        <f t="shared" si="25"/>
        <v>1962.7470000000001</v>
      </c>
      <c r="Z364" s="2">
        <f t="shared" si="26"/>
        <v>50949</v>
      </c>
      <c r="AA364" s="2">
        <f t="shared" si="27"/>
        <v>50949.00157789058</v>
      </c>
      <c r="AB364" s="1">
        <f t="shared" si="28"/>
        <v>6.2979003808919493E-2</v>
      </c>
      <c r="AC364" s="1" t="b">
        <f t="shared" si="29"/>
        <v>1</v>
      </c>
    </row>
    <row r="365" spans="1:29" x14ac:dyDescent="0.25">
      <c r="A365" s="1">
        <v>1962.4179999999999</v>
      </c>
      <c r="B365">
        <v>10</v>
      </c>
      <c r="D365" s="2">
        <v>50957.5</v>
      </c>
      <c r="E365">
        <v>25934</v>
      </c>
      <c r="F365" t="s">
        <v>15</v>
      </c>
      <c r="G365" t="s">
        <v>28</v>
      </c>
      <c r="H365">
        <v>76892</v>
      </c>
      <c r="I365" t="s">
        <v>17</v>
      </c>
      <c r="J365" t="s">
        <v>29</v>
      </c>
      <c r="K365">
        <v>25934.98</v>
      </c>
      <c r="L365">
        <v>76892.399999999994</v>
      </c>
      <c r="M365">
        <v>4</v>
      </c>
      <c r="Y365" s="1">
        <f t="shared" si="25"/>
        <v>1962.4179999999999</v>
      </c>
      <c r="Z365" s="2">
        <f t="shared" si="26"/>
        <v>50957.5</v>
      </c>
      <c r="AA365" s="2">
        <f t="shared" si="27"/>
        <v>50957.543194161488</v>
      </c>
      <c r="AB365" s="1">
        <f t="shared" si="28"/>
        <v>6.2983356041924177E-2</v>
      </c>
      <c r="AC365" s="1" t="b">
        <f t="shared" si="29"/>
        <v>1</v>
      </c>
    </row>
    <row r="366" spans="1:29" x14ac:dyDescent="0.25">
      <c r="A366" s="1">
        <v>1961.9290000000001</v>
      </c>
      <c r="B366">
        <v>200</v>
      </c>
      <c r="D366" s="2">
        <v>50970.2</v>
      </c>
      <c r="E366">
        <v>12846</v>
      </c>
      <c r="F366" t="s">
        <v>15</v>
      </c>
      <c r="G366" t="s">
        <v>16</v>
      </c>
      <c r="H366">
        <v>63816</v>
      </c>
      <c r="I366" t="s">
        <v>17</v>
      </c>
      <c r="J366" t="s">
        <v>23</v>
      </c>
      <c r="K366">
        <v>12846.66</v>
      </c>
      <c r="L366">
        <v>63816.91</v>
      </c>
      <c r="M366">
        <v>4</v>
      </c>
      <c r="Y366" s="1">
        <f t="shared" si="25"/>
        <v>1961.9290000000001</v>
      </c>
      <c r="Z366" s="2">
        <f t="shared" si="26"/>
        <v>50970.2</v>
      </c>
      <c r="AA366" s="2">
        <f t="shared" si="27"/>
        <v>50970.244081207828</v>
      </c>
      <c r="AB366" s="1">
        <f t="shared" si="28"/>
        <v>6.2989828908489504E-2</v>
      </c>
      <c r="AC366" s="1" t="b">
        <f t="shared" si="29"/>
        <v>1</v>
      </c>
    </row>
    <row r="367" spans="1:29" x14ac:dyDescent="0.25">
      <c r="A367" s="1">
        <v>1961.2650000000001</v>
      </c>
      <c r="B367">
        <v>3</v>
      </c>
      <c r="D367" s="2">
        <v>50987.5</v>
      </c>
      <c r="M367">
        <v>4</v>
      </c>
      <c r="Y367" s="1">
        <f t="shared" si="25"/>
        <v>1961.2650000000001</v>
      </c>
      <c r="Z367" s="2">
        <f t="shared" si="26"/>
        <v>50987.5</v>
      </c>
      <c r="AA367" s="2">
        <f t="shared" si="27"/>
        <v>50987.50041427344</v>
      </c>
      <c r="AB367" s="1">
        <f t="shared" si="28"/>
        <v>6.2998625992477672E-2</v>
      </c>
      <c r="AC367" s="1" t="b">
        <f t="shared" si="29"/>
        <v>1</v>
      </c>
    </row>
    <row r="368" spans="1:29" x14ac:dyDescent="0.25">
      <c r="A368" s="1">
        <v>1960.7349999999999</v>
      </c>
      <c r="B368">
        <v>10</v>
      </c>
      <c r="D368" s="2">
        <v>51001.3</v>
      </c>
      <c r="M368">
        <v>4</v>
      </c>
      <c r="Y368" s="1">
        <f t="shared" si="25"/>
        <v>1960.7349999999999</v>
      </c>
      <c r="Z368" s="2">
        <f t="shared" si="26"/>
        <v>51001.3</v>
      </c>
      <c r="AA368" s="2">
        <f t="shared" si="27"/>
        <v>51001.282682259458</v>
      </c>
      <c r="AB368" s="1">
        <f t="shared" si="28"/>
        <v>6.3005654176178691E-2</v>
      </c>
      <c r="AC368" s="1" t="b">
        <f t="shared" si="29"/>
        <v>1</v>
      </c>
    </row>
    <row r="369" spans="1:29" x14ac:dyDescent="0.25">
      <c r="A369" s="1">
        <v>1959.961</v>
      </c>
      <c r="B369">
        <v>30</v>
      </c>
      <c r="D369" s="2">
        <v>51021.4</v>
      </c>
      <c r="E369">
        <v>19360</v>
      </c>
      <c r="F369" t="s">
        <v>15</v>
      </c>
      <c r="G369" t="s">
        <v>50</v>
      </c>
      <c r="H369">
        <v>70381</v>
      </c>
      <c r="I369" t="s">
        <v>17</v>
      </c>
      <c r="J369" t="s">
        <v>50</v>
      </c>
      <c r="K369">
        <v>19360.099999999999</v>
      </c>
      <c r="L369">
        <v>70381.48</v>
      </c>
      <c r="M369">
        <v>4</v>
      </c>
      <c r="Y369" s="1">
        <f t="shared" si="25"/>
        <v>1959.961</v>
      </c>
      <c r="Z369" s="2">
        <f t="shared" si="26"/>
        <v>51021.4</v>
      </c>
      <c r="AA369" s="2">
        <f t="shared" si="27"/>
        <v>51021.423385465321</v>
      </c>
      <c r="AB369" s="1">
        <f t="shared" si="28"/>
        <v>6.301592822139454E-2</v>
      </c>
      <c r="AC369" s="1" t="b">
        <f t="shared" si="29"/>
        <v>1</v>
      </c>
    </row>
    <row r="370" spans="1:29" x14ac:dyDescent="0.25">
      <c r="A370" s="1">
        <v>1959.874</v>
      </c>
      <c r="B370">
        <v>10</v>
      </c>
      <c r="C370" t="s">
        <v>124</v>
      </c>
      <c r="D370" s="2">
        <v>51023.7</v>
      </c>
      <c r="E370">
        <v>45807</v>
      </c>
      <c r="F370" t="s">
        <v>15</v>
      </c>
      <c r="G370" t="s">
        <v>28</v>
      </c>
      <c r="H370">
        <v>96830</v>
      </c>
      <c r="I370" t="s">
        <v>17</v>
      </c>
      <c r="J370" t="s">
        <v>18</v>
      </c>
      <c r="K370">
        <v>45807.1</v>
      </c>
      <c r="L370">
        <v>96830.5</v>
      </c>
      <c r="M370">
        <v>4</v>
      </c>
      <c r="Y370" s="1">
        <f t="shared" si="25"/>
        <v>1959.874</v>
      </c>
      <c r="Z370" s="2">
        <f t="shared" si="26"/>
        <v>51023.7</v>
      </c>
      <c r="AA370" s="2">
        <f t="shared" si="27"/>
        <v>51023.688257510432</v>
      </c>
      <c r="AB370" s="1">
        <f t="shared" si="28"/>
        <v>6.301708381699804E-2</v>
      </c>
      <c r="AC370" s="1" t="b">
        <f t="shared" si="29"/>
        <v>1</v>
      </c>
    </row>
    <row r="371" spans="1:29" x14ac:dyDescent="0.25">
      <c r="A371" s="1">
        <v>1958.6869999999999</v>
      </c>
      <c r="B371">
        <v>2</v>
      </c>
      <c r="D371" s="2">
        <v>51054.6</v>
      </c>
      <c r="E371">
        <v>23050</v>
      </c>
      <c r="F371" t="s">
        <v>15</v>
      </c>
      <c r="G371" t="s">
        <v>29</v>
      </c>
      <c r="H371">
        <v>74105</v>
      </c>
      <c r="I371" t="s">
        <v>17</v>
      </c>
      <c r="J371" t="s">
        <v>28</v>
      </c>
      <c r="K371">
        <v>23050.61</v>
      </c>
      <c r="L371">
        <v>74105.2</v>
      </c>
      <c r="M371">
        <v>4</v>
      </c>
      <c r="Y371" s="1">
        <f t="shared" si="25"/>
        <v>1958.6869999999999</v>
      </c>
      <c r="Z371" s="2">
        <f t="shared" si="26"/>
        <v>51054.6</v>
      </c>
      <c r="AA371" s="2">
        <f t="shared" si="27"/>
        <v>51054.609542004415</v>
      </c>
      <c r="AB371" s="1">
        <f t="shared" si="28"/>
        <v>6.303286577743264E-2</v>
      </c>
      <c r="AC371" s="1" t="b">
        <f t="shared" si="29"/>
        <v>1</v>
      </c>
    </row>
    <row r="372" spans="1:29" x14ac:dyDescent="0.25">
      <c r="A372" s="1">
        <v>1958.3869999999999</v>
      </c>
      <c r="B372">
        <v>100</v>
      </c>
      <c r="D372" s="2">
        <v>51062.400000000001</v>
      </c>
      <c r="E372">
        <v>14859</v>
      </c>
      <c r="F372" t="s">
        <v>15</v>
      </c>
      <c r="G372" t="s">
        <v>23</v>
      </c>
      <c r="H372">
        <v>65922</v>
      </c>
      <c r="I372" t="s">
        <v>17</v>
      </c>
      <c r="J372" t="s">
        <v>23</v>
      </c>
      <c r="K372">
        <v>14859.96</v>
      </c>
      <c r="L372">
        <v>65922.42</v>
      </c>
      <c r="M372">
        <v>4</v>
      </c>
      <c r="Y372" s="1">
        <f t="shared" si="25"/>
        <v>1958.3869999999999</v>
      </c>
      <c r="Z372" s="2">
        <f t="shared" si="26"/>
        <v>51062.400000000001</v>
      </c>
      <c r="AA372" s="2">
        <f t="shared" si="27"/>
        <v>51062.430459352523</v>
      </c>
      <c r="AB372" s="1">
        <f t="shared" si="28"/>
        <v>6.303685902208106E-2</v>
      </c>
      <c r="AC372" s="1" t="b">
        <f t="shared" si="29"/>
        <v>1</v>
      </c>
    </row>
    <row r="373" spans="1:29" x14ac:dyDescent="0.25">
      <c r="A373" s="1">
        <v>1958.0530000000001</v>
      </c>
      <c r="B373">
        <v>2</v>
      </c>
      <c r="D373" s="2">
        <v>51071.1</v>
      </c>
      <c r="M373">
        <v>4</v>
      </c>
      <c r="Y373" s="1">
        <f t="shared" si="25"/>
        <v>1958.0530000000001</v>
      </c>
      <c r="Z373" s="2">
        <f t="shared" si="26"/>
        <v>51071.1</v>
      </c>
      <c r="AA373" s="2">
        <f t="shared" si="27"/>
        <v>51071.14056667516</v>
      </c>
      <c r="AB373" s="1">
        <f t="shared" si="28"/>
        <v>6.3041306993905477E-2</v>
      </c>
      <c r="AC373" s="1" t="b">
        <f t="shared" si="29"/>
        <v>1</v>
      </c>
    </row>
    <row r="374" spans="1:29" x14ac:dyDescent="0.25">
      <c r="A374" s="1">
        <v>1958.001</v>
      </c>
      <c r="B374">
        <v>1</v>
      </c>
      <c r="D374" s="2">
        <v>51072.5</v>
      </c>
      <c r="E374">
        <v>19308</v>
      </c>
      <c r="F374" t="s">
        <v>15</v>
      </c>
      <c r="G374" t="s">
        <v>23</v>
      </c>
      <c r="H374">
        <v>70381</v>
      </c>
      <c r="I374" t="s">
        <v>17</v>
      </c>
      <c r="J374" t="s">
        <v>50</v>
      </c>
      <c r="K374">
        <v>19308.93</v>
      </c>
      <c r="L374">
        <v>70381.48</v>
      </c>
      <c r="M374">
        <v>4</v>
      </c>
      <c r="Y374" s="1">
        <f t="shared" si="25"/>
        <v>1958.001</v>
      </c>
      <c r="Z374" s="2">
        <f t="shared" si="26"/>
        <v>51072.5</v>
      </c>
      <c r="AA374" s="2">
        <f t="shared" si="27"/>
        <v>51072.496898622623</v>
      </c>
      <c r="AB374" s="1">
        <f t="shared" si="28"/>
        <v>6.3041999697299095E-2</v>
      </c>
      <c r="AC374" s="1" t="b">
        <f t="shared" si="29"/>
        <v>1</v>
      </c>
    </row>
    <row r="375" spans="1:29" x14ac:dyDescent="0.25">
      <c r="A375" s="1">
        <v>1957.9079999999999</v>
      </c>
      <c r="B375">
        <v>3</v>
      </c>
      <c r="D375" s="2">
        <v>51074.9</v>
      </c>
      <c r="E375">
        <v>18063</v>
      </c>
      <c r="F375" t="s">
        <v>15</v>
      </c>
      <c r="G375" t="s">
        <v>16</v>
      </c>
      <c r="H375">
        <v>69138</v>
      </c>
      <c r="I375" t="s">
        <v>17</v>
      </c>
      <c r="J375" t="s">
        <v>16</v>
      </c>
      <c r="K375">
        <v>18063.36</v>
      </c>
      <c r="L375">
        <v>69138.28</v>
      </c>
      <c r="M375">
        <v>4</v>
      </c>
      <c r="Y375" s="1">
        <f t="shared" si="25"/>
        <v>1957.9079999999999</v>
      </c>
      <c r="Z375" s="2">
        <f t="shared" si="26"/>
        <v>51074.9</v>
      </c>
      <c r="AA375" s="2">
        <f t="shared" si="27"/>
        <v>51074.922825791611</v>
      </c>
      <c r="AB375" s="1">
        <f t="shared" si="28"/>
        <v>6.3043238708302848E-2</v>
      </c>
      <c r="AC375" s="1" t="b">
        <f t="shared" si="29"/>
        <v>1</v>
      </c>
    </row>
    <row r="376" spans="1:29" x14ac:dyDescent="0.25">
      <c r="A376" s="1">
        <v>1957.338</v>
      </c>
      <c r="B376">
        <v>1</v>
      </c>
      <c r="D376" s="2">
        <v>51089.8</v>
      </c>
      <c r="E376">
        <v>24470</v>
      </c>
      <c r="F376" t="s">
        <v>15</v>
      </c>
      <c r="G376" t="s">
        <v>18</v>
      </c>
      <c r="H376">
        <v>75560</v>
      </c>
      <c r="I376" t="s">
        <v>17</v>
      </c>
      <c r="J376" t="s">
        <v>28</v>
      </c>
      <c r="K376">
        <v>24470.9</v>
      </c>
      <c r="L376">
        <v>75560.75</v>
      </c>
      <c r="M376">
        <v>4</v>
      </c>
      <c r="Y376" s="1">
        <f t="shared" si="25"/>
        <v>1957.338</v>
      </c>
      <c r="Z376" s="2">
        <f t="shared" si="26"/>
        <v>51089.8</v>
      </c>
      <c r="AA376" s="2">
        <f t="shared" si="27"/>
        <v>51089.79644803299</v>
      </c>
      <c r="AB376" s="1">
        <f t="shared" si="28"/>
        <v>6.3050836505507218E-2</v>
      </c>
      <c r="AC376" s="1" t="b">
        <f t="shared" si="29"/>
        <v>1</v>
      </c>
    </row>
    <row r="377" spans="1:29" x14ac:dyDescent="0.25">
      <c r="A377" s="1">
        <v>1957.0730000000001</v>
      </c>
      <c r="B377">
        <v>6</v>
      </c>
      <c r="D377" s="2">
        <v>51096.7</v>
      </c>
      <c r="M377">
        <v>4</v>
      </c>
      <c r="Y377" s="1">
        <f t="shared" si="25"/>
        <v>1957.0730000000001</v>
      </c>
      <c r="Z377" s="2">
        <f t="shared" si="26"/>
        <v>51096.7</v>
      </c>
      <c r="AA377" s="2">
        <f t="shared" si="27"/>
        <v>51096.714327978567</v>
      </c>
      <c r="AB377" s="1">
        <f t="shared" si="28"/>
        <v>6.3054371075575252E-2</v>
      </c>
      <c r="AC377" s="1" t="b">
        <f t="shared" si="29"/>
        <v>1</v>
      </c>
    </row>
    <row r="378" spans="1:29" x14ac:dyDescent="0.25">
      <c r="A378" s="1">
        <v>1957.039</v>
      </c>
      <c r="B378">
        <v>3</v>
      </c>
      <c r="D378" s="2">
        <v>51097.599999999999</v>
      </c>
      <c r="E378">
        <v>29263</v>
      </c>
      <c r="F378" t="s">
        <v>15</v>
      </c>
      <c r="G378" t="s">
        <v>50</v>
      </c>
      <c r="H378">
        <v>80360</v>
      </c>
      <c r="I378" t="s">
        <v>17</v>
      </c>
      <c r="J378" t="s">
        <v>23</v>
      </c>
      <c r="K378">
        <v>29263.08</v>
      </c>
      <c r="L378">
        <v>80360.820000000007</v>
      </c>
      <c r="M378">
        <v>4</v>
      </c>
      <c r="Y378" s="1">
        <f t="shared" si="25"/>
        <v>1957.039</v>
      </c>
      <c r="Z378" s="2">
        <f t="shared" si="26"/>
        <v>51097.599999999999</v>
      </c>
      <c r="AA378" s="2">
        <f t="shared" si="27"/>
        <v>51097.602040633836</v>
      </c>
      <c r="AB378" s="1">
        <f t="shared" si="28"/>
        <v>6.3054824671514936E-2</v>
      </c>
      <c r="AC378" s="1" t="b">
        <f t="shared" si="29"/>
        <v>1</v>
      </c>
    </row>
    <row r="379" spans="1:29" x14ac:dyDescent="0.25">
      <c r="A379" s="1">
        <v>1956.9570000000001</v>
      </c>
      <c r="B379">
        <v>20</v>
      </c>
      <c r="D379" s="2">
        <v>51099.7</v>
      </c>
      <c r="E379">
        <v>24461</v>
      </c>
      <c r="F379" t="s">
        <v>15</v>
      </c>
      <c r="G379" t="s">
        <v>28</v>
      </c>
      <c r="H379">
        <v>75560</v>
      </c>
      <c r="I379" t="s">
        <v>17</v>
      </c>
      <c r="J379" t="s">
        <v>28</v>
      </c>
      <c r="K379">
        <v>24461.24</v>
      </c>
      <c r="L379">
        <v>75560.75</v>
      </c>
      <c r="M379">
        <v>4</v>
      </c>
      <c r="Y379" s="1">
        <f t="shared" si="25"/>
        <v>1956.9570000000001</v>
      </c>
      <c r="Z379" s="2">
        <f t="shared" si="26"/>
        <v>51099.7</v>
      </c>
      <c r="AA379" s="2">
        <f t="shared" si="27"/>
        <v>51099.743121591324</v>
      </c>
      <c r="AB379" s="1">
        <f t="shared" si="28"/>
        <v>6.305591873546311E-2</v>
      </c>
      <c r="AC379" s="1" t="b">
        <f t="shared" si="29"/>
        <v>1</v>
      </c>
    </row>
    <row r="380" spans="1:29" x14ac:dyDescent="0.25">
      <c r="A380" s="1">
        <v>1956.672</v>
      </c>
      <c r="B380">
        <v>5</v>
      </c>
      <c r="D380" s="2">
        <v>51107.199999999997</v>
      </c>
      <c r="E380">
        <v>14859</v>
      </c>
      <c r="F380" t="s">
        <v>15</v>
      </c>
      <c r="G380" t="s">
        <v>23</v>
      </c>
      <c r="H380">
        <v>65967</v>
      </c>
      <c r="I380" t="s">
        <v>17</v>
      </c>
      <c r="J380" t="s">
        <v>50</v>
      </c>
      <c r="K380">
        <v>14859.96</v>
      </c>
      <c r="L380">
        <v>65967.149999999994</v>
      </c>
      <c r="M380">
        <v>4</v>
      </c>
      <c r="Y380" s="1">
        <f t="shared" si="25"/>
        <v>1956.672</v>
      </c>
      <c r="Z380" s="2">
        <f t="shared" si="26"/>
        <v>51107.199999999997</v>
      </c>
      <c r="AA380" s="2">
        <f t="shared" si="27"/>
        <v>51107.186079220228</v>
      </c>
      <c r="AB380" s="1">
        <f t="shared" si="28"/>
        <v>6.3059722344680214E-2</v>
      </c>
      <c r="AC380" s="1" t="b">
        <f t="shared" si="29"/>
        <v>1</v>
      </c>
    </row>
    <row r="381" spans="1:29" x14ac:dyDescent="0.25">
      <c r="A381" s="1">
        <v>1955.992</v>
      </c>
      <c r="B381">
        <v>15</v>
      </c>
      <c r="D381" s="2">
        <v>51124.9</v>
      </c>
      <c r="E381">
        <v>17113</v>
      </c>
      <c r="F381" t="s">
        <v>15</v>
      </c>
      <c r="G381" t="s">
        <v>50</v>
      </c>
      <c r="H381">
        <v>68238</v>
      </c>
      <c r="I381" t="s">
        <v>17</v>
      </c>
      <c r="J381" t="s">
        <v>23</v>
      </c>
      <c r="K381">
        <v>17113.189999999999</v>
      </c>
      <c r="L381">
        <v>68238.12</v>
      </c>
      <c r="M381">
        <v>4</v>
      </c>
      <c r="Y381" s="1">
        <f t="shared" si="25"/>
        <v>1955.992</v>
      </c>
      <c r="Z381" s="2">
        <f t="shared" si="26"/>
        <v>51124.9</v>
      </c>
      <c r="AA381" s="2">
        <f t="shared" si="27"/>
        <v>51124.953476292336</v>
      </c>
      <c r="AB381" s="1">
        <f t="shared" si="28"/>
        <v>6.3068804339765278E-2</v>
      </c>
      <c r="AC381" s="1" t="b">
        <f t="shared" si="29"/>
        <v>1</v>
      </c>
    </row>
    <row r="382" spans="1:29" x14ac:dyDescent="0.25">
      <c r="A382" s="1">
        <v>1955.521</v>
      </c>
      <c r="B382">
        <v>3</v>
      </c>
      <c r="D382" s="2">
        <v>51137.3</v>
      </c>
      <c r="M382">
        <v>4</v>
      </c>
      <c r="Y382" s="1">
        <f t="shared" si="25"/>
        <v>1955.521</v>
      </c>
      <c r="Z382" s="2">
        <f t="shared" si="26"/>
        <v>51137.3</v>
      </c>
      <c r="AA382" s="2">
        <f t="shared" si="27"/>
        <v>51137.267255120249</v>
      </c>
      <c r="AB382" s="1">
        <f t="shared" si="28"/>
        <v>6.3075100511607973E-2</v>
      </c>
      <c r="AC382" s="1" t="b">
        <f t="shared" si="29"/>
        <v>1</v>
      </c>
    </row>
    <row r="383" spans="1:29" x14ac:dyDescent="0.25">
      <c r="A383" s="1">
        <v>1955.268</v>
      </c>
      <c r="B383">
        <v>3</v>
      </c>
      <c r="D383" s="2">
        <v>51143.9</v>
      </c>
      <c r="E383">
        <v>24470</v>
      </c>
      <c r="F383" t="s">
        <v>15</v>
      </c>
      <c r="G383" t="s">
        <v>18</v>
      </c>
      <c r="H383">
        <v>75614</v>
      </c>
      <c r="I383" t="s">
        <v>17</v>
      </c>
      <c r="J383" t="s">
        <v>28</v>
      </c>
      <c r="K383">
        <v>24470.9</v>
      </c>
      <c r="L383">
        <v>75614.81</v>
      </c>
      <c r="M383">
        <v>4</v>
      </c>
      <c r="Y383" s="1">
        <f t="shared" si="25"/>
        <v>1955.268</v>
      </c>
      <c r="Z383" s="2">
        <f t="shared" si="26"/>
        <v>51143.9</v>
      </c>
      <c r="AA383" s="2">
        <f t="shared" si="27"/>
        <v>51143.884112050109</v>
      </c>
      <c r="AB383" s="1">
        <f t="shared" si="28"/>
        <v>6.3078484410334063E-2</v>
      </c>
      <c r="AC383" s="1" t="b">
        <f t="shared" si="29"/>
        <v>1</v>
      </c>
    </row>
    <row r="384" spans="1:29" x14ac:dyDescent="0.25">
      <c r="A384" s="1">
        <v>1954.5350000000001</v>
      </c>
      <c r="B384">
        <v>10</v>
      </c>
      <c r="D384" s="2">
        <v>51163.1</v>
      </c>
      <c r="E384">
        <v>16516</v>
      </c>
      <c r="F384" t="s">
        <v>15</v>
      </c>
      <c r="G384" t="s">
        <v>18</v>
      </c>
      <c r="H384">
        <v>67679</v>
      </c>
      <c r="I384" t="s">
        <v>17</v>
      </c>
      <c r="J384" t="s">
        <v>18</v>
      </c>
      <c r="K384">
        <v>16516.150000000001</v>
      </c>
      <c r="L384">
        <v>67679.210000000006</v>
      </c>
      <c r="M384">
        <v>4</v>
      </c>
      <c r="Y384" s="1">
        <f t="shared" si="25"/>
        <v>1954.5350000000001</v>
      </c>
      <c r="Z384" s="2">
        <f t="shared" si="26"/>
        <v>51163.1</v>
      </c>
      <c r="AA384" s="2">
        <f t="shared" si="27"/>
        <v>51163.064360576813</v>
      </c>
      <c r="AB384" s="1">
        <f t="shared" si="28"/>
        <v>6.3088295773822634E-2</v>
      </c>
      <c r="AC384" s="1" t="b">
        <f t="shared" si="29"/>
        <v>1</v>
      </c>
    </row>
    <row r="385" spans="1:29" x14ac:dyDescent="0.25">
      <c r="A385" s="1">
        <v>1954.4549999999999</v>
      </c>
      <c r="B385">
        <v>60</v>
      </c>
      <c r="C385" t="s">
        <v>125</v>
      </c>
      <c r="D385" s="2">
        <v>51165.2</v>
      </c>
      <c r="M385">
        <v>4</v>
      </c>
      <c r="Y385" s="1">
        <f t="shared" si="25"/>
        <v>1954.4549999999999</v>
      </c>
      <c r="Z385" s="2">
        <f t="shared" si="26"/>
        <v>51165.2</v>
      </c>
      <c r="AA385" s="2">
        <f t="shared" si="27"/>
        <v>51165.158573617708</v>
      </c>
      <c r="AB385" s="1">
        <f t="shared" si="28"/>
        <v>6.3089367259317228E-2</v>
      </c>
      <c r="AC385" s="1" t="b">
        <f t="shared" si="29"/>
        <v>1</v>
      </c>
    </row>
    <row r="386" spans="1:29" x14ac:dyDescent="0.25">
      <c r="A386" s="1">
        <v>1954.386</v>
      </c>
      <c r="B386">
        <v>20</v>
      </c>
      <c r="D386" s="2">
        <v>51167</v>
      </c>
      <c r="E386">
        <v>18241</v>
      </c>
      <c r="F386" t="s">
        <v>15</v>
      </c>
      <c r="G386" t="s">
        <v>23</v>
      </c>
      <c r="H386">
        <v>69408</v>
      </c>
      <c r="I386" t="s">
        <v>17</v>
      </c>
      <c r="J386" t="s">
        <v>23</v>
      </c>
      <c r="K386">
        <v>18241.54</v>
      </c>
      <c r="L386">
        <v>69408.509999999995</v>
      </c>
      <c r="M386">
        <v>4</v>
      </c>
      <c r="Y386" s="1">
        <f t="shared" si="25"/>
        <v>1954.386</v>
      </c>
      <c r="Z386" s="2">
        <f t="shared" si="26"/>
        <v>51167</v>
      </c>
      <c r="AA386" s="2">
        <f t="shared" si="27"/>
        <v>51166.96497007244</v>
      </c>
      <c r="AB386" s="1">
        <f t="shared" si="28"/>
        <v>6.3090291521243097E-2</v>
      </c>
      <c r="AC386" s="1" t="b">
        <f t="shared" si="29"/>
        <v>1</v>
      </c>
    </row>
    <row r="387" spans="1:29" x14ac:dyDescent="0.25">
      <c r="A387" s="1">
        <v>1954.1959999999999</v>
      </c>
      <c r="B387">
        <v>40</v>
      </c>
      <c r="D387" s="2">
        <v>51171.9</v>
      </c>
      <c r="M387">
        <v>4</v>
      </c>
      <c r="Y387" s="1">
        <f t="shared" ref="Y387:Y450" si="30">ROUND($A387,3)+0</f>
        <v>1954.1959999999999</v>
      </c>
      <c r="Z387" s="2">
        <f t="shared" ref="Z387:Z450" si="31">ROUND($D387,1)+0</f>
        <v>51171.9</v>
      </c>
      <c r="AA387" s="2">
        <f t="shared" ref="AA387:AA450" si="32">100000000/Y387</f>
        <v>51171.939764486269</v>
      </c>
      <c r="AB387" s="1">
        <f t="shared" ref="AB387:AB450" si="33">0.0005/$Y387*AA387+0.05</f>
        <v>6.3092837096301063E-2</v>
      </c>
      <c r="AC387" s="1" t="b">
        <f t="shared" ref="AC387:AC450" si="34">ABS(Z387-AA387)&lt;AB387</f>
        <v>1</v>
      </c>
    </row>
    <row r="388" spans="1:29" x14ac:dyDescent="0.25">
      <c r="A388" s="1">
        <v>1954.0920000000001</v>
      </c>
      <c r="B388">
        <v>2</v>
      </c>
      <c r="D388" s="2">
        <v>51174.7</v>
      </c>
      <c r="E388">
        <v>17627</v>
      </c>
      <c r="F388" t="s">
        <v>15</v>
      </c>
      <c r="G388" t="s">
        <v>16</v>
      </c>
      <c r="H388">
        <v>68801</v>
      </c>
      <c r="I388" t="s">
        <v>17</v>
      </c>
      <c r="J388" t="s">
        <v>18</v>
      </c>
      <c r="K388">
        <v>17627</v>
      </c>
      <c r="L388">
        <v>68801.67</v>
      </c>
      <c r="M388">
        <v>4</v>
      </c>
      <c r="Y388" s="1">
        <f t="shared" si="30"/>
        <v>1954.0920000000001</v>
      </c>
      <c r="Z388" s="2">
        <f t="shared" si="31"/>
        <v>51174.7</v>
      </c>
      <c r="AA388" s="2">
        <f t="shared" si="32"/>
        <v>51174.663219541348</v>
      </c>
      <c r="AB388" s="1">
        <f t="shared" si="33"/>
        <v>6.3094230778167393E-2</v>
      </c>
      <c r="AC388" s="1" t="b">
        <f t="shared" si="34"/>
        <v>1</v>
      </c>
    </row>
    <row r="389" spans="1:29" x14ac:dyDescent="0.25">
      <c r="A389" s="1">
        <v>1953.5309999999999</v>
      </c>
      <c r="B389">
        <v>20</v>
      </c>
      <c r="D389" s="2">
        <v>51189.4</v>
      </c>
      <c r="M389">
        <v>4</v>
      </c>
      <c r="Y389" s="1">
        <f t="shared" si="30"/>
        <v>1953.5309999999999</v>
      </c>
      <c r="Z389" s="2">
        <f t="shared" si="31"/>
        <v>51189.4</v>
      </c>
      <c r="AA389" s="2">
        <f t="shared" si="32"/>
        <v>51189.359165531547</v>
      </c>
      <c r="AB389" s="1">
        <f t="shared" si="33"/>
        <v>6.3101752458888952E-2</v>
      </c>
      <c r="AC389" s="1" t="b">
        <f t="shared" si="34"/>
        <v>1</v>
      </c>
    </row>
    <row r="390" spans="1:29" x14ac:dyDescent="0.25">
      <c r="A390" s="1">
        <v>1953.3209999999999</v>
      </c>
      <c r="B390">
        <v>5</v>
      </c>
      <c r="D390" s="2">
        <v>51194.9</v>
      </c>
      <c r="M390">
        <v>4</v>
      </c>
      <c r="Y390" s="1">
        <f t="shared" si="30"/>
        <v>1953.3209999999999</v>
      </c>
      <c r="Z390" s="2">
        <f t="shared" si="31"/>
        <v>51194.9</v>
      </c>
      <c r="AA390" s="2">
        <f t="shared" si="32"/>
        <v>51194.862493159089</v>
      </c>
      <c r="AB390" s="1">
        <f t="shared" si="33"/>
        <v>6.3104569728467341E-2</v>
      </c>
      <c r="AC390" s="1" t="b">
        <f t="shared" si="34"/>
        <v>1</v>
      </c>
    </row>
    <row r="391" spans="1:29" x14ac:dyDescent="0.25">
      <c r="A391" s="1">
        <v>1952.395</v>
      </c>
      <c r="B391">
        <v>1</v>
      </c>
      <c r="D391" s="2">
        <v>51219.1</v>
      </c>
      <c r="E391">
        <v>18211</v>
      </c>
      <c r="F391" t="s">
        <v>15</v>
      </c>
      <c r="G391" t="s">
        <v>28</v>
      </c>
      <c r="H391">
        <v>69431</v>
      </c>
      <c r="I391" t="s">
        <v>17</v>
      </c>
      <c r="J391" t="s">
        <v>18</v>
      </c>
      <c r="K391">
        <v>18211.759999999998</v>
      </c>
      <c r="L391">
        <v>69431</v>
      </c>
      <c r="M391">
        <v>4</v>
      </c>
      <c r="Y391" s="1">
        <f t="shared" si="30"/>
        <v>1952.395</v>
      </c>
      <c r="Z391" s="2">
        <f t="shared" si="31"/>
        <v>51219.1</v>
      </c>
      <c r="AA391" s="2">
        <f t="shared" si="32"/>
        <v>51219.143667137032</v>
      </c>
      <c r="AB391" s="1">
        <f t="shared" si="33"/>
        <v>6.3117003389974113E-2</v>
      </c>
      <c r="AC391" s="1" t="b">
        <f t="shared" si="34"/>
        <v>1</v>
      </c>
    </row>
    <row r="392" spans="1:29" x14ac:dyDescent="0.25">
      <c r="A392" s="1">
        <v>1951.9680000000001</v>
      </c>
      <c r="B392">
        <v>2</v>
      </c>
      <c r="D392" s="2">
        <v>51230.3</v>
      </c>
      <c r="M392">
        <v>4</v>
      </c>
      <c r="Y392" s="1">
        <f t="shared" si="30"/>
        <v>1951.9680000000001</v>
      </c>
      <c r="Z392" s="2">
        <f t="shared" si="31"/>
        <v>51230.3</v>
      </c>
      <c r="AA392" s="2">
        <f t="shared" si="32"/>
        <v>51230.348038492433</v>
      </c>
      <c r="AB392" s="1">
        <f t="shared" si="33"/>
        <v>6.3122742800725329E-2</v>
      </c>
      <c r="AC392" s="1" t="b">
        <f t="shared" si="34"/>
        <v>1</v>
      </c>
    </row>
    <row r="393" spans="1:29" x14ac:dyDescent="0.25">
      <c r="A393" s="1">
        <v>1951.018</v>
      </c>
      <c r="B393">
        <v>200</v>
      </c>
      <c r="C393" t="s">
        <v>124</v>
      </c>
      <c r="D393" s="2">
        <v>51255.3</v>
      </c>
      <c r="M393">
        <v>4</v>
      </c>
      <c r="Y393" s="1">
        <f t="shared" si="30"/>
        <v>1951.018</v>
      </c>
      <c r="Z393" s="2">
        <f t="shared" si="31"/>
        <v>51255.3</v>
      </c>
      <c r="AA393" s="2">
        <f t="shared" si="32"/>
        <v>51255.293390424893</v>
      </c>
      <c r="AB393" s="1">
        <f t="shared" si="33"/>
        <v>6.3135525502692677E-2</v>
      </c>
      <c r="AC393" s="1" t="b">
        <f t="shared" si="34"/>
        <v>1</v>
      </c>
    </row>
    <row r="394" spans="1:29" x14ac:dyDescent="0.25">
      <c r="A394" s="1">
        <v>1950.864</v>
      </c>
      <c r="B394">
        <v>1</v>
      </c>
      <c r="D394" s="2">
        <v>51259.3</v>
      </c>
      <c r="E394">
        <v>16135</v>
      </c>
      <c r="F394" t="s">
        <v>15</v>
      </c>
      <c r="G394" t="s">
        <v>18</v>
      </c>
      <c r="H394">
        <v>67395</v>
      </c>
      <c r="I394" t="s">
        <v>17</v>
      </c>
      <c r="J394" t="s">
        <v>28</v>
      </c>
      <c r="K394">
        <v>16135.97</v>
      </c>
      <c r="L394">
        <v>67395.320000000007</v>
      </c>
      <c r="M394">
        <v>4</v>
      </c>
      <c r="Y394" s="1">
        <f t="shared" si="30"/>
        <v>1950.864</v>
      </c>
      <c r="Z394" s="2">
        <f t="shared" si="31"/>
        <v>51259.3</v>
      </c>
      <c r="AA394" s="2">
        <f t="shared" si="32"/>
        <v>51259.339451648091</v>
      </c>
      <c r="AB394" s="1">
        <f t="shared" si="33"/>
        <v>6.3137599405096431E-2</v>
      </c>
      <c r="AC394" s="1" t="b">
        <f t="shared" si="34"/>
        <v>1</v>
      </c>
    </row>
    <row r="395" spans="1:29" x14ac:dyDescent="0.25">
      <c r="A395" s="1">
        <v>1949.759</v>
      </c>
      <c r="B395">
        <v>100</v>
      </c>
      <c r="D395" s="2">
        <v>51288.4</v>
      </c>
      <c r="E395">
        <v>14859</v>
      </c>
      <c r="F395" t="s">
        <v>15</v>
      </c>
      <c r="G395" t="s">
        <v>23</v>
      </c>
      <c r="H395">
        <v>66148</v>
      </c>
      <c r="I395" t="s">
        <v>17</v>
      </c>
      <c r="J395" t="s">
        <v>50</v>
      </c>
      <c r="K395">
        <v>14859.96</v>
      </c>
      <c r="L395">
        <v>66148.399999999994</v>
      </c>
      <c r="M395">
        <v>4</v>
      </c>
      <c r="Y395" s="1">
        <f t="shared" si="30"/>
        <v>1949.759</v>
      </c>
      <c r="Z395" s="2">
        <f t="shared" si="31"/>
        <v>51288.4</v>
      </c>
      <c r="AA395" s="2">
        <f t="shared" si="32"/>
        <v>51288.390001020642</v>
      </c>
      <c r="AB395" s="1">
        <f t="shared" si="33"/>
        <v>6.3152494744483978E-2</v>
      </c>
      <c r="AC395" s="1" t="b">
        <f t="shared" si="34"/>
        <v>1</v>
      </c>
    </row>
    <row r="396" spans="1:29" x14ac:dyDescent="0.25">
      <c r="A396" s="1">
        <v>1949.1559999999999</v>
      </c>
      <c r="B396">
        <v>60</v>
      </c>
      <c r="D396" s="2">
        <v>51304.3</v>
      </c>
      <c r="E396">
        <v>12846</v>
      </c>
      <c r="F396" t="s">
        <v>15</v>
      </c>
      <c r="G396" t="s">
        <v>16</v>
      </c>
      <c r="H396">
        <v>64150</v>
      </c>
      <c r="I396" t="s">
        <v>17</v>
      </c>
      <c r="J396" t="s">
        <v>23</v>
      </c>
      <c r="K396">
        <v>12846.66</v>
      </c>
      <c r="L396">
        <v>64150.94</v>
      </c>
      <c r="M396">
        <v>4</v>
      </c>
      <c r="Y396" s="1">
        <f t="shared" si="30"/>
        <v>1949.1559999999999</v>
      </c>
      <c r="Z396" s="2">
        <f t="shared" si="31"/>
        <v>51304.3</v>
      </c>
      <c r="AA396" s="2">
        <f t="shared" si="32"/>
        <v>51304.256816796602</v>
      </c>
      <c r="AB396" s="1">
        <f t="shared" si="33"/>
        <v>6.3160633837619107E-2</v>
      </c>
      <c r="AC396" s="1" t="b">
        <f t="shared" si="34"/>
        <v>1</v>
      </c>
    </row>
    <row r="397" spans="1:29" x14ac:dyDescent="0.25">
      <c r="A397" s="1">
        <v>1948.364</v>
      </c>
      <c r="B397">
        <v>10</v>
      </c>
      <c r="D397" s="2">
        <v>51325.1</v>
      </c>
      <c r="E397">
        <v>27138</v>
      </c>
      <c r="F397" t="s">
        <v>15</v>
      </c>
      <c r="G397" t="s">
        <v>18</v>
      </c>
      <c r="H397">
        <v>78463</v>
      </c>
      <c r="I397" t="s">
        <v>17</v>
      </c>
      <c r="J397" t="s">
        <v>18</v>
      </c>
      <c r="K397">
        <v>27138.55</v>
      </c>
      <c r="L397">
        <v>78463.600000000006</v>
      </c>
      <c r="M397">
        <v>4</v>
      </c>
      <c r="Y397" s="1">
        <f t="shared" si="30"/>
        <v>1948.364</v>
      </c>
      <c r="Z397" s="2">
        <f t="shared" si="31"/>
        <v>51325.1</v>
      </c>
      <c r="AA397" s="2">
        <f t="shared" si="32"/>
        <v>51325.111734768245</v>
      </c>
      <c r="AB397" s="1">
        <f t="shared" si="33"/>
        <v>6.317133547293223E-2</v>
      </c>
      <c r="AC397" s="1" t="b">
        <f t="shared" si="34"/>
        <v>1</v>
      </c>
    </row>
    <row r="398" spans="1:29" x14ac:dyDescent="0.25">
      <c r="A398" s="1">
        <v>1947.0360000000001</v>
      </c>
      <c r="B398">
        <v>10</v>
      </c>
      <c r="D398" s="2">
        <v>51360.1</v>
      </c>
      <c r="E398">
        <v>17627</v>
      </c>
      <c r="F398" t="s">
        <v>15</v>
      </c>
      <c r="G398" t="s">
        <v>16</v>
      </c>
      <c r="H398">
        <v>68987</v>
      </c>
      <c r="I398" t="s">
        <v>17</v>
      </c>
      <c r="J398" t="s">
        <v>18</v>
      </c>
      <c r="K398">
        <v>17627</v>
      </c>
      <c r="L398">
        <v>68987.070000000007</v>
      </c>
      <c r="M398">
        <v>4</v>
      </c>
      <c r="Y398" s="1">
        <f t="shared" si="30"/>
        <v>1947.0360000000001</v>
      </c>
      <c r="Z398" s="2">
        <f t="shared" si="31"/>
        <v>51360.1</v>
      </c>
      <c r="AA398" s="2">
        <f t="shared" si="32"/>
        <v>51360.118662418157</v>
      </c>
      <c r="AB398" s="1">
        <f t="shared" si="33"/>
        <v>6.3189308945088368E-2</v>
      </c>
      <c r="AC398" s="1" t="b">
        <f t="shared" si="34"/>
        <v>1</v>
      </c>
    </row>
    <row r="399" spans="1:29" x14ac:dyDescent="0.25">
      <c r="A399" s="1">
        <v>1946.9</v>
      </c>
      <c r="B399">
        <v>1</v>
      </c>
      <c r="D399" s="2">
        <v>51363.7</v>
      </c>
      <c r="E399">
        <v>14558</v>
      </c>
      <c r="F399" t="s">
        <v>15</v>
      </c>
      <c r="G399" t="s">
        <v>16</v>
      </c>
      <c r="H399">
        <v>65922</v>
      </c>
      <c r="I399" t="s">
        <v>17</v>
      </c>
      <c r="J399" t="s">
        <v>23</v>
      </c>
      <c r="K399">
        <v>14558.82</v>
      </c>
      <c r="L399">
        <v>65922.42</v>
      </c>
      <c r="M399">
        <v>4</v>
      </c>
      <c r="Y399" s="1">
        <f t="shared" si="30"/>
        <v>1946.9</v>
      </c>
      <c r="Z399" s="2">
        <f t="shared" si="31"/>
        <v>51363.7</v>
      </c>
      <c r="AA399" s="2">
        <f t="shared" si="32"/>
        <v>51363.706405054189</v>
      </c>
      <c r="AB399" s="1">
        <f t="shared" si="33"/>
        <v>6.3191151678323024E-2</v>
      </c>
      <c r="AC399" s="1" t="b">
        <f t="shared" si="34"/>
        <v>1</v>
      </c>
    </row>
    <row r="400" spans="1:29" x14ac:dyDescent="0.25">
      <c r="A400" s="1">
        <v>1946.83</v>
      </c>
      <c r="B400">
        <v>3</v>
      </c>
      <c r="D400" s="2">
        <v>51365.599999999999</v>
      </c>
      <c r="M400">
        <v>4</v>
      </c>
      <c r="Y400" s="1">
        <f t="shared" si="30"/>
        <v>1946.83</v>
      </c>
      <c r="Z400" s="2">
        <f t="shared" si="31"/>
        <v>51365.599999999999</v>
      </c>
      <c r="AA400" s="2">
        <f t="shared" si="32"/>
        <v>51365.553232691098</v>
      </c>
      <c r="AB400" s="1">
        <f t="shared" si="33"/>
        <v>6.3192100294502118E-2</v>
      </c>
      <c r="AC400" s="1" t="b">
        <f t="shared" si="34"/>
        <v>1</v>
      </c>
    </row>
    <row r="401" spans="1:29" x14ac:dyDescent="0.25">
      <c r="A401" s="1">
        <v>1946.4169999999999</v>
      </c>
      <c r="B401">
        <v>80</v>
      </c>
      <c r="D401" s="2">
        <v>51376.4</v>
      </c>
      <c r="E401">
        <v>14558</v>
      </c>
      <c r="F401" t="s">
        <v>15</v>
      </c>
      <c r="G401" t="s">
        <v>16</v>
      </c>
      <c r="H401">
        <v>65935</v>
      </c>
      <c r="I401" t="s">
        <v>17</v>
      </c>
      <c r="J401" t="s">
        <v>18</v>
      </c>
      <c r="K401">
        <v>14558.82</v>
      </c>
      <c r="L401">
        <v>65935.25</v>
      </c>
      <c r="M401">
        <v>5</v>
      </c>
      <c r="Y401" s="1">
        <f t="shared" si="30"/>
        <v>1946.4169999999999</v>
      </c>
      <c r="Z401" s="2">
        <f t="shared" si="31"/>
        <v>51376.4</v>
      </c>
      <c r="AA401" s="2">
        <f t="shared" si="32"/>
        <v>51376.452219642553</v>
      </c>
      <c r="AB401" s="1">
        <f t="shared" si="33"/>
        <v>6.3197699213386083E-2</v>
      </c>
      <c r="AC401" s="1" t="b">
        <f t="shared" si="34"/>
        <v>1</v>
      </c>
    </row>
    <row r="402" spans="1:29" x14ac:dyDescent="0.25">
      <c r="A402" s="1">
        <v>1945.646</v>
      </c>
      <c r="B402">
        <v>2</v>
      </c>
      <c r="D402" s="2">
        <v>51396.800000000003</v>
      </c>
      <c r="M402">
        <v>5</v>
      </c>
      <c r="Y402" s="1">
        <f t="shared" si="30"/>
        <v>1945.646</v>
      </c>
      <c r="Z402" s="2">
        <f t="shared" si="31"/>
        <v>51396.800000000003</v>
      </c>
      <c r="AA402" s="2">
        <f t="shared" si="32"/>
        <v>51396.81113624986</v>
      </c>
      <c r="AB402" s="1">
        <f t="shared" si="33"/>
        <v>6.3208160974876693E-2</v>
      </c>
      <c r="AC402" s="1" t="b">
        <f t="shared" si="34"/>
        <v>1</v>
      </c>
    </row>
    <row r="403" spans="1:29" x14ac:dyDescent="0.25">
      <c r="A403" s="1">
        <v>1945.0530000000001</v>
      </c>
      <c r="B403">
        <v>1</v>
      </c>
      <c r="D403" s="2">
        <v>51412.5</v>
      </c>
      <c r="E403">
        <v>17113</v>
      </c>
      <c r="F403" t="s">
        <v>15</v>
      </c>
      <c r="G403" t="s">
        <v>50</v>
      </c>
      <c r="H403">
        <v>68525</v>
      </c>
      <c r="I403" t="s">
        <v>17</v>
      </c>
      <c r="J403" t="s">
        <v>23</v>
      </c>
      <c r="K403">
        <v>17113.189999999999</v>
      </c>
      <c r="L403">
        <v>68525.62</v>
      </c>
      <c r="M403">
        <v>5</v>
      </c>
      <c r="Y403" s="1">
        <f t="shared" si="30"/>
        <v>1945.0530000000001</v>
      </c>
      <c r="Z403" s="2">
        <f t="shared" si="31"/>
        <v>51412.5</v>
      </c>
      <c r="AA403" s="2">
        <f t="shared" si="32"/>
        <v>51412.480791011862</v>
      </c>
      <c r="AB403" s="1">
        <f t="shared" si="33"/>
        <v>6.321621590543082E-2</v>
      </c>
      <c r="AC403" s="1" t="b">
        <f t="shared" si="34"/>
        <v>1</v>
      </c>
    </row>
    <row r="404" spans="1:29" x14ac:dyDescent="0.25">
      <c r="A404" s="1">
        <v>1943.835</v>
      </c>
      <c r="B404">
        <v>8</v>
      </c>
      <c r="D404" s="2">
        <v>51444.7</v>
      </c>
      <c r="E404">
        <v>18241</v>
      </c>
      <c r="F404" t="s">
        <v>15</v>
      </c>
      <c r="G404" t="s">
        <v>23</v>
      </c>
      <c r="H404">
        <v>69686</v>
      </c>
      <c r="I404" t="s">
        <v>17</v>
      </c>
      <c r="J404" t="s">
        <v>16</v>
      </c>
      <c r="K404">
        <v>18241.54</v>
      </c>
      <c r="L404">
        <v>69686.259999999995</v>
      </c>
      <c r="M404">
        <v>5</v>
      </c>
      <c r="Y404" s="1">
        <f t="shared" si="30"/>
        <v>1943.835</v>
      </c>
      <c r="Z404" s="2">
        <f t="shared" si="31"/>
        <v>51444.7</v>
      </c>
      <c r="AA404" s="2">
        <f t="shared" si="32"/>
        <v>51444.695666041611</v>
      </c>
      <c r="AB404" s="1">
        <f t="shared" si="33"/>
        <v>6.3232783560858208E-2</v>
      </c>
      <c r="AC404" s="1" t="b">
        <f t="shared" si="34"/>
        <v>1</v>
      </c>
    </row>
    <row r="405" spans="1:29" x14ac:dyDescent="0.25">
      <c r="A405" s="1">
        <v>1943.65</v>
      </c>
      <c r="B405">
        <v>4</v>
      </c>
      <c r="D405" s="2">
        <v>51449.599999999999</v>
      </c>
      <c r="E405">
        <v>23844</v>
      </c>
      <c r="F405" t="s">
        <v>15</v>
      </c>
      <c r="G405" t="s">
        <v>16</v>
      </c>
      <c r="H405">
        <v>75294</v>
      </c>
      <c r="I405" t="s">
        <v>17</v>
      </c>
      <c r="J405" t="s">
        <v>18</v>
      </c>
      <c r="K405">
        <v>23844.58</v>
      </c>
      <c r="L405">
        <v>75294</v>
      </c>
      <c r="M405">
        <v>5</v>
      </c>
      <c r="Y405" s="1">
        <f t="shared" si="30"/>
        <v>1943.65</v>
      </c>
      <c r="Z405" s="2">
        <f t="shared" si="31"/>
        <v>51449.599999999999</v>
      </c>
      <c r="AA405" s="2">
        <f t="shared" si="32"/>
        <v>51449.592261981321</v>
      </c>
      <c r="AB405" s="1">
        <f t="shared" si="33"/>
        <v>6.3235302719620648E-2</v>
      </c>
      <c r="AC405" s="1" t="b">
        <f t="shared" si="34"/>
        <v>1</v>
      </c>
    </row>
    <row r="406" spans="1:29" x14ac:dyDescent="0.25">
      <c r="A406" s="1">
        <v>1943.2929999999999</v>
      </c>
      <c r="B406">
        <v>10</v>
      </c>
      <c r="D406" s="2">
        <v>51459</v>
      </c>
      <c r="M406">
        <v>5</v>
      </c>
      <c r="Y406" s="1">
        <f t="shared" si="30"/>
        <v>1943.2929999999999</v>
      </c>
      <c r="Z406" s="2">
        <f t="shared" si="31"/>
        <v>51459</v>
      </c>
      <c r="AA406" s="2">
        <f t="shared" si="32"/>
        <v>51459.044004172305</v>
      </c>
      <c r="AB406" s="1">
        <f t="shared" si="33"/>
        <v>6.3240166049116711E-2</v>
      </c>
      <c r="AC406" s="1" t="b">
        <f t="shared" si="34"/>
        <v>1</v>
      </c>
    </row>
    <row r="407" spans="1:29" x14ac:dyDescent="0.25">
      <c r="A407" s="1">
        <v>1943.248</v>
      </c>
      <c r="B407">
        <v>30</v>
      </c>
      <c r="D407" s="2">
        <v>51460.2</v>
      </c>
      <c r="E407">
        <v>18921</v>
      </c>
      <c r="F407" t="s">
        <v>15</v>
      </c>
      <c r="G407" t="s">
        <v>57</v>
      </c>
      <c r="H407">
        <v>70381</v>
      </c>
      <c r="I407" t="s">
        <v>17</v>
      </c>
      <c r="J407" t="s">
        <v>50</v>
      </c>
      <c r="K407">
        <v>18921.240000000002</v>
      </c>
      <c r="L407">
        <v>70381.48</v>
      </c>
      <c r="M407">
        <v>5</v>
      </c>
      <c r="Y407" s="1">
        <f t="shared" si="30"/>
        <v>1943.248</v>
      </c>
      <c r="Z407" s="2">
        <f t="shared" si="31"/>
        <v>51460.2</v>
      </c>
      <c r="AA407" s="2">
        <f t="shared" si="32"/>
        <v>51460.235646711073</v>
      </c>
      <c r="AB407" s="1">
        <f t="shared" si="33"/>
        <v>6.3240779264075161E-2</v>
      </c>
      <c r="AC407" s="1" t="b">
        <f t="shared" si="34"/>
        <v>1</v>
      </c>
    </row>
    <row r="408" spans="1:29" x14ac:dyDescent="0.25">
      <c r="A408" s="1">
        <v>1941.9390000000001</v>
      </c>
      <c r="B408">
        <v>2</v>
      </c>
      <c r="D408" s="2">
        <v>51494.9</v>
      </c>
      <c r="E408">
        <v>21535</v>
      </c>
      <c r="F408" t="s">
        <v>15</v>
      </c>
      <c r="G408" t="s">
        <v>16</v>
      </c>
      <c r="H408">
        <v>73029</v>
      </c>
      <c r="I408" t="s">
        <v>17</v>
      </c>
      <c r="J408" t="s">
        <v>16</v>
      </c>
      <c r="K408">
        <v>21535.17</v>
      </c>
      <c r="L408">
        <v>73029.899999999994</v>
      </c>
      <c r="M408">
        <v>5</v>
      </c>
      <c r="Y408" s="1">
        <f t="shared" si="30"/>
        <v>1941.9390000000001</v>
      </c>
      <c r="Z408" s="2">
        <f t="shared" si="31"/>
        <v>51494.9</v>
      </c>
      <c r="AA408" s="2">
        <f t="shared" si="32"/>
        <v>51494.923372979276</v>
      </c>
      <c r="AB408" s="1">
        <f t="shared" si="33"/>
        <v>6.3258635665945043E-2</v>
      </c>
      <c r="AC408" s="1" t="b">
        <f t="shared" si="34"/>
        <v>1</v>
      </c>
    </row>
    <row r="409" spans="1:29" x14ac:dyDescent="0.25">
      <c r="A409" s="1">
        <v>1941.556</v>
      </c>
      <c r="B409">
        <v>100</v>
      </c>
      <c r="D409" s="2">
        <v>51505.1</v>
      </c>
      <c r="E409">
        <v>13352</v>
      </c>
      <c r="F409" t="s">
        <v>15</v>
      </c>
      <c r="G409" t="s">
        <v>23</v>
      </c>
      <c r="H409">
        <v>64857</v>
      </c>
      <c r="I409" t="s">
        <v>17</v>
      </c>
      <c r="J409" t="s">
        <v>16</v>
      </c>
      <c r="K409">
        <v>13352.1</v>
      </c>
      <c r="L409">
        <v>64857.15</v>
      </c>
      <c r="M409">
        <v>5</v>
      </c>
      <c r="Y409" s="1">
        <f t="shared" si="30"/>
        <v>1941.556</v>
      </c>
      <c r="Z409" s="2">
        <f t="shared" si="31"/>
        <v>51505.1</v>
      </c>
      <c r="AA409" s="2">
        <f t="shared" si="32"/>
        <v>51505.081491339937</v>
      </c>
      <c r="AB409" s="1">
        <f t="shared" si="33"/>
        <v>6.3263867097147847E-2</v>
      </c>
      <c r="AC409" s="1" t="b">
        <f t="shared" si="34"/>
        <v>1</v>
      </c>
    </row>
    <row r="410" spans="1:29" x14ac:dyDescent="0.25">
      <c r="A410" s="1">
        <v>1941.25</v>
      </c>
      <c r="B410">
        <v>2</v>
      </c>
      <c r="D410" s="2">
        <v>51513.2</v>
      </c>
      <c r="E410">
        <v>13352</v>
      </c>
      <c r="F410" t="s">
        <v>15</v>
      </c>
      <c r="G410" t="s">
        <v>23</v>
      </c>
      <c r="H410">
        <v>64865</v>
      </c>
      <c r="I410" t="s">
        <v>17</v>
      </c>
      <c r="J410" t="s">
        <v>23</v>
      </c>
      <c r="K410">
        <v>13352.1</v>
      </c>
      <c r="L410">
        <v>64865.15</v>
      </c>
      <c r="M410">
        <v>5</v>
      </c>
      <c r="Y410" s="1">
        <f t="shared" si="30"/>
        <v>1941.25</v>
      </c>
      <c r="Z410" s="2">
        <f t="shared" si="31"/>
        <v>51513.2</v>
      </c>
      <c r="AA410" s="2">
        <f t="shared" si="32"/>
        <v>51513.200257566001</v>
      </c>
      <c r="AB410" s="1">
        <f t="shared" si="33"/>
        <v>6.3268049003880486E-2</v>
      </c>
      <c r="AC410" s="1" t="b">
        <f t="shared" si="34"/>
        <v>1</v>
      </c>
    </row>
    <row r="411" spans="1:29" x14ac:dyDescent="0.25">
      <c r="A411" s="1">
        <v>1940.93</v>
      </c>
      <c r="B411">
        <v>2</v>
      </c>
      <c r="D411" s="2">
        <v>51521.7</v>
      </c>
      <c r="M411">
        <v>5</v>
      </c>
      <c r="Y411" s="1">
        <f t="shared" si="30"/>
        <v>1940.93</v>
      </c>
      <c r="Z411" s="2">
        <f t="shared" si="31"/>
        <v>51521.7</v>
      </c>
      <c r="AA411" s="2">
        <f t="shared" si="32"/>
        <v>51521.693208925615</v>
      </c>
      <c r="AB411" s="1">
        <f t="shared" si="33"/>
        <v>6.3272424355573259E-2</v>
      </c>
      <c r="AC411" s="1" t="b">
        <f t="shared" si="34"/>
        <v>1</v>
      </c>
    </row>
    <row r="412" spans="1:29" x14ac:dyDescent="0.25">
      <c r="A412" s="1">
        <v>1940.8530000000001</v>
      </c>
      <c r="B412">
        <v>5</v>
      </c>
      <c r="D412" s="2">
        <v>51523.7</v>
      </c>
      <c r="E412">
        <v>15525</v>
      </c>
      <c r="F412" t="s">
        <v>15</v>
      </c>
      <c r="G412" t="s">
        <v>23</v>
      </c>
      <c r="H412">
        <v>67049</v>
      </c>
      <c r="I412" t="s">
        <v>17</v>
      </c>
      <c r="J412" t="s">
        <v>16</v>
      </c>
      <c r="K412">
        <v>15525.5</v>
      </c>
      <c r="L412">
        <v>67049.179999999993</v>
      </c>
      <c r="M412">
        <v>5</v>
      </c>
      <c r="Y412" s="1">
        <f t="shared" si="30"/>
        <v>1940.8530000000001</v>
      </c>
      <c r="Z412" s="2">
        <f t="shared" si="31"/>
        <v>51523.7</v>
      </c>
      <c r="AA412" s="2">
        <f t="shared" si="32"/>
        <v>51523.737243366704</v>
      </c>
      <c r="AB412" s="1">
        <f t="shared" si="33"/>
        <v>6.327347749761747E-2</v>
      </c>
      <c r="AC412" s="1" t="b">
        <f t="shared" si="34"/>
        <v>1</v>
      </c>
    </row>
    <row r="413" spans="1:29" x14ac:dyDescent="0.25">
      <c r="A413" s="1">
        <v>1940.77</v>
      </c>
      <c r="B413">
        <v>2</v>
      </c>
      <c r="D413" s="2">
        <v>51525.9</v>
      </c>
      <c r="M413">
        <v>5</v>
      </c>
      <c r="Y413" s="1">
        <f t="shared" si="30"/>
        <v>1940.77</v>
      </c>
      <c r="Z413" s="2">
        <f t="shared" si="31"/>
        <v>51525.9</v>
      </c>
      <c r="AA413" s="2">
        <f t="shared" si="32"/>
        <v>51525.940734862968</v>
      </c>
      <c r="AB413" s="1">
        <f t="shared" si="33"/>
        <v>6.3274612843063058E-2</v>
      </c>
      <c r="AC413" s="1" t="b">
        <f t="shared" si="34"/>
        <v>1</v>
      </c>
    </row>
    <row r="414" spans="1:29" x14ac:dyDescent="0.25">
      <c r="A414" s="1">
        <v>1939.299</v>
      </c>
      <c r="B414">
        <v>100</v>
      </c>
      <c r="D414" s="2">
        <v>51565</v>
      </c>
      <c r="M414">
        <v>5</v>
      </c>
      <c r="Y414" s="1">
        <f t="shared" si="30"/>
        <v>1939.299</v>
      </c>
      <c r="Z414" s="2">
        <f t="shared" si="31"/>
        <v>51565</v>
      </c>
      <c r="AA414" s="2">
        <f t="shared" si="32"/>
        <v>51565.024269078676</v>
      </c>
      <c r="AB414" s="1">
        <f t="shared" si="33"/>
        <v>6.3294758639353368E-2</v>
      </c>
      <c r="AC414" s="1" t="b">
        <f t="shared" si="34"/>
        <v>1</v>
      </c>
    </row>
    <row r="415" spans="1:29" x14ac:dyDescent="0.25">
      <c r="A415" s="1">
        <v>1939.1610000000001</v>
      </c>
      <c r="B415">
        <v>10</v>
      </c>
      <c r="D415" s="2">
        <v>51568.7</v>
      </c>
      <c r="M415">
        <v>5</v>
      </c>
      <c r="Y415" s="1">
        <f t="shared" si="30"/>
        <v>1939.1610000000001</v>
      </c>
      <c r="Z415" s="2">
        <f t="shared" si="31"/>
        <v>51568.7</v>
      </c>
      <c r="AA415" s="2">
        <f t="shared" si="32"/>
        <v>51568.693883591921</v>
      </c>
      <c r="AB415" s="1">
        <f t="shared" si="33"/>
        <v>6.3296650944298066E-2</v>
      </c>
      <c r="AC415" s="1" t="b">
        <f t="shared" si="34"/>
        <v>1</v>
      </c>
    </row>
    <row r="416" spans="1:29" x14ac:dyDescent="0.25">
      <c r="A416" s="1">
        <v>1937.7260000000001</v>
      </c>
      <c r="B416">
        <v>20</v>
      </c>
      <c r="D416" s="2">
        <v>51606.9</v>
      </c>
      <c r="M416">
        <v>5</v>
      </c>
      <c r="Y416" s="1">
        <f t="shared" si="30"/>
        <v>1937.7260000000001</v>
      </c>
      <c r="Z416" s="2">
        <f t="shared" si="31"/>
        <v>51606.9</v>
      </c>
      <c r="AA416" s="2">
        <f t="shared" si="32"/>
        <v>51606.883532553104</v>
      </c>
      <c r="AB416" s="1">
        <f t="shared" si="33"/>
        <v>6.3316352139712512E-2</v>
      </c>
      <c r="AC416" s="1" t="b">
        <f t="shared" si="34"/>
        <v>1</v>
      </c>
    </row>
    <row r="417" spans="1:29" x14ac:dyDescent="0.25">
      <c r="A417" s="1">
        <v>1937.127</v>
      </c>
      <c r="B417">
        <v>10</v>
      </c>
      <c r="D417" s="2">
        <v>51622.8</v>
      </c>
      <c r="E417">
        <v>18063</v>
      </c>
      <c r="F417" t="s">
        <v>15</v>
      </c>
      <c r="G417" t="s">
        <v>16</v>
      </c>
      <c r="H417">
        <v>69686</v>
      </c>
      <c r="I417" t="s">
        <v>17</v>
      </c>
      <c r="J417" t="s">
        <v>16</v>
      </c>
      <c r="K417">
        <v>18063.36</v>
      </c>
      <c r="L417">
        <v>69686.259999999995</v>
      </c>
      <c r="M417">
        <v>5</v>
      </c>
      <c r="Y417" s="1">
        <f t="shared" si="30"/>
        <v>1937.127</v>
      </c>
      <c r="Z417" s="2">
        <f t="shared" si="31"/>
        <v>51622.8</v>
      </c>
      <c r="AA417" s="2">
        <f t="shared" si="32"/>
        <v>51622.841455413094</v>
      </c>
      <c r="AB417" s="1">
        <f t="shared" si="33"/>
        <v>6.3324588799653581E-2</v>
      </c>
      <c r="AC417" s="1" t="b">
        <f t="shared" si="34"/>
        <v>1</v>
      </c>
    </row>
    <row r="418" spans="1:29" x14ac:dyDescent="0.25">
      <c r="A418" s="1">
        <v>1936.6590000000001</v>
      </c>
      <c r="B418">
        <v>40</v>
      </c>
      <c r="D418" s="2">
        <v>51635.3</v>
      </c>
      <c r="E418">
        <v>15045</v>
      </c>
      <c r="F418" t="s">
        <v>15</v>
      </c>
      <c r="G418" t="s">
        <v>28</v>
      </c>
      <c r="H418">
        <v>66681</v>
      </c>
      <c r="I418" t="s">
        <v>17</v>
      </c>
      <c r="J418" t="s">
        <v>28</v>
      </c>
      <c r="K418">
        <v>15045.8</v>
      </c>
      <c r="L418">
        <v>66681.14</v>
      </c>
      <c r="M418">
        <v>5</v>
      </c>
      <c r="Y418" s="1">
        <f t="shared" si="30"/>
        <v>1936.6590000000001</v>
      </c>
      <c r="Z418" s="2">
        <f t="shared" si="31"/>
        <v>51635.3</v>
      </c>
      <c r="AA418" s="2">
        <f t="shared" si="32"/>
        <v>51635.3162843846</v>
      </c>
      <c r="AB418" s="1">
        <f t="shared" si="33"/>
        <v>6.3331029438942171E-2</v>
      </c>
      <c r="AC418" s="1" t="b">
        <f t="shared" si="34"/>
        <v>1</v>
      </c>
    </row>
    <row r="419" spans="1:29" x14ac:dyDescent="0.25">
      <c r="A419" s="1">
        <v>1936.4780000000001</v>
      </c>
      <c r="B419">
        <v>3</v>
      </c>
      <c r="D419" s="2">
        <v>51640.1</v>
      </c>
      <c r="E419">
        <v>28720</v>
      </c>
      <c r="F419" t="s">
        <v>15</v>
      </c>
      <c r="G419" t="s">
        <v>16</v>
      </c>
      <c r="H419">
        <v>80360</v>
      </c>
      <c r="I419" t="s">
        <v>17</v>
      </c>
      <c r="J419" t="s">
        <v>23</v>
      </c>
      <c r="K419">
        <v>28720.71</v>
      </c>
      <c r="L419">
        <v>80360.820000000007</v>
      </c>
      <c r="M419">
        <v>5</v>
      </c>
      <c r="Y419" s="1">
        <f t="shared" si="30"/>
        <v>1936.4780000000001</v>
      </c>
      <c r="Z419" s="2">
        <f t="shared" si="31"/>
        <v>51640.1</v>
      </c>
      <c r="AA419" s="2">
        <f t="shared" si="32"/>
        <v>51640.142568105599</v>
      </c>
      <c r="AB419" s="1">
        <f t="shared" si="33"/>
        <v>6.3333521622271363E-2</v>
      </c>
      <c r="AC419" s="1" t="b">
        <f t="shared" si="34"/>
        <v>1</v>
      </c>
    </row>
    <row r="420" spans="1:29" x14ac:dyDescent="0.25">
      <c r="A420" s="1">
        <v>1936.375</v>
      </c>
      <c r="B420">
        <v>1</v>
      </c>
      <c r="D420" s="2">
        <v>51642.9</v>
      </c>
      <c r="M420">
        <v>5</v>
      </c>
      <c r="Y420" s="1">
        <f t="shared" si="30"/>
        <v>1936.375</v>
      </c>
      <c r="Z420" s="2">
        <f t="shared" si="31"/>
        <v>51642.9</v>
      </c>
      <c r="AA420" s="2">
        <f t="shared" si="32"/>
        <v>51642.889419663028</v>
      </c>
      <c r="AB420" s="1">
        <f t="shared" si="33"/>
        <v>6.3334940138057724E-2</v>
      </c>
      <c r="AC420" s="1" t="b">
        <f t="shared" si="34"/>
        <v>1</v>
      </c>
    </row>
    <row r="421" spans="1:29" x14ac:dyDescent="0.25">
      <c r="A421" s="1">
        <v>1935.588</v>
      </c>
      <c r="B421">
        <v>30</v>
      </c>
      <c r="D421" s="2">
        <v>51663.9</v>
      </c>
      <c r="E421">
        <v>19872</v>
      </c>
      <c r="F421" t="s">
        <v>15</v>
      </c>
      <c r="G421" t="s">
        <v>18</v>
      </c>
      <c r="H421">
        <v>71536</v>
      </c>
      <c r="I421" t="s">
        <v>17</v>
      </c>
      <c r="J421" t="s">
        <v>28</v>
      </c>
      <c r="K421">
        <v>19872.43</v>
      </c>
      <c r="L421">
        <v>71536.38</v>
      </c>
      <c r="M421">
        <v>5</v>
      </c>
      <c r="Y421" s="1">
        <f t="shared" si="30"/>
        <v>1935.588</v>
      </c>
      <c r="Z421" s="2">
        <f t="shared" si="31"/>
        <v>51663.9</v>
      </c>
      <c r="AA421" s="2">
        <f t="shared" si="32"/>
        <v>51663.887149538023</v>
      </c>
      <c r="AB421" s="1">
        <f t="shared" si="33"/>
        <v>6.3345786177000998E-2</v>
      </c>
      <c r="AC421" s="1" t="b">
        <f t="shared" si="34"/>
        <v>1</v>
      </c>
    </row>
    <row r="422" spans="1:29" x14ac:dyDescent="0.25">
      <c r="A422" s="1">
        <v>1935.29</v>
      </c>
      <c r="B422">
        <v>1</v>
      </c>
      <c r="D422" s="2">
        <v>51671.8</v>
      </c>
      <c r="E422">
        <v>38448</v>
      </c>
      <c r="F422" t="s">
        <v>15</v>
      </c>
      <c r="G422" t="s">
        <v>16</v>
      </c>
      <c r="H422">
        <v>90119</v>
      </c>
      <c r="I422" t="s">
        <v>17</v>
      </c>
      <c r="J422" t="s">
        <v>23</v>
      </c>
      <c r="K422">
        <v>38448.379999999997</v>
      </c>
      <c r="L422">
        <v>90119.8</v>
      </c>
      <c r="M422">
        <v>5</v>
      </c>
      <c r="Y422" s="1">
        <f t="shared" si="30"/>
        <v>1935.29</v>
      </c>
      <c r="Z422" s="2">
        <f t="shared" si="31"/>
        <v>51671.8</v>
      </c>
      <c r="AA422" s="2">
        <f t="shared" si="32"/>
        <v>51671.8424628867</v>
      </c>
      <c r="AB422" s="1">
        <f t="shared" si="33"/>
        <v>6.3349896517546911E-2</v>
      </c>
      <c r="AC422" s="1" t="b">
        <f t="shared" si="34"/>
        <v>1</v>
      </c>
    </row>
    <row r="423" spans="1:29" x14ac:dyDescent="0.25">
      <c r="A423" s="1">
        <v>1933.865</v>
      </c>
      <c r="B423">
        <v>10</v>
      </c>
      <c r="D423" s="2">
        <v>51709.9</v>
      </c>
      <c r="E423">
        <v>35801</v>
      </c>
      <c r="F423" t="s">
        <v>15</v>
      </c>
      <c r="G423" t="s">
        <v>18</v>
      </c>
      <c r="H423">
        <v>87511</v>
      </c>
      <c r="I423" t="s">
        <v>17</v>
      </c>
      <c r="J423" t="s">
        <v>18</v>
      </c>
      <c r="K423">
        <v>35801.120000000003</v>
      </c>
      <c r="L423">
        <v>87511.6</v>
      </c>
      <c r="M423">
        <v>5</v>
      </c>
      <c r="Y423" s="1">
        <f t="shared" si="30"/>
        <v>1933.865</v>
      </c>
      <c r="Z423" s="2">
        <f t="shared" si="31"/>
        <v>51709.9</v>
      </c>
      <c r="AA423" s="2">
        <f t="shared" si="32"/>
        <v>51709.917703665975</v>
      </c>
      <c r="AB423" s="1">
        <f t="shared" si="33"/>
        <v>6.3369577944599548E-2</v>
      </c>
      <c r="AC423" s="1" t="b">
        <f t="shared" si="34"/>
        <v>1</v>
      </c>
    </row>
    <row r="424" spans="1:29" x14ac:dyDescent="0.25">
      <c r="A424" s="1">
        <v>1933.7750000000001</v>
      </c>
      <c r="B424">
        <v>100</v>
      </c>
      <c r="D424" s="2">
        <v>51712.3</v>
      </c>
      <c r="E424">
        <v>19308</v>
      </c>
      <c r="F424" t="s">
        <v>15</v>
      </c>
      <c r="G424" t="s">
        <v>23</v>
      </c>
      <c r="H424">
        <v>71021</v>
      </c>
      <c r="I424" t="s">
        <v>17</v>
      </c>
      <c r="J424" t="s">
        <v>16</v>
      </c>
      <c r="K424">
        <v>19308.93</v>
      </c>
      <c r="L424">
        <v>71021.100000000006</v>
      </c>
      <c r="M424">
        <v>5</v>
      </c>
      <c r="Y424" s="1">
        <f t="shared" si="30"/>
        <v>1933.7750000000001</v>
      </c>
      <c r="Z424" s="2">
        <f t="shared" si="31"/>
        <v>51712.3</v>
      </c>
      <c r="AA424" s="2">
        <f t="shared" si="32"/>
        <v>51712.324339698258</v>
      </c>
      <c r="AB424" s="1">
        <f t="shared" si="33"/>
        <v>6.337082244307074E-2</v>
      </c>
      <c r="AC424" s="1" t="b">
        <f t="shared" si="34"/>
        <v>1</v>
      </c>
    </row>
    <row r="425" spans="1:29" x14ac:dyDescent="0.25">
      <c r="A425" s="1">
        <v>1933.491</v>
      </c>
      <c r="B425">
        <v>1</v>
      </c>
      <c r="D425" s="2">
        <v>51719.9</v>
      </c>
      <c r="E425">
        <v>19872</v>
      </c>
      <c r="F425" t="s">
        <v>15</v>
      </c>
      <c r="G425" t="s">
        <v>18</v>
      </c>
      <c r="H425">
        <v>71592</v>
      </c>
      <c r="I425" t="s">
        <v>17</v>
      </c>
      <c r="J425" t="s">
        <v>16</v>
      </c>
      <c r="K425">
        <v>19872.43</v>
      </c>
      <c r="L425">
        <v>71592.34</v>
      </c>
      <c r="M425">
        <v>5</v>
      </c>
      <c r="Y425" s="1">
        <f t="shared" si="30"/>
        <v>1933.491</v>
      </c>
      <c r="Z425" s="2">
        <f t="shared" si="31"/>
        <v>51719.9</v>
      </c>
      <c r="AA425" s="2">
        <f t="shared" si="32"/>
        <v>51719.920082379489</v>
      </c>
      <c r="AB425" s="1">
        <f t="shared" si="33"/>
        <v>6.3374750666638613E-2</v>
      </c>
      <c r="AC425" s="1" t="b">
        <f t="shared" si="34"/>
        <v>1</v>
      </c>
    </row>
    <row r="426" spans="1:29" x14ac:dyDescent="0.25">
      <c r="A426" s="1">
        <v>1932.8720000000001</v>
      </c>
      <c r="B426">
        <v>8</v>
      </c>
      <c r="D426" s="2">
        <v>51736.5</v>
      </c>
      <c r="E426">
        <v>18241</v>
      </c>
      <c r="F426" t="s">
        <v>15</v>
      </c>
      <c r="G426" t="s">
        <v>23</v>
      </c>
      <c r="H426">
        <v>69978</v>
      </c>
      <c r="I426" t="s">
        <v>17</v>
      </c>
      <c r="J426" t="s">
        <v>23</v>
      </c>
      <c r="K426">
        <v>18241.54</v>
      </c>
      <c r="L426">
        <v>69978.080000000002</v>
      </c>
      <c r="M426">
        <v>5</v>
      </c>
      <c r="Y426" s="1">
        <f t="shared" si="30"/>
        <v>1932.8720000000001</v>
      </c>
      <c r="Z426" s="2">
        <f t="shared" si="31"/>
        <v>51736.5</v>
      </c>
      <c r="AA426" s="2">
        <f t="shared" si="32"/>
        <v>51736.483326366149</v>
      </c>
      <c r="AB426" s="1">
        <f t="shared" si="33"/>
        <v>6.3383318534896815E-2</v>
      </c>
      <c r="AC426" s="1" t="b">
        <f t="shared" si="34"/>
        <v>1</v>
      </c>
    </row>
    <row r="427" spans="1:29" x14ac:dyDescent="0.25">
      <c r="A427" s="1">
        <v>1932.181</v>
      </c>
      <c r="B427">
        <v>5</v>
      </c>
      <c r="C427" t="s">
        <v>124</v>
      </c>
      <c r="D427" s="2">
        <v>51755</v>
      </c>
      <c r="M427">
        <v>5</v>
      </c>
      <c r="Y427" s="1">
        <f t="shared" si="30"/>
        <v>1932.181</v>
      </c>
      <c r="Z427" s="2">
        <f t="shared" si="31"/>
        <v>51755</v>
      </c>
      <c r="AA427" s="2">
        <f t="shared" si="32"/>
        <v>51754.985687158704</v>
      </c>
      <c r="AB427" s="1">
        <f t="shared" si="33"/>
        <v>6.3392892717390015E-2</v>
      </c>
      <c r="AC427" s="1" t="b">
        <f t="shared" si="34"/>
        <v>1</v>
      </c>
    </row>
    <row r="428" spans="1:29" x14ac:dyDescent="0.25">
      <c r="A428" s="1">
        <v>1931.739</v>
      </c>
      <c r="B428">
        <v>5</v>
      </c>
      <c r="D428" s="2">
        <v>51766.8</v>
      </c>
      <c r="E428">
        <v>21611</v>
      </c>
      <c r="F428" t="s">
        <v>15</v>
      </c>
      <c r="G428" t="s">
        <v>28</v>
      </c>
      <c r="H428">
        <v>73378</v>
      </c>
      <c r="I428" t="s">
        <v>17</v>
      </c>
      <c r="J428" t="s">
        <v>18</v>
      </c>
      <c r="K428">
        <v>21611.19</v>
      </c>
      <c r="L428">
        <v>73378.42</v>
      </c>
      <c r="M428">
        <v>5</v>
      </c>
      <c r="Y428" s="1">
        <f t="shared" si="30"/>
        <v>1931.739</v>
      </c>
      <c r="Z428" s="2">
        <f t="shared" si="31"/>
        <v>51766.8</v>
      </c>
      <c r="AA428" s="2">
        <f t="shared" si="32"/>
        <v>51766.827713267681</v>
      </c>
      <c r="AB428" s="1">
        <f t="shared" si="33"/>
        <v>6.3399022257475693E-2</v>
      </c>
      <c r="AC428" s="1" t="b">
        <f t="shared" si="34"/>
        <v>1</v>
      </c>
    </row>
    <row r="429" spans="1:29" x14ac:dyDescent="0.25">
      <c r="A429" s="1">
        <v>1931.3679999999999</v>
      </c>
      <c r="B429">
        <v>1</v>
      </c>
      <c r="D429" s="2">
        <v>51776.800000000003</v>
      </c>
      <c r="M429">
        <v>5</v>
      </c>
      <c r="Y429" s="1">
        <f t="shared" si="30"/>
        <v>1931.3679999999999</v>
      </c>
      <c r="Z429" s="2">
        <f t="shared" si="31"/>
        <v>51776.800000000003</v>
      </c>
      <c r="AA429" s="2">
        <f t="shared" si="32"/>
        <v>51776.771697573946</v>
      </c>
      <c r="AB429" s="1">
        <f t="shared" si="33"/>
        <v>6.340417043711348E-2</v>
      </c>
      <c r="AC429" s="1" t="b">
        <f t="shared" si="34"/>
        <v>1</v>
      </c>
    </row>
    <row r="430" spans="1:29" x14ac:dyDescent="0.25">
      <c r="A430" s="1">
        <v>1930.8130000000001</v>
      </c>
      <c r="B430">
        <v>40</v>
      </c>
      <c r="D430" s="2">
        <v>51791.6</v>
      </c>
      <c r="M430">
        <v>5</v>
      </c>
      <c r="Y430" s="1">
        <f t="shared" si="30"/>
        <v>1930.8130000000001</v>
      </c>
      <c r="Z430" s="2">
        <f t="shared" si="31"/>
        <v>51791.6</v>
      </c>
      <c r="AA430" s="2">
        <f t="shared" si="32"/>
        <v>51791.654603527109</v>
      </c>
      <c r="AB430" s="1">
        <f t="shared" si="33"/>
        <v>6.3411877432855257E-2</v>
      </c>
      <c r="AC430" s="1" t="b">
        <f t="shared" si="34"/>
        <v>1</v>
      </c>
    </row>
    <row r="431" spans="1:29" x14ac:dyDescent="0.25">
      <c r="A431" s="1">
        <v>1930.3489999999999</v>
      </c>
      <c r="B431">
        <v>10</v>
      </c>
      <c r="D431" s="2">
        <v>51804.1</v>
      </c>
      <c r="E431">
        <v>17627</v>
      </c>
      <c r="F431" t="s">
        <v>15</v>
      </c>
      <c r="G431" t="s">
        <v>16</v>
      </c>
      <c r="H431">
        <v>69431</v>
      </c>
      <c r="I431" t="s">
        <v>17</v>
      </c>
      <c r="J431" t="s">
        <v>18</v>
      </c>
      <c r="K431">
        <v>17627</v>
      </c>
      <c r="L431">
        <v>69431</v>
      </c>
      <c r="M431">
        <v>5</v>
      </c>
      <c r="Y431" s="1">
        <f t="shared" si="30"/>
        <v>1930.3489999999999</v>
      </c>
      <c r="Z431" s="2">
        <f t="shared" si="31"/>
        <v>51804.1</v>
      </c>
      <c r="AA431" s="2">
        <f t="shared" si="32"/>
        <v>51804.103817496216</v>
      </c>
      <c r="AB431" s="1">
        <f t="shared" si="33"/>
        <v>6.3418325861669636E-2</v>
      </c>
      <c r="AC431" s="1" t="b">
        <f t="shared" si="34"/>
        <v>1</v>
      </c>
    </row>
    <row r="432" spans="1:29" x14ac:dyDescent="0.25">
      <c r="A432" s="1">
        <v>1930.001</v>
      </c>
      <c r="B432">
        <v>3</v>
      </c>
      <c r="D432" s="2">
        <v>51813.4</v>
      </c>
      <c r="M432">
        <v>5</v>
      </c>
      <c r="Y432" s="1">
        <f t="shared" si="30"/>
        <v>1930.001</v>
      </c>
      <c r="Z432" s="2">
        <f t="shared" si="31"/>
        <v>51813.4</v>
      </c>
      <c r="AA432" s="2">
        <f t="shared" si="32"/>
        <v>51813.444656246291</v>
      </c>
      <c r="AB432" s="1">
        <f t="shared" si="33"/>
        <v>6.3423165235729495E-2</v>
      </c>
      <c r="AC432" s="1" t="b">
        <f t="shared" si="34"/>
        <v>1</v>
      </c>
    </row>
    <row r="433" spans="1:29" x14ac:dyDescent="0.25">
      <c r="A433" s="1">
        <v>1929.92</v>
      </c>
      <c r="B433">
        <v>20</v>
      </c>
      <c r="D433" s="2">
        <v>51815.6</v>
      </c>
      <c r="E433">
        <v>16516</v>
      </c>
      <c r="F433" t="s">
        <v>15</v>
      </c>
      <c r="G433" t="s">
        <v>18</v>
      </c>
      <c r="H433">
        <v>68331</v>
      </c>
      <c r="I433" t="s">
        <v>17</v>
      </c>
      <c r="J433" t="s">
        <v>18</v>
      </c>
      <c r="K433">
        <v>16516.150000000001</v>
      </c>
      <c r="L433">
        <v>68331.73</v>
      </c>
      <c r="M433">
        <v>5</v>
      </c>
      <c r="Y433" s="1">
        <f t="shared" si="30"/>
        <v>1929.92</v>
      </c>
      <c r="Z433" s="2">
        <f t="shared" si="31"/>
        <v>51815.6</v>
      </c>
      <c r="AA433" s="2">
        <f t="shared" si="32"/>
        <v>51815.619300281876</v>
      </c>
      <c r="AB433" s="1">
        <f t="shared" si="33"/>
        <v>6.3424292017358719E-2</v>
      </c>
      <c r="AC433" s="1" t="b">
        <f t="shared" si="34"/>
        <v>1</v>
      </c>
    </row>
    <row r="434" spans="1:29" x14ac:dyDescent="0.25">
      <c r="A434" s="1">
        <v>1929.7059999999999</v>
      </c>
      <c r="B434">
        <v>30</v>
      </c>
      <c r="D434" s="2">
        <v>51821.4</v>
      </c>
      <c r="E434">
        <v>15045</v>
      </c>
      <c r="F434" t="s">
        <v>15</v>
      </c>
      <c r="G434" t="s">
        <v>28</v>
      </c>
      <c r="H434">
        <v>66867</v>
      </c>
      <c r="I434" t="s">
        <v>17</v>
      </c>
      <c r="J434" t="s">
        <v>29</v>
      </c>
      <c r="K434">
        <v>15045.8</v>
      </c>
      <c r="L434">
        <v>66867.09</v>
      </c>
      <c r="M434">
        <v>5</v>
      </c>
      <c r="Y434" s="1">
        <f t="shared" si="30"/>
        <v>1929.7059999999999</v>
      </c>
      <c r="Z434" s="2">
        <f t="shared" si="31"/>
        <v>51821.4</v>
      </c>
      <c r="AA434" s="2">
        <f t="shared" si="32"/>
        <v>51821.365534438926</v>
      </c>
      <c r="AB434" s="1">
        <f t="shared" si="33"/>
        <v>6.3427269629269672E-2</v>
      </c>
      <c r="AC434" s="1" t="b">
        <f t="shared" si="34"/>
        <v>1</v>
      </c>
    </row>
    <row r="435" spans="1:29" x14ac:dyDescent="0.25">
      <c r="A435" s="1">
        <v>1928.2460000000001</v>
      </c>
      <c r="B435">
        <v>7</v>
      </c>
      <c r="D435" s="2">
        <v>51860.6</v>
      </c>
      <c r="M435">
        <v>5</v>
      </c>
      <c r="Y435" s="1">
        <f t="shared" si="30"/>
        <v>1928.2460000000001</v>
      </c>
      <c r="Z435" s="2">
        <f t="shared" si="31"/>
        <v>51860.6</v>
      </c>
      <c r="AA435" s="2">
        <f t="shared" si="32"/>
        <v>51860.602848391747</v>
      </c>
      <c r="AB435" s="1">
        <f t="shared" si="33"/>
        <v>6.3447610638993096E-2</v>
      </c>
      <c r="AC435" s="1" t="b">
        <f t="shared" si="34"/>
        <v>1</v>
      </c>
    </row>
    <row r="436" spans="1:29" x14ac:dyDescent="0.25">
      <c r="A436" s="1">
        <v>1927.8209999999999</v>
      </c>
      <c r="B436">
        <v>20</v>
      </c>
      <c r="D436" s="2">
        <v>51872</v>
      </c>
      <c r="M436">
        <v>5</v>
      </c>
      <c r="Y436" s="1">
        <f t="shared" si="30"/>
        <v>1927.8209999999999</v>
      </c>
      <c r="Z436" s="2">
        <f t="shared" si="31"/>
        <v>51872</v>
      </c>
      <c r="AA436" s="2">
        <f t="shared" si="32"/>
        <v>51872.035837352123</v>
      </c>
      <c r="AB436" s="1">
        <f t="shared" si="33"/>
        <v>6.3453540509557718E-2</v>
      </c>
      <c r="AC436" s="1" t="b">
        <f t="shared" si="34"/>
        <v>1</v>
      </c>
    </row>
    <row r="437" spans="1:29" x14ac:dyDescent="0.25">
      <c r="A437" s="1">
        <v>1927.7739999999999</v>
      </c>
      <c r="B437">
        <v>20</v>
      </c>
      <c r="D437" s="2">
        <v>51873.3</v>
      </c>
      <c r="E437">
        <v>15525</v>
      </c>
      <c r="F437" t="s">
        <v>15</v>
      </c>
      <c r="G437" t="s">
        <v>23</v>
      </c>
      <c r="H437">
        <v>67398</v>
      </c>
      <c r="I437" t="s">
        <v>17</v>
      </c>
      <c r="J437" t="s">
        <v>16</v>
      </c>
      <c r="K437">
        <v>15525.5</v>
      </c>
      <c r="L437">
        <v>67398.789999999994</v>
      </c>
      <c r="M437">
        <v>5</v>
      </c>
      <c r="Y437" s="1">
        <f t="shared" si="30"/>
        <v>1927.7739999999999</v>
      </c>
      <c r="Z437" s="2">
        <f t="shared" si="31"/>
        <v>51873.3</v>
      </c>
      <c r="AA437" s="2">
        <f t="shared" si="32"/>
        <v>51873.300500992336</v>
      </c>
      <c r="AB437" s="1">
        <f t="shared" si="33"/>
        <v>6.3454196524331263E-2</v>
      </c>
      <c r="AC437" s="1" t="b">
        <f t="shared" si="34"/>
        <v>1</v>
      </c>
    </row>
    <row r="438" spans="1:29" x14ac:dyDescent="0.25">
      <c r="A438" s="1">
        <v>1927.6780000000001</v>
      </c>
      <c r="B438">
        <v>4</v>
      </c>
      <c r="D438" s="2">
        <v>51875.9</v>
      </c>
      <c r="E438">
        <v>14859</v>
      </c>
      <c r="F438" t="s">
        <v>15</v>
      </c>
      <c r="G438" t="s">
        <v>23</v>
      </c>
      <c r="H438">
        <v>66735</v>
      </c>
      <c r="I438" t="s">
        <v>17</v>
      </c>
      <c r="J438" t="s">
        <v>50</v>
      </c>
      <c r="K438">
        <v>14859.96</v>
      </c>
      <c r="L438">
        <v>66735.88</v>
      </c>
      <c r="M438">
        <v>5</v>
      </c>
      <c r="Y438" s="1">
        <f t="shared" si="30"/>
        <v>1927.6780000000001</v>
      </c>
      <c r="Z438" s="2">
        <f t="shared" si="31"/>
        <v>51875.9</v>
      </c>
      <c r="AA438" s="2">
        <f t="shared" si="32"/>
        <v>51875.883835370842</v>
      </c>
      <c r="AB438" s="1">
        <f t="shared" si="33"/>
        <v>6.3455536618504449E-2</v>
      </c>
      <c r="AC438" s="1" t="b">
        <f t="shared" si="34"/>
        <v>1</v>
      </c>
    </row>
    <row r="439" spans="1:29" x14ac:dyDescent="0.25">
      <c r="A439" s="1">
        <v>1927.095</v>
      </c>
      <c r="B439">
        <v>300</v>
      </c>
      <c r="D439" s="2">
        <v>51891.6</v>
      </c>
      <c r="E439">
        <v>19700</v>
      </c>
      <c r="F439" t="s">
        <v>15</v>
      </c>
      <c r="G439" t="s">
        <v>23</v>
      </c>
      <c r="H439">
        <v>71592</v>
      </c>
      <c r="I439" t="s">
        <v>17</v>
      </c>
      <c r="J439" t="s">
        <v>16</v>
      </c>
      <c r="K439">
        <v>19700.900000000001</v>
      </c>
      <c r="L439">
        <v>71592.34</v>
      </c>
      <c r="M439">
        <v>5</v>
      </c>
      <c r="Y439" s="1">
        <f t="shared" si="30"/>
        <v>1927.095</v>
      </c>
      <c r="Z439" s="2">
        <f t="shared" si="31"/>
        <v>51891.6</v>
      </c>
      <c r="AA439" s="2">
        <f t="shared" si="32"/>
        <v>51891.577737475316</v>
      </c>
      <c r="AB439" s="1">
        <f t="shared" si="33"/>
        <v>6.3463679200422229E-2</v>
      </c>
      <c r="AC439" s="1" t="b">
        <f t="shared" si="34"/>
        <v>1</v>
      </c>
    </row>
    <row r="440" spans="1:29" x14ac:dyDescent="0.25">
      <c r="A440" s="1">
        <v>1926.884</v>
      </c>
      <c r="B440">
        <v>3</v>
      </c>
      <c r="D440" s="2">
        <v>51897.3</v>
      </c>
      <c r="E440">
        <v>15045</v>
      </c>
      <c r="F440" t="s">
        <v>15</v>
      </c>
      <c r="G440" t="s">
        <v>28</v>
      </c>
      <c r="H440">
        <v>66943</v>
      </c>
      <c r="I440" t="s">
        <v>17</v>
      </c>
      <c r="J440" t="s">
        <v>28</v>
      </c>
      <c r="K440">
        <v>15045.8</v>
      </c>
      <c r="L440">
        <v>66943.039999999994</v>
      </c>
      <c r="M440">
        <v>5</v>
      </c>
      <c r="Y440" s="1">
        <f t="shared" si="30"/>
        <v>1926.884</v>
      </c>
      <c r="Z440" s="2">
        <f t="shared" si="31"/>
        <v>51897.3</v>
      </c>
      <c r="AA440" s="2">
        <f t="shared" si="32"/>
        <v>51897.260032259335</v>
      </c>
      <c r="AB440" s="1">
        <f t="shared" si="33"/>
        <v>6.3466627994279712E-2</v>
      </c>
      <c r="AC440" s="1" t="b">
        <f t="shared" si="34"/>
        <v>1</v>
      </c>
    </row>
    <row r="441" spans="1:29" x14ac:dyDescent="0.25">
      <c r="A441" s="1">
        <v>1925.579</v>
      </c>
      <c r="B441">
        <v>3</v>
      </c>
      <c r="C441" t="s">
        <v>124</v>
      </c>
      <c r="D441" s="2">
        <v>51932.4</v>
      </c>
      <c r="M441">
        <v>5</v>
      </c>
      <c r="Y441" s="1">
        <f t="shared" si="30"/>
        <v>1925.579</v>
      </c>
      <c r="Z441" s="2">
        <f t="shared" si="31"/>
        <v>51932.4</v>
      </c>
      <c r="AA441" s="2">
        <f t="shared" si="32"/>
        <v>51932.431751696502</v>
      </c>
      <c r="AB441" s="1">
        <f t="shared" si="33"/>
        <v>6.3484887338223078E-2</v>
      </c>
      <c r="AC441" s="1" t="b">
        <f t="shared" si="34"/>
        <v>1</v>
      </c>
    </row>
    <row r="442" spans="1:29" x14ac:dyDescent="0.25">
      <c r="A442" s="1">
        <v>1925.184</v>
      </c>
      <c r="B442">
        <v>10</v>
      </c>
      <c r="D442" s="2">
        <v>51943.1</v>
      </c>
      <c r="E442">
        <v>27452</v>
      </c>
      <c r="F442" t="s">
        <v>15</v>
      </c>
      <c r="G442" t="s">
        <v>28</v>
      </c>
      <c r="H442">
        <v>79395</v>
      </c>
      <c r="I442" t="s">
        <v>17</v>
      </c>
      <c r="J442" t="s">
        <v>18</v>
      </c>
      <c r="K442">
        <v>27452.45</v>
      </c>
      <c r="L442">
        <v>79395.55</v>
      </c>
      <c r="M442">
        <v>5</v>
      </c>
      <c r="Y442" s="1">
        <f t="shared" si="30"/>
        <v>1925.184</v>
      </c>
      <c r="Z442" s="2">
        <f t="shared" si="31"/>
        <v>51943.1</v>
      </c>
      <c r="AA442" s="2">
        <f t="shared" si="32"/>
        <v>51943.086998437553</v>
      </c>
      <c r="AB442" s="1">
        <f t="shared" si="33"/>
        <v>6.3490421434636263E-2</v>
      </c>
      <c r="AC442" s="1" t="b">
        <f t="shared" si="34"/>
        <v>1</v>
      </c>
    </row>
    <row r="443" spans="1:29" x14ac:dyDescent="0.25">
      <c r="A443" s="1">
        <v>1924.451</v>
      </c>
      <c r="B443">
        <v>30</v>
      </c>
      <c r="D443" s="2">
        <v>51962.9</v>
      </c>
      <c r="E443">
        <v>23651</v>
      </c>
      <c r="F443" t="s">
        <v>15</v>
      </c>
      <c r="G443" t="s">
        <v>18</v>
      </c>
      <c r="H443">
        <v>75614</v>
      </c>
      <c r="I443" t="s">
        <v>17</v>
      </c>
      <c r="J443" t="s">
        <v>28</v>
      </c>
      <c r="K443">
        <v>23651.88</v>
      </c>
      <c r="L443">
        <v>75614.81</v>
      </c>
      <c r="M443">
        <v>5</v>
      </c>
      <c r="Y443" s="1">
        <f t="shared" si="30"/>
        <v>1924.451</v>
      </c>
      <c r="Z443" s="2">
        <f t="shared" si="31"/>
        <v>51962.9</v>
      </c>
      <c r="AA443" s="2">
        <f t="shared" si="32"/>
        <v>51962.871489063633</v>
      </c>
      <c r="AB443" s="1">
        <f t="shared" si="33"/>
        <v>6.3500700066944721E-2</v>
      </c>
      <c r="AC443" s="1" t="b">
        <f t="shared" si="34"/>
        <v>1</v>
      </c>
    </row>
    <row r="444" spans="1:29" x14ac:dyDescent="0.25">
      <c r="A444" s="1">
        <v>1923.365</v>
      </c>
      <c r="B444">
        <v>300</v>
      </c>
      <c r="D444" s="2">
        <v>51992.2</v>
      </c>
      <c r="E444">
        <v>23647</v>
      </c>
      <c r="F444" t="s">
        <v>15</v>
      </c>
      <c r="G444" t="s">
        <v>50</v>
      </c>
      <c r="H444">
        <v>75640</v>
      </c>
      <c r="I444" t="s">
        <v>17</v>
      </c>
      <c r="J444" t="s">
        <v>23</v>
      </c>
      <c r="K444">
        <v>23647.77</v>
      </c>
      <c r="L444">
        <v>75640</v>
      </c>
      <c r="M444">
        <v>5</v>
      </c>
      <c r="Y444" s="1">
        <f t="shared" si="30"/>
        <v>1923.365</v>
      </c>
      <c r="Z444" s="2">
        <f t="shared" si="31"/>
        <v>51992.2</v>
      </c>
      <c r="AA444" s="2">
        <f t="shared" si="32"/>
        <v>51992.211566707309</v>
      </c>
      <c r="AB444" s="1">
        <f t="shared" si="33"/>
        <v>6.3515950317986264E-2</v>
      </c>
      <c r="AC444" s="1" t="b">
        <f t="shared" si="34"/>
        <v>1</v>
      </c>
    </row>
    <row r="445" spans="1:29" x14ac:dyDescent="0.25">
      <c r="A445" s="1">
        <v>1923.154</v>
      </c>
      <c r="B445">
        <v>2</v>
      </c>
      <c r="D445" s="2">
        <v>51997.9</v>
      </c>
      <c r="M445">
        <v>5</v>
      </c>
      <c r="Y445" s="1">
        <f t="shared" si="30"/>
        <v>1923.154</v>
      </c>
      <c r="Z445" s="2">
        <f t="shared" si="31"/>
        <v>51997.9</v>
      </c>
      <c r="AA445" s="2">
        <f t="shared" si="32"/>
        <v>51997.915923529785</v>
      </c>
      <c r="AB445" s="1">
        <f t="shared" si="33"/>
        <v>6.3518916301952361E-2</v>
      </c>
      <c r="AC445" s="1" t="b">
        <f t="shared" si="34"/>
        <v>1</v>
      </c>
    </row>
    <row r="446" spans="1:29" x14ac:dyDescent="0.25">
      <c r="A446" s="1">
        <v>1922.6890000000001</v>
      </c>
      <c r="B446">
        <v>200</v>
      </c>
      <c r="D446" s="2">
        <v>52010.5</v>
      </c>
      <c r="E446">
        <v>12846</v>
      </c>
      <c r="F446" t="s">
        <v>15</v>
      </c>
      <c r="G446" t="s">
        <v>16</v>
      </c>
      <c r="H446">
        <v>64857</v>
      </c>
      <c r="I446" t="s">
        <v>17</v>
      </c>
      <c r="J446" t="s">
        <v>16</v>
      </c>
      <c r="K446">
        <v>12846.66</v>
      </c>
      <c r="L446">
        <v>64857.15</v>
      </c>
      <c r="M446">
        <v>5</v>
      </c>
      <c r="Y446" s="1">
        <f t="shared" si="30"/>
        <v>1922.6890000000001</v>
      </c>
      <c r="Z446" s="2">
        <f t="shared" si="31"/>
        <v>52010.5</v>
      </c>
      <c r="AA446" s="2">
        <f t="shared" si="32"/>
        <v>52010.491556356748</v>
      </c>
      <c r="AB446" s="1">
        <f t="shared" si="33"/>
        <v>6.3525456159669286E-2</v>
      </c>
      <c r="AC446" s="1" t="b">
        <f t="shared" si="34"/>
        <v>1</v>
      </c>
    </row>
    <row r="447" spans="1:29" x14ac:dyDescent="0.25">
      <c r="A447" s="1">
        <v>1922.4590000000001</v>
      </c>
      <c r="B447">
        <v>3</v>
      </c>
      <c r="D447" s="2">
        <v>52016.7</v>
      </c>
      <c r="E447">
        <v>26446</v>
      </c>
      <c r="F447" t="s">
        <v>15</v>
      </c>
      <c r="G447" t="s">
        <v>18</v>
      </c>
      <c r="H447">
        <v>78463</v>
      </c>
      <c r="I447" t="s">
        <v>17</v>
      </c>
      <c r="J447" t="s">
        <v>18</v>
      </c>
      <c r="K447">
        <v>26446.97</v>
      </c>
      <c r="L447">
        <v>78463.600000000006</v>
      </c>
      <c r="M447">
        <v>5</v>
      </c>
      <c r="Y447" s="1">
        <f t="shared" si="30"/>
        <v>1922.4590000000001</v>
      </c>
      <c r="Z447" s="2">
        <f t="shared" si="31"/>
        <v>52016.7</v>
      </c>
      <c r="AA447" s="2">
        <f t="shared" si="32"/>
        <v>52016.714010545867</v>
      </c>
      <c r="AB447" s="1">
        <f t="shared" si="33"/>
        <v>6.3528692682274596E-2</v>
      </c>
      <c r="AC447" s="1" t="b">
        <f t="shared" si="34"/>
        <v>1</v>
      </c>
    </row>
    <row r="448" spans="1:29" x14ac:dyDescent="0.25">
      <c r="A448" s="1">
        <v>1922.394</v>
      </c>
      <c r="B448">
        <v>1</v>
      </c>
      <c r="D448" s="2">
        <v>52018.5</v>
      </c>
      <c r="E448">
        <v>12846</v>
      </c>
      <c r="F448" t="s">
        <v>15</v>
      </c>
      <c r="G448" t="s">
        <v>16</v>
      </c>
      <c r="H448">
        <v>64865</v>
      </c>
      <c r="I448" t="s">
        <v>17</v>
      </c>
      <c r="J448" t="s">
        <v>23</v>
      </c>
      <c r="K448">
        <v>12846.66</v>
      </c>
      <c r="L448">
        <v>64865.15</v>
      </c>
      <c r="M448">
        <v>5</v>
      </c>
      <c r="Y448" s="1">
        <f t="shared" si="30"/>
        <v>1922.394</v>
      </c>
      <c r="Z448" s="2">
        <f t="shared" si="31"/>
        <v>52018.5</v>
      </c>
      <c r="AA448" s="2">
        <f t="shared" si="32"/>
        <v>52018.472800060757</v>
      </c>
      <c r="AB448" s="1">
        <f t="shared" si="33"/>
        <v>6.3529607562253315E-2</v>
      </c>
      <c r="AC448" s="1" t="b">
        <f t="shared" si="34"/>
        <v>1</v>
      </c>
    </row>
    <row r="449" spans="1:29" x14ac:dyDescent="0.25">
      <c r="A449" s="1">
        <v>1922.1780000000001</v>
      </c>
      <c r="B449">
        <v>20</v>
      </c>
      <c r="D449" s="2">
        <v>52024.3</v>
      </c>
      <c r="E449">
        <v>22080</v>
      </c>
      <c r="F449" t="s">
        <v>15</v>
      </c>
      <c r="G449" t="s">
        <v>18</v>
      </c>
      <c r="H449">
        <v>74105</v>
      </c>
      <c r="I449" t="s">
        <v>17</v>
      </c>
      <c r="J449" t="s">
        <v>28</v>
      </c>
      <c r="K449">
        <v>22080.94</v>
      </c>
      <c r="L449">
        <v>74105.2</v>
      </c>
      <c r="M449">
        <v>5</v>
      </c>
      <c r="Y449" s="1">
        <f t="shared" si="30"/>
        <v>1922.1780000000001</v>
      </c>
      <c r="Z449" s="2">
        <f t="shared" si="31"/>
        <v>52024.3</v>
      </c>
      <c r="AA449" s="2">
        <f t="shared" si="32"/>
        <v>52024.318247321527</v>
      </c>
      <c r="AB449" s="1">
        <f t="shared" si="33"/>
        <v>6.3532648445492959E-2</v>
      </c>
      <c r="AC449" s="1" t="b">
        <f t="shared" si="34"/>
        <v>1</v>
      </c>
    </row>
    <row r="450" spans="1:29" x14ac:dyDescent="0.25">
      <c r="A450" s="1">
        <v>1922.047</v>
      </c>
      <c r="B450">
        <v>10</v>
      </c>
      <c r="C450" t="s">
        <v>27</v>
      </c>
      <c r="D450" s="2">
        <v>52027.9</v>
      </c>
      <c r="E450">
        <v>16516</v>
      </c>
      <c r="F450" t="s">
        <v>15</v>
      </c>
      <c r="G450" t="s">
        <v>18</v>
      </c>
      <c r="H450">
        <v>68544</v>
      </c>
      <c r="I450" t="s">
        <v>17</v>
      </c>
      <c r="J450" t="s">
        <v>16</v>
      </c>
      <c r="K450">
        <v>16516.150000000001</v>
      </c>
      <c r="L450">
        <v>68544.19</v>
      </c>
      <c r="M450">
        <v>5</v>
      </c>
      <c r="Y450" s="1">
        <f t="shared" si="30"/>
        <v>1922.047</v>
      </c>
      <c r="Z450" s="2">
        <f t="shared" si="31"/>
        <v>52027.9</v>
      </c>
      <c r="AA450" s="2">
        <f t="shared" si="32"/>
        <v>52027.8640428668</v>
      </c>
      <c r="AB450" s="1">
        <f t="shared" si="33"/>
        <v>6.3534493184315158E-2</v>
      </c>
      <c r="AC450" s="1" t="b">
        <f t="shared" si="34"/>
        <v>1</v>
      </c>
    </row>
    <row r="451" spans="1:29" x14ac:dyDescent="0.25">
      <c r="A451" s="1">
        <v>1922.047</v>
      </c>
      <c r="B451">
        <v>10</v>
      </c>
      <c r="C451" t="s">
        <v>27</v>
      </c>
      <c r="D451" s="2">
        <v>52027.9</v>
      </c>
      <c r="E451">
        <v>23532</v>
      </c>
      <c r="F451" t="s">
        <v>15</v>
      </c>
      <c r="G451" t="s">
        <v>28</v>
      </c>
      <c r="H451">
        <v>75560</v>
      </c>
      <c r="I451" t="s">
        <v>17</v>
      </c>
      <c r="J451" t="s">
        <v>28</v>
      </c>
      <c r="K451">
        <v>23532.86</v>
      </c>
      <c r="L451">
        <v>75560.75</v>
      </c>
      <c r="M451">
        <v>5</v>
      </c>
      <c r="Y451" s="1">
        <f t="shared" ref="Y451:Y514" si="35">ROUND($A451,3)+0</f>
        <v>1922.047</v>
      </c>
      <c r="Z451" s="2">
        <f t="shared" ref="Z451:Z514" si="36">ROUND($D451,1)+0</f>
        <v>52027.9</v>
      </c>
      <c r="AA451" s="2">
        <f t="shared" ref="AA451:AA514" si="37">100000000/Y451</f>
        <v>52027.8640428668</v>
      </c>
      <c r="AB451" s="1">
        <f t="shared" ref="AB451:AB514" si="38">0.0005/$Y451*AA451+0.05</f>
        <v>6.3534493184315158E-2</v>
      </c>
      <c r="AC451" s="1" t="b">
        <f t="shared" ref="AC451:AC514" si="39">ABS(Z451-AA451)&lt;AB451</f>
        <v>1</v>
      </c>
    </row>
    <row r="452" spans="1:29" x14ac:dyDescent="0.25">
      <c r="A452" s="1">
        <v>1921.828</v>
      </c>
      <c r="B452">
        <v>2</v>
      </c>
      <c r="D452" s="2">
        <v>52033.8</v>
      </c>
      <c r="M452">
        <v>5</v>
      </c>
      <c r="Y452" s="1">
        <f t="shared" si="35"/>
        <v>1921.828</v>
      </c>
      <c r="Z452" s="2">
        <f t="shared" si="36"/>
        <v>52033.8</v>
      </c>
      <c r="AA452" s="2">
        <f t="shared" si="37"/>
        <v>52033.792826413184</v>
      </c>
      <c r="AB452" s="1">
        <f t="shared" si="38"/>
        <v>6.3537577979510443E-2</v>
      </c>
      <c r="AC452" s="1" t="b">
        <f t="shared" si="39"/>
        <v>1</v>
      </c>
    </row>
    <row r="453" spans="1:29" x14ac:dyDescent="0.25">
      <c r="A453" s="1">
        <v>1921.7629999999999</v>
      </c>
      <c r="B453">
        <v>50</v>
      </c>
      <c r="D453" s="2">
        <v>52035.6</v>
      </c>
      <c r="E453">
        <v>19700</v>
      </c>
      <c r="F453" t="s">
        <v>15</v>
      </c>
      <c r="G453" t="s">
        <v>23</v>
      </c>
      <c r="H453">
        <v>71736</v>
      </c>
      <c r="I453" t="s">
        <v>17</v>
      </c>
      <c r="J453" t="s">
        <v>23</v>
      </c>
      <c r="K453">
        <v>19700.900000000001</v>
      </c>
      <c r="L453">
        <v>71736.45</v>
      </c>
      <c r="M453">
        <v>5</v>
      </c>
      <c r="Y453" s="1">
        <f t="shared" si="35"/>
        <v>1921.7629999999999</v>
      </c>
      <c r="Z453" s="2">
        <f t="shared" si="36"/>
        <v>52035.6</v>
      </c>
      <c r="AA453" s="2">
        <f t="shared" si="37"/>
        <v>52035.552771075309</v>
      </c>
      <c r="AB453" s="1">
        <f t="shared" si="38"/>
        <v>6.3538493760956827E-2</v>
      </c>
      <c r="AC453" s="1" t="b">
        <f t="shared" si="39"/>
        <v>1</v>
      </c>
    </row>
    <row r="454" spans="1:29" x14ac:dyDescent="0.25">
      <c r="A454" s="1">
        <v>1920.8689999999999</v>
      </c>
      <c r="B454">
        <v>1</v>
      </c>
      <c r="D454" s="2">
        <v>52059.8</v>
      </c>
      <c r="M454">
        <v>5</v>
      </c>
      <c r="Y454" s="1">
        <f t="shared" si="35"/>
        <v>1920.8689999999999</v>
      </c>
      <c r="Z454" s="2">
        <f t="shared" si="36"/>
        <v>52059.8</v>
      </c>
      <c r="AA454" s="2">
        <f t="shared" si="37"/>
        <v>52059.770864124519</v>
      </c>
      <c r="AB454" s="1">
        <f t="shared" si="38"/>
        <v>6.3551098712125748E-2</v>
      </c>
      <c r="AC454" s="1" t="b">
        <f t="shared" si="39"/>
        <v>1</v>
      </c>
    </row>
    <row r="455" spans="1:29" x14ac:dyDescent="0.25">
      <c r="A455" s="1">
        <v>1919.6389999999999</v>
      </c>
      <c r="B455">
        <v>1</v>
      </c>
      <c r="D455" s="2">
        <v>52093.1</v>
      </c>
      <c r="M455">
        <v>5</v>
      </c>
      <c r="Y455" s="1">
        <f t="shared" si="35"/>
        <v>1919.6389999999999</v>
      </c>
      <c r="Z455" s="2">
        <f t="shared" si="36"/>
        <v>52093.1</v>
      </c>
      <c r="AA455" s="2">
        <f t="shared" si="37"/>
        <v>52093.127926657049</v>
      </c>
      <c r="AB455" s="1">
        <f t="shared" si="38"/>
        <v>6.3568469885915288E-2</v>
      </c>
      <c r="AC455" s="1" t="b">
        <f t="shared" si="39"/>
        <v>1</v>
      </c>
    </row>
    <row r="456" spans="1:29" x14ac:dyDescent="0.25">
      <c r="A456" s="1">
        <v>1919.162</v>
      </c>
      <c r="B456">
        <v>30</v>
      </c>
      <c r="D456" s="2">
        <v>52106.1</v>
      </c>
      <c r="E456">
        <v>19872</v>
      </c>
      <c r="F456" t="s">
        <v>15</v>
      </c>
      <c r="G456" t="s">
        <v>18</v>
      </c>
      <c r="H456">
        <v>71978</v>
      </c>
      <c r="I456" t="s">
        <v>17</v>
      </c>
      <c r="J456" t="s">
        <v>18</v>
      </c>
      <c r="K456">
        <v>19872.43</v>
      </c>
      <c r="L456">
        <v>71978.52</v>
      </c>
      <c r="M456">
        <v>5</v>
      </c>
      <c r="Y456" s="1">
        <f t="shared" si="35"/>
        <v>1919.162</v>
      </c>
      <c r="Z456" s="2">
        <f t="shared" si="36"/>
        <v>52106.1</v>
      </c>
      <c r="AA456" s="2">
        <f t="shared" si="37"/>
        <v>52106.075464186972</v>
      </c>
      <c r="AB456" s="1">
        <f t="shared" si="38"/>
        <v>6.3575215501397747E-2</v>
      </c>
      <c r="AC456" s="1" t="b">
        <f t="shared" si="39"/>
        <v>1</v>
      </c>
    </row>
    <row r="457" spans="1:29" x14ac:dyDescent="0.25">
      <c r="A457" s="1">
        <v>1918.5619999999999</v>
      </c>
      <c r="B457">
        <v>100</v>
      </c>
      <c r="D457" s="2">
        <v>52122.400000000001</v>
      </c>
      <c r="E457">
        <v>19872</v>
      </c>
      <c r="F457" t="s">
        <v>15</v>
      </c>
      <c r="G457" t="s">
        <v>18</v>
      </c>
      <c r="H457">
        <v>71994</v>
      </c>
      <c r="I457" t="s">
        <v>17</v>
      </c>
      <c r="J457" t="s">
        <v>28</v>
      </c>
      <c r="K457">
        <v>19872.43</v>
      </c>
      <c r="L457">
        <v>71994.81</v>
      </c>
      <c r="M457">
        <v>5</v>
      </c>
      <c r="Y457" s="1">
        <f t="shared" si="35"/>
        <v>1918.5619999999999</v>
      </c>
      <c r="Z457" s="2">
        <f t="shared" si="36"/>
        <v>52122.400000000001</v>
      </c>
      <c r="AA457" s="2">
        <f t="shared" si="37"/>
        <v>52122.370817310053</v>
      </c>
      <c r="AB457" s="1">
        <f t="shared" si="38"/>
        <v>6.358370769808587E-2</v>
      </c>
      <c r="AC457" s="1" t="b">
        <f t="shared" si="39"/>
        <v>1</v>
      </c>
    </row>
    <row r="458" spans="1:29" x14ac:dyDescent="0.25">
      <c r="A458" s="1">
        <v>1917.201</v>
      </c>
      <c r="B458">
        <v>1</v>
      </c>
      <c r="D458" s="2">
        <v>52159.4</v>
      </c>
      <c r="M458">
        <v>5</v>
      </c>
      <c r="Y458" s="1">
        <f t="shared" si="35"/>
        <v>1917.201</v>
      </c>
      <c r="Z458" s="2">
        <f t="shared" si="36"/>
        <v>52159.4</v>
      </c>
      <c r="AA458" s="2">
        <f t="shared" si="37"/>
        <v>52159.371917707118</v>
      </c>
      <c r="AB458" s="1">
        <f t="shared" si="38"/>
        <v>6.3603000394248474E-2</v>
      </c>
      <c r="AC458" s="1" t="b">
        <f t="shared" si="39"/>
        <v>1</v>
      </c>
    </row>
    <row r="459" spans="1:29" x14ac:dyDescent="0.25">
      <c r="A459" s="1">
        <v>1916.741</v>
      </c>
      <c r="B459">
        <v>4</v>
      </c>
      <c r="D459" s="2">
        <v>52171.9</v>
      </c>
      <c r="E459">
        <v>31254</v>
      </c>
      <c r="F459" t="s">
        <v>15</v>
      </c>
      <c r="G459" t="s">
        <v>18</v>
      </c>
      <c r="H459">
        <v>83426</v>
      </c>
      <c r="I459" t="s">
        <v>17</v>
      </c>
      <c r="J459" t="s">
        <v>28</v>
      </c>
      <c r="K459">
        <v>31254.71</v>
      </c>
      <c r="L459">
        <v>83426.55</v>
      </c>
      <c r="M459">
        <v>5</v>
      </c>
      <c r="Y459" s="1">
        <f t="shared" si="35"/>
        <v>1916.741</v>
      </c>
      <c r="Z459" s="2">
        <f t="shared" si="36"/>
        <v>52171.9</v>
      </c>
      <c r="AA459" s="2">
        <f t="shared" si="37"/>
        <v>52171.889681495828</v>
      </c>
      <c r="AB459" s="1">
        <f t="shared" si="38"/>
        <v>6.3609530364690858E-2</v>
      </c>
      <c r="AC459" s="1" t="b">
        <f t="shared" si="39"/>
        <v>1</v>
      </c>
    </row>
    <row r="460" spans="1:29" x14ac:dyDescent="0.25">
      <c r="A460" s="1">
        <v>1916.5070000000001</v>
      </c>
      <c r="B460">
        <v>1</v>
      </c>
      <c r="D460" s="2">
        <v>52178.3</v>
      </c>
      <c r="M460">
        <v>5</v>
      </c>
      <c r="Y460" s="1">
        <f t="shared" si="35"/>
        <v>1916.5070000000001</v>
      </c>
      <c r="Z460" s="2">
        <f t="shared" si="36"/>
        <v>52178.3</v>
      </c>
      <c r="AA460" s="2">
        <f t="shared" si="37"/>
        <v>52178.259719374881</v>
      </c>
      <c r="AB460" s="1">
        <f t="shared" si="38"/>
        <v>6.3612853936712704E-2</v>
      </c>
      <c r="AC460" s="1" t="b">
        <f t="shared" si="39"/>
        <v>1</v>
      </c>
    </row>
    <row r="461" spans="1:29" x14ac:dyDescent="0.25">
      <c r="A461" s="1">
        <v>1916.106</v>
      </c>
      <c r="B461">
        <v>50</v>
      </c>
      <c r="D461" s="2">
        <v>52189.2</v>
      </c>
      <c r="E461">
        <v>14859</v>
      </c>
      <c r="F461" t="s">
        <v>15</v>
      </c>
      <c r="G461" t="s">
        <v>23</v>
      </c>
      <c r="H461">
        <v>67049</v>
      </c>
      <c r="I461" t="s">
        <v>17</v>
      </c>
      <c r="J461" t="s">
        <v>16</v>
      </c>
      <c r="K461">
        <v>14859.96</v>
      </c>
      <c r="L461">
        <v>67049.179999999993</v>
      </c>
      <c r="M461">
        <v>5</v>
      </c>
      <c r="Y461" s="1">
        <f t="shared" si="35"/>
        <v>1916.106</v>
      </c>
      <c r="Z461" s="2">
        <f t="shared" si="36"/>
        <v>52189.2</v>
      </c>
      <c r="AA461" s="2">
        <f t="shared" si="37"/>
        <v>52189.179513033203</v>
      </c>
      <c r="AB461" s="1">
        <f t="shared" si="38"/>
        <v>6.3618552291218031E-2</v>
      </c>
      <c r="AC461" s="1" t="b">
        <f t="shared" si="39"/>
        <v>1</v>
      </c>
    </row>
    <row r="462" spans="1:29" x14ac:dyDescent="0.25">
      <c r="A462" s="1">
        <v>1915.296</v>
      </c>
      <c r="B462">
        <v>1</v>
      </c>
      <c r="D462" s="2">
        <v>52211.199999999997</v>
      </c>
      <c r="M462">
        <v>5</v>
      </c>
      <c r="Y462" s="1">
        <f t="shared" si="35"/>
        <v>1915.296</v>
      </c>
      <c r="Z462" s="2">
        <f t="shared" si="36"/>
        <v>52211.199999999997</v>
      </c>
      <c r="AA462" s="2">
        <f t="shared" si="37"/>
        <v>52211.250898033511</v>
      </c>
      <c r="AB462" s="1">
        <f t="shared" si="38"/>
        <v>6.3630073601687029E-2</v>
      </c>
      <c r="AC462" s="1" t="b">
        <f t="shared" si="39"/>
        <v>1</v>
      </c>
    </row>
    <row r="463" spans="1:29" x14ac:dyDescent="0.25">
      <c r="A463" s="1">
        <v>1914.681</v>
      </c>
      <c r="B463">
        <v>2</v>
      </c>
      <c r="D463" s="2">
        <v>52228</v>
      </c>
      <c r="E463">
        <v>27138</v>
      </c>
      <c r="F463" t="s">
        <v>15</v>
      </c>
      <c r="G463" t="s">
        <v>18</v>
      </c>
      <c r="H463">
        <v>79366</v>
      </c>
      <c r="I463" t="s">
        <v>17</v>
      </c>
      <c r="J463" t="s">
        <v>28</v>
      </c>
      <c r="K463">
        <v>27138.55</v>
      </c>
      <c r="L463">
        <v>79366.649999999994</v>
      </c>
      <c r="M463">
        <v>5</v>
      </c>
      <c r="Y463" s="1">
        <f t="shared" si="35"/>
        <v>1914.681</v>
      </c>
      <c r="Z463" s="2">
        <f t="shared" si="36"/>
        <v>52228</v>
      </c>
      <c r="AA463" s="2">
        <f t="shared" si="37"/>
        <v>52228.021273517625</v>
      </c>
      <c r="AB463" s="1">
        <f t="shared" si="38"/>
        <v>6.3638831030735046E-2</v>
      </c>
      <c r="AC463" s="1" t="b">
        <f t="shared" si="39"/>
        <v>1</v>
      </c>
    </row>
    <row r="464" spans="1:29" x14ac:dyDescent="0.25">
      <c r="A464" s="1">
        <v>1913.9639999999999</v>
      </c>
      <c r="B464">
        <v>70</v>
      </c>
      <c r="D464" s="2">
        <v>52247.6</v>
      </c>
      <c r="M464">
        <v>5</v>
      </c>
      <c r="Y464" s="1">
        <f t="shared" si="35"/>
        <v>1913.9639999999999</v>
      </c>
      <c r="Z464" s="2">
        <f t="shared" si="36"/>
        <v>52247.6</v>
      </c>
      <c r="AA464" s="2">
        <f t="shared" si="37"/>
        <v>52247.586683971072</v>
      </c>
      <c r="AB464" s="1">
        <f t="shared" si="38"/>
        <v>6.3649051571495363E-2</v>
      </c>
      <c r="AC464" s="1" t="b">
        <f t="shared" si="39"/>
        <v>1</v>
      </c>
    </row>
    <row r="465" spans="1:29" x14ac:dyDescent="0.25">
      <c r="A465" s="1">
        <v>1913.6220000000001</v>
      </c>
      <c r="B465">
        <v>1</v>
      </c>
      <c r="D465" s="2">
        <v>52256.9</v>
      </c>
      <c r="E465">
        <v>27138</v>
      </c>
      <c r="F465" t="s">
        <v>15</v>
      </c>
      <c r="G465" t="s">
        <v>18</v>
      </c>
      <c r="H465">
        <v>79395</v>
      </c>
      <c r="I465" t="s">
        <v>17</v>
      </c>
      <c r="J465" t="s">
        <v>18</v>
      </c>
      <c r="K465">
        <v>27138.55</v>
      </c>
      <c r="L465">
        <v>79395.55</v>
      </c>
      <c r="M465">
        <v>5</v>
      </c>
      <c r="Y465" s="1">
        <f t="shared" si="35"/>
        <v>1913.6220000000001</v>
      </c>
      <c r="Z465" s="2">
        <f t="shared" si="36"/>
        <v>52256.9</v>
      </c>
      <c r="AA465" s="2">
        <f t="shared" si="37"/>
        <v>52256.924303754866</v>
      </c>
      <c r="AB465" s="1">
        <f t="shared" si="38"/>
        <v>6.3653930688441829E-2</v>
      </c>
      <c r="AC465" s="1" t="b">
        <f t="shared" si="39"/>
        <v>1</v>
      </c>
    </row>
    <row r="466" spans="1:29" x14ac:dyDescent="0.25">
      <c r="A466" s="1">
        <v>1913.3389999999999</v>
      </c>
      <c r="B466">
        <v>2</v>
      </c>
      <c r="D466" s="2">
        <v>52264.6</v>
      </c>
      <c r="M466">
        <v>5</v>
      </c>
      <c r="Y466" s="1">
        <f t="shared" si="35"/>
        <v>1913.3389999999999</v>
      </c>
      <c r="Z466" s="2">
        <f t="shared" si="36"/>
        <v>52264.6</v>
      </c>
      <c r="AA466" s="2">
        <f t="shared" si="37"/>
        <v>52264.653571583498</v>
      </c>
      <c r="AB466" s="1">
        <f t="shared" si="38"/>
        <v>6.3657970064788183E-2</v>
      </c>
      <c r="AC466" s="1" t="b">
        <f t="shared" si="39"/>
        <v>1</v>
      </c>
    </row>
    <row r="467" spans="1:29" x14ac:dyDescent="0.25">
      <c r="A467" s="1">
        <v>1913.2840000000001</v>
      </c>
      <c r="B467">
        <v>100</v>
      </c>
      <c r="C467" t="s">
        <v>124</v>
      </c>
      <c r="D467" s="2">
        <v>52266.2</v>
      </c>
      <c r="M467">
        <v>5</v>
      </c>
      <c r="Y467" s="1">
        <f t="shared" si="35"/>
        <v>1913.2840000000001</v>
      </c>
      <c r="Z467" s="2">
        <f t="shared" si="36"/>
        <v>52266.2</v>
      </c>
      <c r="AA467" s="2">
        <f t="shared" si="37"/>
        <v>52266.155991478525</v>
      </c>
      <c r="AB467" s="1">
        <f t="shared" si="38"/>
        <v>6.365875531062784E-2</v>
      </c>
      <c r="AC467" s="1" t="b">
        <f t="shared" si="39"/>
        <v>1</v>
      </c>
    </row>
    <row r="468" spans="1:29" x14ac:dyDescent="0.25">
      <c r="A468" s="1">
        <v>1912.6980000000001</v>
      </c>
      <c r="B468">
        <v>5</v>
      </c>
      <c r="D468" s="2">
        <v>52282.2</v>
      </c>
      <c r="M468">
        <v>5</v>
      </c>
      <c r="Y468" s="1">
        <f t="shared" si="35"/>
        <v>1912.6980000000001</v>
      </c>
      <c r="Z468" s="2">
        <f t="shared" si="36"/>
        <v>52282.2</v>
      </c>
      <c r="AA468" s="2">
        <f t="shared" si="37"/>
        <v>52282.168957148489</v>
      </c>
      <c r="AB468" s="1">
        <f t="shared" si="38"/>
        <v>6.3667125954319115E-2</v>
      </c>
      <c r="AC468" s="1" t="b">
        <f t="shared" si="39"/>
        <v>1</v>
      </c>
    </row>
    <row r="469" spans="1:29" x14ac:dyDescent="0.25">
      <c r="A469" s="1">
        <v>1912.6510000000001</v>
      </c>
      <c r="B469">
        <v>20</v>
      </c>
      <c r="D469" s="2">
        <v>52283.4</v>
      </c>
      <c r="E469">
        <v>19308</v>
      </c>
      <c r="F469" t="s">
        <v>15</v>
      </c>
      <c r="G469" t="s">
        <v>23</v>
      </c>
      <c r="H469">
        <v>71592</v>
      </c>
      <c r="I469" t="s">
        <v>17</v>
      </c>
      <c r="J469" t="s">
        <v>16</v>
      </c>
      <c r="K469">
        <v>19308.93</v>
      </c>
      <c r="L469">
        <v>71592.34</v>
      </c>
      <c r="M469">
        <v>5</v>
      </c>
      <c r="Y469" s="1">
        <f t="shared" si="35"/>
        <v>1912.6510000000001</v>
      </c>
      <c r="Z469" s="2">
        <f t="shared" si="36"/>
        <v>52283.4</v>
      </c>
      <c r="AA469" s="2">
        <f t="shared" si="37"/>
        <v>52283.453698557656</v>
      </c>
      <c r="AB469" s="1">
        <f t="shared" si="38"/>
        <v>6.3667797653246108E-2</v>
      </c>
      <c r="AC469" s="1" t="b">
        <f t="shared" si="39"/>
        <v>1</v>
      </c>
    </row>
    <row r="470" spans="1:29" x14ac:dyDescent="0.25">
      <c r="A470" s="1">
        <v>1911.251</v>
      </c>
      <c r="B470">
        <v>3</v>
      </c>
      <c r="D470" s="2">
        <v>52321.8</v>
      </c>
      <c r="M470">
        <v>5</v>
      </c>
      <c r="Y470" s="1">
        <f t="shared" si="35"/>
        <v>1911.251</v>
      </c>
      <c r="Z470" s="2">
        <f t="shared" si="36"/>
        <v>52321.8</v>
      </c>
      <c r="AA470" s="2">
        <f t="shared" si="37"/>
        <v>52321.751564812788</v>
      </c>
      <c r="AB470" s="1">
        <f t="shared" si="38"/>
        <v>6.3687828434049951E-2</v>
      </c>
      <c r="AC470" s="1" t="b">
        <f t="shared" si="39"/>
        <v>1</v>
      </c>
    </row>
    <row r="471" spans="1:29" x14ac:dyDescent="0.25">
      <c r="A471" s="1">
        <v>1910.242</v>
      </c>
      <c r="B471">
        <v>2</v>
      </c>
      <c r="D471" s="2">
        <v>52349.4</v>
      </c>
      <c r="E471">
        <v>15045</v>
      </c>
      <c r="F471" t="s">
        <v>15</v>
      </c>
      <c r="G471" t="s">
        <v>28</v>
      </c>
      <c r="H471">
        <v>67395</v>
      </c>
      <c r="I471" t="s">
        <v>17</v>
      </c>
      <c r="J471" t="s">
        <v>28</v>
      </c>
      <c r="K471">
        <v>15045.8</v>
      </c>
      <c r="L471">
        <v>67395.320000000007</v>
      </c>
      <c r="M471">
        <v>5</v>
      </c>
      <c r="Y471" s="1">
        <f t="shared" si="35"/>
        <v>1910.242</v>
      </c>
      <c r="Z471" s="2">
        <f t="shared" si="36"/>
        <v>52349.4</v>
      </c>
      <c r="AA471" s="2">
        <f t="shared" si="37"/>
        <v>52349.388192700193</v>
      </c>
      <c r="AB471" s="1">
        <f t="shared" si="38"/>
        <v>6.3702292220750092E-2</v>
      </c>
      <c r="AC471" s="1" t="b">
        <f t="shared" si="39"/>
        <v>1</v>
      </c>
    </row>
    <row r="472" spans="1:29" x14ac:dyDescent="0.25">
      <c r="A472" s="1">
        <v>1910.0930000000001</v>
      </c>
      <c r="B472">
        <v>1</v>
      </c>
      <c r="D472" s="2">
        <v>52353.5</v>
      </c>
      <c r="M472">
        <v>5</v>
      </c>
      <c r="Y472" s="1">
        <f t="shared" si="35"/>
        <v>1910.0930000000001</v>
      </c>
      <c r="Z472" s="2">
        <f t="shared" si="36"/>
        <v>52353.5</v>
      </c>
      <c r="AA472" s="2">
        <f t="shared" si="37"/>
        <v>52353.471794305304</v>
      </c>
      <c r="AB472" s="1">
        <f t="shared" si="38"/>
        <v>6.3704430044585605E-2</v>
      </c>
      <c r="AC472" s="1" t="b">
        <f t="shared" si="39"/>
        <v>1</v>
      </c>
    </row>
    <row r="473" spans="1:29" x14ac:dyDescent="0.25">
      <c r="A473" s="1">
        <v>1909.895</v>
      </c>
      <c r="B473">
        <v>3</v>
      </c>
      <c r="D473" s="2">
        <v>52358.9</v>
      </c>
      <c r="E473">
        <v>23050</v>
      </c>
      <c r="F473" t="s">
        <v>15</v>
      </c>
      <c r="G473" t="s">
        <v>29</v>
      </c>
      <c r="H473">
        <v>75409</v>
      </c>
      <c r="I473" t="s">
        <v>17</v>
      </c>
      <c r="J473" t="s">
        <v>29</v>
      </c>
      <c r="K473">
        <v>23050.61</v>
      </c>
      <c r="L473">
        <v>75409.58</v>
      </c>
      <c r="M473">
        <v>5</v>
      </c>
      <c r="Y473" s="1">
        <f t="shared" si="35"/>
        <v>1909.895</v>
      </c>
      <c r="Z473" s="2">
        <f t="shared" si="36"/>
        <v>52358.9</v>
      </c>
      <c r="AA473" s="2">
        <f t="shared" si="37"/>
        <v>52358.89931121868</v>
      </c>
      <c r="AB473" s="1">
        <f t="shared" si="38"/>
        <v>6.3707271685411682E-2</v>
      </c>
      <c r="AC473" s="1" t="b">
        <f t="shared" si="39"/>
        <v>1</v>
      </c>
    </row>
    <row r="474" spans="1:29" x14ac:dyDescent="0.25">
      <c r="A474" s="1">
        <v>1909.471</v>
      </c>
      <c r="B474">
        <v>200</v>
      </c>
      <c r="D474" s="2">
        <v>52370.5</v>
      </c>
      <c r="E474">
        <v>21238</v>
      </c>
      <c r="F474" t="s">
        <v>15</v>
      </c>
      <c r="G474" t="s">
        <v>50</v>
      </c>
      <c r="H474">
        <v>73609</v>
      </c>
      <c r="I474" t="s">
        <v>17</v>
      </c>
      <c r="J474" t="s">
        <v>23</v>
      </c>
      <c r="K474">
        <v>21238.78</v>
      </c>
      <c r="L474">
        <v>73609.100000000006</v>
      </c>
      <c r="M474">
        <v>5</v>
      </c>
      <c r="Y474" s="1">
        <f t="shared" si="35"/>
        <v>1909.471</v>
      </c>
      <c r="Z474" s="2">
        <f t="shared" si="36"/>
        <v>52370.5</v>
      </c>
      <c r="AA474" s="2">
        <f t="shared" si="37"/>
        <v>52370.525658677194</v>
      </c>
      <c r="AB474" s="1">
        <f t="shared" si="38"/>
        <v>6.3713359788830831E-2</v>
      </c>
      <c r="AC474" s="1" t="b">
        <f t="shared" si="39"/>
        <v>1</v>
      </c>
    </row>
    <row r="475" spans="1:29" x14ac:dyDescent="0.25">
      <c r="A475" s="1">
        <v>1909.258</v>
      </c>
      <c r="B475">
        <v>300</v>
      </c>
      <c r="D475" s="2">
        <v>52376.4</v>
      </c>
      <c r="E475">
        <v>19360</v>
      </c>
      <c r="F475" t="s">
        <v>15</v>
      </c>
      <c r="G475" t="s">
        <v>50</v>
      </c>
      <c r="H475">
        <v>71736</v>
      </c>
      <c r="I475" t="s">
        <v>17</v>
      </c>
      <c r="J475" t="s">
        <v>23</v>
      </c>
      <c r="K475">
        <v>19360.099999999999</v>
      </c>
      <c r="L475">
        <v>71736.45</v>
      </c>
      <c r="M475">
        <v>5</v>
      </c>
      <c r="Y475" s="1">
        <f t="shared" si="35"/>
        <v>1909.258</v>
      </c>
      <c r="Z475" s="2">
        <f t="shared" si="36"/>
        <v>52376.4</v>
      </c>
      <c r="AA475" s="2">
        <f t="shared" si="37"/>
        <v>52376.36820167835</v>
      </c>
      <c r="AB475" s="1">
        <f t="shared" si="38"/>
        <v>6.3716419729988913E-2</v>
      </c>
      <c r="AC475" s="1" t="b">
        <f t="shared" si="39"/>
        <v>1</v>
      </c>
    </row>
    <row r="476" spans="1:29" x14ac:dyDescent="0.25">
      <c r="A476" s="1">
        <v>1907.9559999999999</v>
      </c>
      <c r="B476">
        <v>4</v>
      </c>
      <c r="D476" s="2">
        <v>52412.1</v>
      </c>
      <c r="E476">
        <v>25409</v>
      </c>
      <c r="F476" t="s">
        <v>15</v>
      </c>
      <c r="G476" t="s">
        <v>18</v>
      </c>
      <c r="H476">
        <v>77822</v>
      </c>
      <c r="I476" t="s">
        <v>17</v>
      </c>
      <c r="J476" t="s">
        <v>28</v>
      </c>
      <c r="K476">
        <v>25409.74</v>
      </c>
      <c r="L476">
        <v>77822</v>
      </c>
      <c r="M476">
        <v>5</v>
      </c>
      <c r="Y476" s="1">
        <f t="shared" si="35"/>
        <v>1907.9559999999999</v>
      </c>
      <c r="Z476" s="2">
        <f t="shared" si="36"/>
        <v>52412.1</v>
      </c>
      <c r="AA476" s="2">
        <f t="shared" si="37"/>
        <v>52412.110132518785</v>
      </c>
      <c r="AB476" s="1">
        <f t="shared" si="38"/>
        <v>6.3735146442716398E-2</v>
      </c>
      <c r="AC476" s="1" t="b">
        <f t="shared" si="39"/>
        <v>1</v>
      </c>
    </row>
    <row r="477" spans="1:29" x14ac:dyDescent="0.25">
      <c r="A477" s="1">
        <v>1907.0540000000001</v>
      </c>
      <c r="B477">
        <v>10</v>
      </c>
      <c r="D477" s="2">
        <v>52436.9</v>
      </c>
      <c r="M477">
        <v>5</v>
      </c>
      <c r="Y477" s="1">
        <f t="shared" si="35"/>
        <v>1907.0540000000001</v>
      </c>
      <c r="Z477" s="2">
        <f t="shared" si="36"/>
        <v>52436.9</v>
      </c>
      <c r="AA477" s="2">
        <f t="shared" si="37"/>
        <v>52436.90005631723</v>
      </c>
      <c r="AB477" s="1">
        <f t="shared" si="38"/>
        <v>6.3748142437581007E-2</v>
      </c>
      <c r="AC477" s="1" t="b">
        <f t="shared" si="39"/>
        <v>1</v>
      </c>
    </row>
    <row r="478" spans="1:29" x14ac:dyDescent="0.25">
      <c r="A478" s="1">
        <v>1906.75</v>
      </c>
      <c r="B478">
        <v>10</v>
      </c>
      <c r="C478" t="s">
        <v>124</v>
      </c>
      <c r="D478" s="2">
        <v>52445.3</v>
      </c>
      <c r="M478">
        <v>5</v>
      </c>
      <c r="Y478" s="1">
        <f t="shared" si="35"/>
        <v>1906.75</v>
      </c>
      <c r="Z478" s="2">
        <f t="shared" si="36"/>
        <v>52445.3</v>
      </c>
      <c r="AA478" s="2">
        <f t="shared" si="37"/>
        <v>52445.260259604038</v>
      </c>
      <c r="AB478" s="1">
        <f t="shared" si="38"/>
        <v>6.3752526618488015E-2</v>
      </c>
      <c r="AC478" s="1" t="b">
        <f t="shared" si="39"/>
        <v>1</v>
      </c>
    </row>
    <row r="479" spans="1:29" x14ac:dyDescent="0.25">
      <c r="A479" s="1">
        <v>1906.126</v>
      </c>
      <c r="B479">
        <v>2</v>
      </c>
      <c r="D479" s="2">
        <v>52462.400000000001</v>
      </c>
      <c r="E479">
        <v>16516</v>
      </c>
      <c r="F479" t="s">
        <v>15</v>
      </c>
      <c r="G479" t="s">
        <v>18</v>
      </c>
      <c r="H479">
        <v>68978</v>
      </c>
      <c r="I479" t="s">
        <v>17</v>
      </c>
      <c r="J479" t="s">
        <v>28</v>
      </c>
      <c r="K479">
        <v>16516.150000000001</v>
      </c>
      <c r="L479">
        <v>68978.55</v>
      </c>
      <c r="M479">
        <v>5</v>
      </c>
      <c r="Y479" s="1">
        <f t="shared" si="35"/>
        <v>1906.126</v>
      </c>
      <c r="Z479" s="2">
        <f t="shared" si="36"/>
        <v>52462.400000000001</v>
      </c>
      <c r="AA479" s="2">
        <f t="shared" si="37"/>
        <v>52462.42903144913</v>
      </c>
      <c r="AB479" s="1">
        <f t="shared" si="38"/>
        <v>6.3761532299399182E-2</v>
      </c>
      <c r="AC479" s="1" t="b">
        <f t="shared" si="39"/>
        <v>1</v>
      </c>
    </row>
    <row r="480" spans="1:29" x14ac:dyDescent="0.25">
      <c r="A480" s="1">
        <v>1906.04</v>
      </c>
      <c r="B480">
        <v>40</v>
      </c>
      <c r="D480" s="2">
        <v>52464.800000000003</v>
      </c>
      <c r="E480">
        <v>23175</v>
      </c>
      <c r="F480" t="s">
        <v>15</v>
      </c>
      <c r="G480" t="s">
        <v>50</v>
      </c>
      <c r="H480">
        <v>75640</v>
      </c>
      <c r="I480" t="s">
        <v>17</v>
      </c>
      <c r="J480" t="s">
        <v>23</v>
      </c>
      <c r="K480">
        <v>23175.09</v>
      </c>
      <c r="L480">
        <v>75640</v>
      </c>
      <c r="M480">
        <v>5</v>
      </c>
      <c r="Y480" s="1">
        <f t="shared" si="35"/>
        <v>1906.04</v>
      </c>
      <c r="Z480" s="2">
        <f t="shared" si="36"/>
        <v>52464.800000000003</v>
      </c>
      <c r="AA480" s="2">
        <f t="shared" si="37"/>
        <v>52464.796121802268</v>
      </c>
      <c r="AB480" s="1">
        <f t="shared" si="38"/>
        <v>6.376277416051139E-2</v>
      </c>
      <c r="AC480" s="1" t="b">
        <f t="shared" si="39"/>
        <v>1</v>
      </c>
    </row>
    <row r="481" spans="1:29" x14ac:dyDescent="0.25">
      <c r="A481" s="1">
        <v>1905.819</v>
      </c>
      <c r="B481">
        <v>20</v>
      </c>
      <c r="C481" t="s">
        <v>123</v>
      </c>
      <c r="D481" s="2">
        <v>52470.9</v>
      </c>
      <c r="E481">
        <v>16516</v>
      </c>
      <c r="F481" t="s">
        <v>15</v>
      </c>
      <c r="G481" t="s">
        <v>18</v>
      </c>
      <c r="H481">
        <v>68987</v>
      </c>
      <c r="I481" t="s">
        <v>17</v>
      </c>
      <c r="J481" t="s">
        <v>18</v>
      </c>
      <c r="K481">
        <v>16516.150000000001</v>
      </c>
      <c r="L481">
        <v>68987.070000000007</v>
      </c>
      <c r="M481">
        <v>5</v>
      </c>
      <c r="Y481" s="1">
        <f t="shared" si="35"/>
        <v>1905.819</v>
      </c>
      <c r="Z481" s="2">
        <f t="shared" si="36"/>
        <v>52470.9</v>
      </c>
      <c r="AA481" s="2">
        <f t="shared" si="37"/>
        <v>52470.879973386771</v>
      </c>
      <c r="AB481" s="1">
        <f t="shared" si="38"/>
        <v>6.3765966225907814E-2</v>
      </c>
      <c r="AC481" s="1" t="b">
        <f t="shared" si="39"/>
        <v>1</v>
      </c>
    </row>
    <row r="482" spans="1:29" x14ac:dyDescent="0.25">
      <c r="A482" s="1">
        <v>1905.6880000000001</v>
      </c>
      <c r="B482">
        <v>10</v>
      </c>
      <c r="D482" s="2">
        <v>52474.5</v>
      </c>
      <c r="M482">
        <v>5</v>
      </c>
      <c r="Y482" s="1">
        <f t="shared" si="35"/>
        <v>1905.6880000000001</v>
      </c>
      <c r="Z482" s="2">
        <f t="shared" si="36"/>
        <v>52474.5</v>
      </c>
      <c r="AA482" s="2">
        <f t="shared" si="37"/>
        <v>52474.486904467049</v>
      </c>
      <c r="AB482" s="1">
        <f t="shared" si="38"/>
        <v>6.3767858879435424E-2</v>
      </c>
      <c r="AC482" s="1" t="b">
        <f t="shared" si="39"/>
        <v>1</v>
      </c>
    </row>
    <row r="483" spans="1:29" x14ac:dyDescent="0.25">
      <c r="A483" s="1">
        <v>1904.981</v>
      </c>
      <c r="B483">
        <v>1</v>
      </c>
      <c r="D483" s="2">
        <v>52494</v>
      </c>
      <c r="E483">
        <v>21611</v>
      </c>
      <c r="F483" t="s">
        <v>15</v>
      </c>
      <c r="G483" t="s">
        <v>28</v>
      </c>
      <c r="H483">
        <v>74105</v>
      </c>
      <c r="I483" t="s">
        <v>17</v>
      </c>
      <c r="J483" t="s">
        <v>28</v>
      </c>
      <c r="K483">
        <v>21611.19</v>
      </c>
      <c r="L483">
        <v>74105.2</v>
      </c>
      <c r="M483">
        <v>5</v>
      </c>
      <c r="Y483" s="1">
        <f t="shared" si="35"/>
        <v>1904.981</v>
      </c>
      <c r="Z483" s="2">
        <f t="shared" si="36"/>
        <v>52494</v>
      </c>
      <c r="AA483" s="2">
        <f t="shared" si="37"/>
        <v>52493.96188203452</v>
      </c>
      <c r="AB483" s="1">
        <f t="shared" si="38"/>
        <v>6.3778080170362475E-2</v>
      </c>
      <c r="AC483" s="1" t="b">
        <f t="shared" si="39"/>
        <v>1</v>
      </c>
    </row>
    <row r="484" spans="1:29" x14ac:dyDescent="0.25">
      <c r="A484" s="1">
        <v>1904.8620000000001</v>
      </c>
      <c r="B484">
        <v>3</v>
      </c>
      <c r="D484" s="2">
        <v>52497.2</v>
      </c>
      <c r="M484">
        <v>5</v>
      </c>
      <c r="Y484" s="1">
        <f t="shared" si="35"/>
        <v>1904.8620000000001</v>
      </c>
      <c r="Z484" s="2">
        <f t="shared" si="36"/>
        <v>52497.2</v>
      </c>
      <c r="AA484" s="2">
        <f t="shared" si="37"/>
        <v>52497.241269971259</v>
      </c>
      <c r="AB484" s="1">
        <f t="shared" si="38"/>
        <v>6.3779801704787864E-2</v>
      </c>
      <c r="AC484" s="1" t="b">
        <f t="shared" si="39"/>
        <v>1</v>
      </c>
    </row>
    <row r="485" spans="1:29" x14ac:dyDescent="0.25">
      <c r="A485" s="1">
        <v>1904.625</v>
      </c>
      <c r="B485">
        <v>1</v>
      </c>
      <c r="D485" s="2">
        <v>52503.8</v>
      </c>
      <c r="M485">
        <v>5</v>
      </c>
      <c r="Y485" s="1">
        <f t="shared" si="35"/>
        <v>1904.625</v>
      </c>
      <c r="Z485" s="2">
        <f t="shared" si="36"/>
        <v>52503.8</v>
      </c>
      <c r="AA485" s="2">
        <f t="shared" si="37"/>
        <v>52503.773708735316</v>
      </c>
      <c r="AB485" s="1">
        <f t="shared" si="38"/>
        <v>6.3783231268290427E-2</v>
      </c>
      <c r="AC485" s="1" t="b">
        <f t="shared" si="39"/>
        <v>1</v>
      </c>
    </row>
    <row r="486" spans="1:29" x14ac:dyDescent="0.25">
      <c r="A486" s="1">
        <v>1904.212</v>
      </c>
      <c r="B486">
        <v>4</v>
      </c>
      <c r="D486" s="2">
        <v>52515.199999999997</v>
      </c>
      <c r="M486">
        <v>5</v>
      </c>
      <c r="Y486" s="1">
        <f t="shared" si="35"/>
        <v>1904.212</v>
      </c>
      <c r="Z486" s="2">
        <f t="shared" si="36"/>
        <v>52515.199999999997</v>
      </c>
      <c r="AA486" s="2">
        <f t="shared" si="37"/>
        <v>52515.161127017367</v>
      </c>
      <c r="AB486" s="1">
        <f t="shared" si="38"/>
        <v>6.3789210740982982E-2</v>
      </c>
      <c r="AC486" s="1" t="b">
        <f t="shared" si="39"/>
        <v>1</v>
      </c>
    </row>
    <row r="487" spans="1:29" x14ac:dyDescent="0.25">
      <c r="A487" s="1">
        <v>1903.356</v>
      </c>
      <c r="B487">
        <v>60</v>
      </c>
      <c r="D487" s="2">
        <v>52538.8</v>
      </c>
      <c r="E487">
        <v>14859</v>
      </c>
      <c r="F487" t="s">
        <v>15</v>
      </c>
      <c r="G487" t="s">
        <v>23</v>
      </c>
      <c r="H487">
        <v>67398</v>
      </c>
      <c r="I487" t="s">
        <v>17</v>
      </c>
      <c r="J487" t="s">
        <v>16</v>
      </c>
      <c r="K487">
        <v>14859.96</v>
      </c>
      <c r="L487">
        <v>67398.789999999994</v>
      </c>
      <c r="M487">
        <v>5</v>
      </c>
      <c r="Y487" s="1">
        <f t="shared" si="35"/>
        <v>1903.356</v>
      </c>
      <c r="Z487" s="2">
        <f t="shared" si="36"/>
        <v>52538.8</v>
      </c>
      <c r="AA487" s="2">
        <f t="shared" si="37"/>
        <v>52538.778872685929</v>
      </c>
      <c r="AB487" s="1">
        <f t="shared" si="38"/>
        <v>6.3801616427164948E-2</v>
      </c>
      <c r="AC487" s="1" t="b">
        <f t="shared" si="39"/>
        <v>1</v>
      </c>
    </row>
    <row r="488" spans="1:29" x14ac:dyDescent="0.25">
      <c r="A488" s="1">
        <v>1903.115</v>
      </c>
      <c r="B488">
        <v>10</v>
      </c>
      <c r="C488" t="s">
        <v>122</v>
      </c>
      <c r="D488" s="2">
        <v>52545.4</v>
      </c>
      <c r="M488">
        <v>5</v>
      </c>
      <c r="Y488" s="1">
        <f t="shared" si="35"/>
        <v>1903.115</v>
      </c>
      <c r="Z488" s="2">
        <f t="shared" si="36"/>
        <v>52545.4</v>
      </c>
      <c r="AA488" s="2">
        <f t="shared" si="37"/>
        <v>52545.432094224467</v>
      </c>
      <c r="AB488" s="1">
        <f t="shared" si="38"/>
        <v>6.3805112169843775E-2</v>
      </c>
      <c r="AC488" s="1" t="b">
        <f t="shared" si="39"/>
        <v>1</v>
      </c>
    </row>
    <row r="489" spans="1:29" x14ac:dyDescent="0.25">
      <c r="A489" s="1">
        <v>1903.0830000000001</v>
      </c>
      <c r="B489">
        <v>10</v>
      </c>
      <c r="C489" t="s">
        <v>122</v>
      </c>
      <c r="D489" s="2">
        <v>52546.3</v>
      </c>
      <c r="E489">
        <v>18990</v>
      </c>
      <c r="F489" t="s">
        <v>15</v>
      </c>
      <c r="G489" t="s">
        <v>18</v>
      </c>
      <c r="H489">
        <v>71536</v>
      </c>
      <c r="I489" t="s">
        <v>17</v>
      </c>
      <c r="J489" t="s">
        <v>28</v>
      </c>
      <c r="K489">
        <v>18990.080000000002</v>
      </c>
      <c r="L489">
        <v>71536.38</v>
      </c>
      <c r="M489">
        <v>5</v>
      </c>
      <c r="Y489" s="1">
        <f t="shared" si="35"/>
        <v>1903.0830000000001</v>
      </c>
      <c r="Z489" s="2">
        <f t="shared" si="36"/>
        <v>52546.3</v>
      </c>
      <c r="AA489" s="2">
        <f t="shared" si="37"/>
        <v>52546.315636259686</v>
      </c>
      <c r="AB489" s="1">
        <f t="shared" si="38"/>
        <v>6.3805576434727146E-2</v>
      </c>
      <c r="AC489" s="1" t="b">
        <f t="shared" si="39"/>
        <v>1</v>
      </c>
    </row>
    <row r="490" spans="1:29" x14ac:dyDescent="0.25">
      <c r="A490" s="1">
        <v>1902.2149999999999</v>
      </c>
      <c r="B490">
        <v>2</v>
      </c>
      <c r="D490" s="2">
        <v>52570.3</v>
      </c>
      <c r="E490">
        <v>13352</v>
      </c>
      <c r="F490" t="s">
        <v>15</v>
      </c>
      <c r="G490" t="s">
        <v>23</v>
      </c>
      <c r="H490">
        <v>65922</v>
      </c>
      <c r="I490" t="s">
        <v>17</v>
      </c>
      <c r="J490" t="s">
        <v>23</v>
      </c>
      <c r="K490">
        <v>13352.1</v>
      </c>
      <c r="L490">
        <v>65922.42</v>
      </c>
      <c r="M490">
        <v>5</v>
      </c>
      <c r="Y490" s="1">
        <f t="shared" si="35"/>
        <v>1902.2149999999999</v>
      </c>
      <c r="Z490" s="2">
        <f t="shared" si="36"/>
        <v>52570.3</v>
      </c>
      <c r="AA490" s="2">
        <f t="shared" si="37"/>
        <v>52570.293053098627</v>
      </c>
      <c r="AB490" s="1">
        <f t="shared" si="38"/>
        <v>6.381817855844335E-2</v>
      </c>
      <c r="AC490" s="1" t="b">
        <f t="shared" si="39"/>
        <v>1</v>
      </c>
    </row>
    <row r="491" spans="1:29" x14ac:dyDescent="0.25">
      <c r="A491" s="1">
        <v>1901.979</v>
      </c>
      <c r="B491">
        <v>4</v>
      </c>
      <c r="D491" s="2">
        <v>52576.800000000003</v>
      </c>
      <c r="M491">
        <v>5</v>
      </c>
      <c r="Y491" s="1">
        <f t="shared" si="35"/>
        <v>1901.979</v>
      </c>
      <c r="Z491" s="2">
        <f t="shared" si="36"/>
        <v>52576.800000000003</v>
      </c>
      <c r="AA491" s="2">
        <f t="shared" si="37"/>
        <v>52576.816042658727</v>
      </c>
      <c r="AB491" s="1">
        <f t="shared" si="38"/>
        <v>6.3821607925917886E-2</v>
      </c>
      <c r="AC491" s="1" t="b">
        <f t="shared" si="39"/>
        <v>1</v>
      </c>
    </row>
    <row r="492" spans="1:29" x14ac:dyDescent="0.25">
      <c r="A492" s="1">
        <v>1901.7149999999999</v>
      </c>
      <c r="B492">
        <v>7</v>
      </c>
      <c r="D492" s="2">
        <v>52584.1</v>
      </c>
      <c r="M492">
        <v>5</v>
      </c>
      <c r="Y492" s="1">
        <f t="shared" si="35"/>
        <v>1901.7149999999999</v>
      </c>
      <c r="Z492" s="2">
        <f t="shared" si="36"/>
        <v>52584.1</v>
      </c>
      <c r="AA492" s="2">
        <f t="shared" si="37"/>
        <v>52584.114864740513</v>
      </c>
      <c r="AB492" s="1">
        <f t="shared" si="38"/>
        <v>6.3825445680541132E-2</v>
      </c>
      <c r="AC492" s="1" t="b">
        <f t="shared" si="39"/>
        <v>1</v>
      </c>
    </row>
    <row r="493" spans="1:29" x14ac:dyDescent="0.25">
      <c r="A493" s="1">
        <v>1900.8109999999999</v>
      </c>
      <c r="B493">
        <v>5</v>
      </c>
      <c r="D493" s="2">
        <v>52609.1</v>
      </c>
      <c r="M493">
        <v>5</v>
      </c>
      <c r="Y493" s="1">
        <f t="shared" si="35"/>
        <v>1900.8109999999999</v>
      </c>
      <c r="Z493" s="2">
        <f t="shared" si="36"/>
        <v>52609.1</v>
      </c>
      <c r="AA493" s="2">
        <f t="shared" si="37"/>
        <v>52609.123158483409</v>
      </c>
      <c r="AB493" s="1">
        <f t="shared" si="38"/>
        <v>6.3838599197522383E-2</v>
      </c>
      <c r="AC493" s="1" t="b">
        <f t="shared" si="39"/>
        <v>1</v>
      </c>
    </row>
    <row r="494" spans="1:29" x14ac:dyDescent="0.25">
      <c r="A494" s="1">
        <v>1900.5609999999999</v>
      </c>
      <c r="B494">
        <v>1</v>
      </c>
      <c r="D494" s="2">
        <v>52616</v>
      </c>
      <c r="M494">
        <v>5</v>
      </c>
      <c r="Y494" s="1">
        <f t="shared" si="35"/>
        <v>1900.5609999999999</v>
      </c>
      <c r="Z494" s="2">
        <f t="shared" si="36"/>
        <v>52616</v>
      </c>
      <c r="AA494" s="2">
        <f t="shared" si="37"/>
        <v>52616.043368247585</v>
      </c>
      <c r="AB494" s="1">
        <f t="shared" si="38"/>
        <v>6.3842240098646558E-2</v>
      </c>
      <c r="AC494" s="1" t="b">
        <f t="shared" si="39"/>
        <v>1</v>
      </c>
    </row>
    <row r="495" spans="1:29" x14ac:dyDescent="0.25">
      <c r="A495" s="1">
        <v>1899.627</v>
      </c>
      <c r="B495">
        <v>1</v>
      </c>
      <c r="D495" s="2">
        <v>52641.9</v>
      </c>
      <c r="E495">
        <v>24250</v>
      </c>
      <c r="F495" t="s">
        <v>15</v>
      </c>
      <c r="G495" t="s">
        <v>29</v>
      </c>
      <c r="H495">
        <v>76892</v>
      </c>
      <c r="I495" t="s">
        <v>17</v>
      </c>
      <c r="J495" t="s">
        <v>29</v>
      </c>
      <c r="K495">
        <v>24250.62</v>
      </c>
      <c r="L495">
        <v>76892.399999999994</v>
      </c>
      <c r="M495">
        <v>5</v>
      </c>
      <c r="Y495" s="1">
        <f t="shared" si="35"/>
        <v>1899.627</v>
      </c>
      <c r="Z495" s="2">
        <f t="shared" si="36"/>
        <v>52641.9</v>
      </c>
      <c r="AA495" s="2">
        <f t="shared" si="37"/>
        <v>52641.913386154229</v>
      </c>
      <c r="AB495" s="1">
        <f t="shared" si="38"/>
        <v>6.3855855224776825E-2</v>
      </c>
      <c r="AC495" s="1" t="b">
        <f t="shared" si="39"/>
        <v>1</v>
      </c>
    </row>
    <row r="496" spans="1:29" x14ac:dyDescent="0.25">
      <c r="A496" s="1">
        <v>1899.491</v>
      </c>
      <c r="B496">
        <v>5</v>
      </c>
      <c r="D496" s="2">
        <v>52645.7</v>
      </c>
      <c r="M496">
        <v>5</v>
      </c>
      <c r="Y496" s="1">
        <f t="shared" si="35"/>
        <v>1899.491</v>
      </c>
      <c r="Z496" s="2">
        <f t="shared" si="36"/>
        <v>52645.7</v>
      </c>
      <c r="AA496" s="2">
        <f t="shared" si="37"/>
        <v>52645.682448613865</v>
      </c>
      <c r="AB496" s="1">
        <f t="shared" si="38"/>
        <v>6.3857839402401459E-2</v>
      </c>
      <c r="AC496" s="1" t="b">
        <f t="shared" si="39"/>
        <v>1</v>
      </c>
    </row>
    <row r="497" spans="1:29" x14ac:dyDescent="0.25">
      <c r="A497" s="1">
        <v>1898.2</v>
      </c>
      <c r="B497">
        <v>80</v>
      </c>
      <c r="D497" s="2">
        <v>52681.5</v>
      </c>
      <c r="E497">
        <v>14558</v>
      </c>
      <c r="F497" t="s">
        <v>15</v>
      </c>
      <c r="G497" t="s">
        <v>16</v>
      </c>
      <c r="H497">
        <v>67240</v>
      </c>
      <c r="I497" t="s">
        <v>17</v>
      </c>
      <c r="J497" t="s">
        <v>18</v>
      </c>
      <c r="K497">
        <v>14558.82</v>
      </c>
      <c r="L497">
        <v>67240.350000000006</v>
      </c>
      <c r="M497">
        <v>5</v>
      </c>
      <c r="Y497" s="1">
        <f t="shared" si="35"/>
        <v>1898.2</v>
      </c>
      <c r="Z497" s="2">
        <f t="shared" si="36"/>
        <v>52681.5</v>
      </c>
      <c r="AA497" s="2">
        <f t="shared" si="37"/>
        <v>52681.487725213359</v>
      </c>
      <c r="AB497" s="1">
        <f t="shared" si="38"/>
        <v>6.3876695744709028E-2</v>
      </c>
      <c r="AC497" s="1" t="b">
        <f t="shared" si="39"/>
        <v>1</v>
      </c>
    </row>
    <row r="498" spans="1:29" x14ac:dyDescent="0.25">
      <c r="A498" s="1">
        <v>1898.02</v>
      </c>
      <c r="B498">
        <v>5</v>
      </c>
      <c r="C498" t="s">
        <v>27</v>
      </c>
      <c r="D498" s="2">
        <v>52686.5</v>
      </c>
      <c r="E498">
        <v>21418</v>
      </c>
      <c r="F498" t="s">
        <v>15</v>
      </c>
      <c r="G498" t="s">
        <v>28</v>
      </c>
      <c r="H498">
        <v>74105</v>
      </c>
      <c r="I498" t="s">
        <v>17</v>
      </c>
      <c r="J498" t="s">
        <v>28</v>
      </c>
      <c r="K498">
        <v>21418.84</v>
      </c>
      <c r="L498">
        <v>74105.2</v>
      </c>
      <c r="M498">
        <v>5</v>
      </c>
      <c r="Y498" s="1">
        <f t="shared" si="35"/>
        <v>1898.02</v>
      </c>
      <c r="Z498" s="2">
        <f t="shared" si="36"/>
        <v>52686.5</v>
      </c>
      <c r="AA498" s="2">
        <f t="shared" si="37"/>
        <v>52686.483809443525</v>
      </c>
      <c r="AB498" s="1">
        <f t="shared" si="38"/>
        <v>6.3879327881013775E-2</v>
      </c>
      <c r="AC498" s="1" t="b">
        <f t="shared" si="39"/>
        <v>1</v>
      </c>
    </row>
    <row r="499" spans="1:29" x14ac:dyDescent="0.25">
      <c r="A499" s="1">
        <v>1898.02</v>
      </c>
      <c r="B499">
        <v>5</v>
      </c>
      <c r="C499" t="s">
        <v>27</v>
      </c>
      <c r="D499" s="2">
        <v>52686.5</v>
      </c>
      <c r="E499">
        <v>34825</v>
      </c>
      <c r="F499" t="s">
        <v>15</v>
      </c>
      <c r="G499" t="s">
        <v>18</v>
      </c>
      <c r="H499">
        <v>87511</v>
      </c>
      <c r="I499" t="s">
        <v>17</v>
      </c>
      <c r="J499" t="s">
        <v>18</v>
      </c>
      <c r="K499">
        <v>34825.49</v>
      </c>
      <c r="L499">
        <v>87511.6</v>
      </c>
      <c r="M499">
        <v>5</v>
      </c>
      <c r="Y499" s="1">
        <f t="shared" si="35"/>
        <v>1898.02</v>
      </c>
      <c r="Z499" s="2">
        <f t="shared" si="36"/>
        <v>52686.5</v>
      </c>
      <c r="AA499" s="2">
        <f t="shared" si="37"/>
        <v>52686.483809443525</v>
      </c>
      <c r="AB499" s="1">
        <f t="shared" si="38"/>
        <v>6.3879327881013775E-2</v>
      </c>
      <c r="AC499" s="1" t="b">
        <f t="shared" si="39"/>
        <v>1</v>
      </c>
    </row>
    <row r="500" spans="1:29" x14ac:dyDescent="0.25">
      <c r="A500" s="1">
        <v>1897.0820000000001</v>
      </c>
      <c r="B500">
        <v>1</v>
      </c>
      <c r="D500" s="2">
        <v>52712.5</v>
      </c>
      <c r="E500">
        <v>15525</v>
      </c>
      <c r="F500" t="s">
        <v>15</v>
      </c>
      <c r="G500" t="s">
        <v>23</v>
      </c>
      <c r="H500">
        <v>68238</v>
      </c>
      <c r="I500" t="s">
        <v>17</v>
      </c>
      <c r="J500" t="s">
        <v>23</v>
      </c>
      <c r="K500">
        <v>15525.5</v>
      </c>
      <c r="L500">
        <v>68238.12</v>
      </c>
      <c r="M500">
        <v>5</v>
      </c>
      <c r="Y500" s="1">
        <f t="shared" si="35"/>
        <v>1897.0820000000001</v>
      </c>
      <c r="Z500" s="2">
        <f t="shared" si="36"/>
        <v>52712.5</v>
      </c>
      <c r="AA500" s="2">
        <f t="shared" si="37"/>
        <v>52712.534302681692</v>
      </c>
      <c r="AB500" s="1">
        <f t="shared" si="38"/>
        <v>6.3893056363056977E-2</v>
      </c>
      <c r="AC500" s="1" t="b">
        <f t="shared" si="39"/>
        <v>1</v>
      </c>
    </row>
    <row r="501" spans="1:29" x14ac:dyDescent="0.25">
      <c r="A501" s="1" t="s">
        <v>126</v>
      </c>
      <c r="B501">
        <v>6</v>
      </c>
      <c r="C501" t="s">
        <v>122</v>
      </c>
      <c r="D501" s="2">
        <v>52730.6</v>
      </c>
      <c r="M501">
        <v>6</v>
      </c>
      <c r="Y501" s="1">
        <f t="shared" si="35"/>
        <v>1896.43</v>
      </c>
      <c r="Z501" s="2">
        <f t="shared" si="36"/>
        <v>52730.6</v>
      </c>
      <c r="AA501" s="2">
        <f t="shared" si="37"/>
        <v>52730.657076717835</v>
      </c>
      <c r="AB501" s="1">
        <f t="shared" si="38"/>
        <v>6.3902610978712068E-2</v>
      </c>
      <c r="AC501" s="1" t="b">
        <f t="shared" si="39"/>
        <v>1</v>
      </c>
    </row>
    <row r="502" spans="1:29" x14ac:dyDescent="0.25">
      <c r="A502" s="1" t="s">
        <v>127</v>
      </c>
      <c r="B502">
        <v>2</v>
      </c>
      <c r="C502" t="s">
        <v>122</v>
      </c>
      <c r="D502" s="2">
        <v>52731.199999999997</v>
      </c>
      <c r="M502">
        <v>6</v>
      </c>
      <c r="Y502" s="1">
        <f t="shared" si="35"/>
        <v>1896.4090000000001</v>
      </c>
      <c r="Z502" s="2">
        <f t="shared" si="36"/>
        <v>52731.199999999997</v>
      </c>
      <c r="AA502" s="2">
        <f t="shared" si="37"/>
        <v>52731.240992844898</v>
      </c>
      <c r="AB502" s="1">
        <f t="shared" si="38"/>
        <v>6.3902918883227439E-2</v>
      </c>
      <c r="AC502" s="1" t="b">
        <f t="shared" si="39"/>
        <v>1</v>
      </c>
    </row>
    <row r="503" spans="1:29" x14ac:dyDescent="0.25">
      <c r="A503" s="1" t="s">
        <v>128</v>
      </c>
      <c r="B503">
        <v>1</v>
      </c>
      <c r="D503" s="2">
        <v>52734.6</v>
      </c>
      <c r="M503">
        <v>6</v>
      </c>
      <c r="Y503" s="1">
        <f t="shared" si="35"/>
        <v>1896.29</v>
      </c>
      <c r="Z503" s="2">
        <f t="shared" si="36"/>
        <v>52734.6</v>
      </c>
      <c r="AA503" s="2">
        <f t="shared" si="37"/>
        <v>52734.550095185863</v>
      </c>
      <c r="AB503" s="1">
        <f t="shared" si="38"/>
        <v>6.3904663868708342E-2</v>
      </c>
      <c r="AC503" s="1" t="b">
        <f t="shared" si="39"/>
        <v>1</v>
      </c>
    </row>
    <row r="504" spans="1:29" x14ac:dyDescent="0.25">
      <c r="A504" s="1" t="s">
        <v>129</v>
      </c>
      <c r="B504">
        <v>2</v>
      </c>
      <c r="D504" s="2">
        <v>52757.2</v>
      </c>
      <c r="M504">
        <v>6</v>
      </c>
      <c r="Y504" s="1">
        <f t="shared" si="35"/>
        <v>1895.4739999999999</v>
      </c>
      <c r="Z504" s="2">
        <f t="shared" si="36"/>
        <v>52757.2</v>
      </c>
      <c r="AA504" s="2">
        <f t="shared" si="37"/>
        <v>52757.252275684077</v>
      </c>
      <c r="AB504" s="1">
        <f t="shared" si="38"/>
        <v>6.3916638338400861E-2</v>
      </c>
      <c r="AC504" s="1" t="b">
        <f t="shared" si="39"/>
        <v>1</v>
      </c>
    </row>
    <row r="505" spans="1:29" x14ac:dyDescent="0.25">
      <c r="A505" s="1" t="s">
        <v>130</v>
      </c>
      <c r="B505">
        <v>1</v>
      </c>
      <c r="D505" s="2">
        <v>52766.400000000001</v>
      </c>
      <c r="E505">
        <v>22527</v>
      </c>
      <c r="F505" t="s">
        <v>15</v>
      </c>
      <c r="G505" t="s">
        <v>18</v>
      </c>
      <c r="H505">
        <v>75294</v>
      </c>
      <c r="I505" t="s">
        <v>17</v>
      </c>
      <c r="J505" t="s">
        <v>18</v>
      </c>
      <c r="K505">
        <v>22527.7</v>
      </c>
      <c r="L505">
        <v>75294</v>
      </c>
      <c r="M505">
        <v>6</v>
      </c>
      <c r="Y505" s="1">
        <f t="shared" si="35"/>
        <v>1895.146</v>
      </c>
      <c r="Z505" s="2">
        <f t="shared" si="36"/>
        <v>52766.400000000001</v>
      </c>
      <c r="AA505" s="2">
        <f t="shared" si="37"/>
        <v>52766.383170478686</v>
      </c>
      <c r="AB505" s="1">
        <f t="shared" si="38"/>
        <v>6.3921455964468882E-2</v>
      </c>
      <c r="AC505" s="1" t="b">
        <f t="shared" si="39"/>
        <v>1</v>
      </c>
    </row>
    <row r="506" spans="1:29" x14ac:dyDescent="0.25">
      <c r="A506" s="1" t="s">
        <v>131</v>
      </c>
      <c r="B506">
        <v>2</v>
      </c>
      <c r="D506" s="2">
        <v>52779.6</v>
      </c>
      <c r="E506">
        <v>18241</v>
      </c>
      <c r="F506" t="s">
        <v>15</v>
      </c>
      <c r="G506" t="s">
        <v>23</v>
      </c>
      <c r="H506">
        <v>71021</v>
      </c>
      <c r="I506" t="s">
        <v>17</v>
      </c>
      <c r="J506" t="s">
        <v>16</v>
      </c>
      <c r="K506">
        <v>18241.54</v>
      </c>
      <c r="L506">
        <v>71021.100000000006</v>
      </c>
      <c r="M506">
        <v>6</v>
      </c>
      <c r="Y506" s="1">
        <f t="shared" si="35"/>
        <v>1894.672</v>
      </c>
      <c r="Z506" s="2">
        <f t="shared" si="36"/>
        <v>52779.6</v>
      </c>
      <c r="AA506" s="2">
        <f t="shared" si="37"/>
        <v>52779.584012430649</v>
      </c>
      <c r="AB506" s="1">
        <f t="shared" si="38"/>
        <v>6.3928422442626129E-2</v>
      </c>
      <c r="AC506" s="1" t="b">
        <f t="shared" si="39"/>
        <v>1</v>
      </c>
    </row>
    <row r="507" spans="1:29" x14ac:dyDescent="0.25">
      <c r="A507" s="1" t="s">
        <v>132</v>
      </c>
      <c r="B507">
        <v>1</v>
      </c>
      <c r="D507" s="2">
        <v>52783.8</v>
      </c>
      <c r="E507">
        <v>15454</v>
      </c>
      <c r="F507" t="s">
        <v>15</v>
      </c>
      <c r="G507" t="s">
        <v>50</v>
      </c>
      <c r="H507">
        <v>68238</v>
      </c>
      <c r="I507" t="s">
        <v>17</v>
      </c>
      <c r="J507" t="s">
        <v>23</v>
      </c>
      <c r="K507">
        <v>15454.16</v>
      </c>
      <c r="L507">
        <v>68238.12</v>
      </c>
      <c r="M507">
        <v>6</v>
      </c>
      <c r="Y507" s="1">
        <f t="shared" si="35"/>
        <v>1894.52</v>
      </c>
      <c r="Z507" s="2">
        <f t="shared" si="36"/>
        <v>52783.8</v>
      </c>
      <c r="AA507" s="2">
        <f t="shared" si="37"/>
        <v>52783.818592572265</v>
      </c>
      <c r="AB507" s="1">
        <f t="shared" si="38"/>
        <v>6.3930657526067886E-2</v>
      </c>
      <c r="AC507" s="1" t="b">
        <f t="shared" si="39"/>
        <v>1</v>
      </c>
    </row>
    <row r="508" spans="1:29" x14ac:dyDescent="0.25">
      <c r="A508" s="1" t="s">
        <v>133</v>
      </c>
      <c r="B508">
        <v>3</v>
      </c>
      <c r="D508" s="2">
        <v>52788.3</v>
      </c>
      <c r="M508">
        <v>6</v>
      </c>
      <c r="Y508" s="1">
        <f t="shared" si="35"/>
        <v>1894.3579999999999</v>
      </c>
      <c r="Z508" s="2">
        <f t="shared" si="36"/>
        <v>52788.3</v>
      </c>
      <c r="AA508" s="2">
        <f t="shared" si="37"/>
        <v>52788.332511594956</v>
      </c>
      <c r="AB508" s="1">
        <f t="shared" si="38"/>
        <v>6.393304024677357E-2</v>
      </c>
      <c r="AC508" s="1" t="b">
        <f t="shared" si="39"/>
        <v>1</v>
      </c>
    </row>
    <row r="509" spans="1:29" x14ac:dyDescent="0.25">
      <c r="A509" s="1" t="s">
        <v>134</v>
      </c>
      <c r="B509">
        <v>3</v>
      </c>
      <c r="D509" s="2">
        <v>52802.1</v>
      </c>
      <c r="M509">
        <v>6</v>
      </c>
      <c r="Y509" s="1">
        <f t="shared" si="35"/>
        <v>1893.864</v>
      </c>
      <c r="Z509" s="2">
        <f t="shared" si="36"/>
        <v>52802.1</v>
      </c>
      <c r="AA509" s="2">
        <f t="shared" si="37"/>
        <v>52802.101946074268</v>
      </c>
      <c r="AB509" s="1">
        <f t="shared" si="38"/>
        <v>6.3940309849618099E-2</v>
      </c>
      <c r="AC509" s="1" t="b">
        <f t="shared" si="39"/>
        <v>1</v>
      </c>
    </row>
    <row r="510" spans="1:29" x14ac:dyDescent="0.25">
      <c r="A510" s="1" t="s">
        <v>135</v>
      </c>
      <c r="B510">
        <v>1</v>
      </c>
      <c r="D510" s="2">
        <v>52805.2</v>
      </c>
      <c r="M510">
        <v>6</v>
      </c>
      <c r="Y510" s="1">
        <f t="shared" si="35"/>
        <v>1893.751</v>
      </c>
      <c r="Z510" s="2">
        <f t="shared" si="36"/>
        <v>52805.2</v>
      </c>
      <c r="AA510" s="2">
        <f t="shared" si="37"/>
        <v>52805.252644091015</v>
      </c>
      <c r="AB510" s="1">
        <f t="shared" si="38"/>
        <v>6.3941973534031402E-2</v>
      </c>
      <c r="AC510" s="1" t="b">
        <f t="shared" si="39"/>
        <v>1</v>
      </c>
    </row>
    <row r="511" spans="1:29" x14ac:dyDescent="0.25">
      <c r="A511" s="1" t="s">
        <v>136</v>
      </c>
      <c r="B511">
        <v>3</v>
      </c>
      <c r="D511" s="2">
        <v>52810.3</v>
      </c>
      <c r="E511">
        <v>21294</v>
      </c>
      <c r="F511" t="s">
        <v>15</v>
      </c>
      <c r="G511" t="s">
        <v>18</v>
      </c>
      <c r="H511">
        <v>74105</v>
      </c>
      <c r="I511" t="s">
        <v>17</v>
      </c>
      <c r="J511" t="s">
        <v>28</v>
      </c>
      <c r="K511">
        <v>21294.89</v>
      </c>
      <c r="L511">
        <v>74105.2</v>
      </c>
      <c r="M511">
        <v>6</v>
      </c>
      <c r="Y511" s="1">
        <f t="shared" si="35"/>
        <v>1893.569</v>
      </c>
      <c r="Z511" s="2">
        <f t="shared" si="36"/>
        <v>52810.3</v>
      </c>
      <c r="AA511" s="2">
        <f t="shared" si="37"/>
        <v>52810.328010228302</v>
      </c>
      <c r="AB511" s="1">
        <f t="shared" si="38"/>
        <v>6.3944653722739525E-2</v>
      </c>
      <c r="AC511" s="1" t="b">
        <f t="shared" si="39"/>
        <v>1</v>
      </c>
    </row>
    <row r="512" spans="1:29" x14ac:dyDescent="0.25">
      <c r="A512" s="1" t="s">
        <v>137</v>
      </c>
      <c r="B512">
        <v>1</v>
      </c>
      <c r="C512" t="s">
        <v>123</v>
      </c>
      <c r="D512" s="2">
        <v>52816.9</v>
      </c>
      <c r="M512">
        <v>6</v>
      </c>
      <c r="Y512" s="1">
        <f t="shared" si="35"/>
        <v>1893.3340000000001</v>
      </c>
      <c r="Z512" s="2">
        <f t="shared" si="36"/>
        <v>52816.9</v>
      </c>
      <c r="AA512" s="2">
        <f t="shared" si="37"/>
        <v>52816.882810956755</v>
      </c>
      <c r="AB512" s="1">
        <f t="shared" si="38"/>
        <v>6.3948115549331705E-2</v>
      </c>
      <c r="AC512" s="1" t="b">
        <f t="shared" si="39"/>
        <v>1</v>
      </c>
    </row>
    <row r="513" spans="1:29" x14ac:dyDescent="0.25">
      <c r="A513" s="1" t="s">
        <v>138</v>
      </c>
      <c r="B513">
        <v>10</v>
      </c>
      <c r="C513" t="s">
        <v>123</v>
      </c>
      <c r="D513" s="2">
        <v>52821.2</v>
      </c>
      <c r="M513">
        <v>6</v>
      </c>
      <c r="Y513" s="1">
        <f t="shared" si="35"/>
        <v>1893.181</v>
      </c>
      <c r="Z513" s="2">
        <f t="shared" si="36"/>
        <v>52821.2</v>
      </c>
      <c r="AA513" s="2">
        <f t="shared" si="37"/>
        <v>52821.151279249054</v>
      </c>
      <c r="AB513" s="1">
        <f t="shared" si="38"/>
        <v>6.3950370112326571E-2</v>
      </c>
      <c r="AC513" s="1" t="b">
        <f t="shared" si="39"/>
        <v>1</v>
      </c>
    </row>
    <row r="514" spans="1:29" x14ac:dyDescent="0.25">
      <c r="A514" s="1" t="s">
        <v>139</v>
      </c>
      <c r="B514">
        <v>60</v>
      </c>
      <c r="D514" s="2">
        <v>52840</v>
      </c>
      <c r="E514">
        <v>14558</v>
      </c>
      <c r="F514" t="s">
        <v>15</v>
      </c>
      <c r="G514" t="s">
        <v>16</v>
      </c>
      <c r="H514">
        <v>67398</v>
      </c>
      <c r="I514" t="s">
        <v>17</v>
      </c>
      <c r="J514" t="s">
        <v>16</v>
      </c>
      <c r="K514">
        <v>14558.82</v>
      </c>
      <c r="L514">
        <v>67398.789999999994</v>
      </c>
      <c r="M514">
        <v>6</v>
      </c>
      <c r="Y514" s="1">
        <f t="shared" si="35"/>
        <v>1892.5060000000001</v>
      </c>
      <c r="Z514" s="2">
        <f t="shared" si="36"/>
        <v>52840</v>
      </c>
      <c r="AA514" s="2">
        <f t="shared" si="37"/>
        <v>52839.990996065535</v>
      </c>
      <c r="AB514" s="1">
        <f t="shared" si="38"/>
        <v>6.396032324232144E-2</v>
      </c>
      <c r="AC514" s="1" t="b">
        <f t="shared" si="39"/>
        <v>1</v>
      </c>
    </row>
    <row r="515" spans="1:29" x14ac:dyDescent="0.25">
      <c r="A515" s="1" t="s">
        <v>140</v>
      </c>
      <c r="B515">
        <v>1</v>
      </c>
      <c r="D515" s="2">
        <v>52846.7</v>
      </c>
      <c r="E515">
        <v>17534</v>
      </c>
      <c r="F515" t="s">
        <v>15</v>
      </c>
      <c r="G515" t="s">
        <v>57</v>
      </c>
      <c r="H515">
        <v>70381</v>
      </c>
      <c r="I515" t="s">
        <v>17</v>
      </c>
      <c r="J515" t="s">
        <v>50</v>
      </c>
      <c r="K515">
        <v>17534.759999999998</v>
      </c>
      <c r="L515">
        <v>70381.48</v>
      </c>
      <c r="M515">
        <v>6</v>
      </c>
      <c r="Y515" s="1">
        <f t="shared" ref="Y515:Y578" si="40">ROUND($A515,3)+0</f>
        <v>1892.2660000000001</v>
      </c>
      <c r="Z515" s="2">
        <f t="shared" ref="Z515:Z578" si="41">ROUND($D515,1)+0</f>
        <v>52846.7</v>
      </c>
      <c r="AA515" s="2">
        <f t="shared" ref="AA515:AA578" si="42">100000000/Y515</f>
        <v>52846.69280111781</v>
      </c>
      <c r="AB515" s="1">
        <f t="shared" ref="AB515:AB578" si="43">0.0005/$Y515*AA515+0.05</f>
        <v>6.3963864700078588E-2</v>
      </c>
      <c r="AC515" s="1" t="b">
        <f t="shared" ref="AC515:AC578" si="44">ABS(Z515-AA515)&lt;AB515</f>
        <v>1</v>
      </c>
    </row>
    <row r="516" spans="1:29" x14ac:dyDescent="0.25">
      <c r="A516" s="1" t="s">
        <v>141</v>
      </c>
      <c r="B516">
        <v>5</v>
      </c>
      <c r="D516" s="2">
        <v>52849</v>
      </c>
      <c r="E516">
        <v>15525</v>
      </c>
      <c r="F516" t="s">
        <v>15</v>
      </c>
      <c r="G516" t="s">
        <v>23</v>
      </c>
      <c r="H516">
        <v>68374</v>
      </c>
      <c r="I516" t="s">
        <v>17</v>
      </c>
      <c r="J516" t="s">
        <v>16</v>
      </c>
      <c r="K516">
        <v>15525.5</v>
      </c>
      <c r="L516">
        <v>68374.539999999994</v>
      </c>
      <c r="M516">
        <v>6</v>
      </c>
      <c r="Y516" s="1">
        <f t="shared" si="40"/>
        <v>1892.183</v>
      </c>
      <c r="Z516" s="2">
        <f t="shared" si="41"/>
        <v>52849</v>
      </c>
      <c r="AA516" s="2">
        <f t="shared" si="42"/>
        <v>52849.010904336421</v>
      </c>
      <c r="AB516" s="1">
        <f t="shared" si="43"/>
        <v>6.3965089767833355E-2</v>
      </c>
      <c r="AC516" s="1" t="b">
        <f t="shared" si="44"/>
        <v>1</v>
      </c>
    </row>
    <row r="517" spans="1:29" x14ac:dyDescent="0.25">
      <c r="A517" s="1" t="s">
        <v>142</v>
      </c>
      <c r="B517">
        <v>4</v>
      </c>
      <c r="D517" s="2">
        <v>52852.7</v>
      </c>
      <c r="E517">
        <v>21611</v>
      </c>
      <c r="F517" t="s">
        <v>15</v>
      </c>
      <c r="G517" t="s">
        <v>28</v>
      </c>
      <c r="H517">
        <v>74463</v>
      </c>
      <c r="I517" t="s">
        <v>17</v>
      </c>
      <c r="J517" t="s">
        <v>29</v>
      </c>
      <c r="K517">
        <v>21611.19</v>
      </c>
      <c r="L517">
        <v>74463.7</v>
      </c>
      <c r="M517">
        <v>6</v>
      </c>
      <c r="Y517" s="1">
        <f t="shared" si="40"/>
        <v>1892.05</v>
      </c>
      <c r="Z517" s="2">
        <f t="shared" si="41"/>
        <v>52852.7</v>
      </c>
      <c r="AA517" s="2">
        <f t="shared" si="42"/>
        <v>52852.725879337231</v>
      </c>
      <c r="AB517" s="1">
        <f t="shared" si="43"/>
        <v>6.3967053164381824E-2</v>
      </c>
      <c r="AC517" s="1" t="b">
        <f t="shared" si="44"/>
        <v>1</v>
      </c>
    </row>
    <row r="518" spans="1:29" x14ac:dyDescent="0.25">
      <c r="A518" s="1" t="s">
        <v>143</v>
      </c>
      <c r="B518">
        <v>2</v>
      </c>
      <c r="D518" s="2">
        <v>52865</v>
      </c>
      <c r="E518">
        <v>17113</v>
      </c>
      <c r="F518" t="s">
        <v>15</v>
      </c>
      <c r="G518" t="s">
        <v>50</v>
      </c>
      <c r="H518">
        <v>69978</v>
      </c>
      <c r="I518" t="s">
        <v>17</v>
      </c>
      <c r="J518" t="s">
        <v>23</v>
      </c>
      <c r="K518">
        <v>17113.189999999999</v>
      </c>
      <c r="L518">
        <v>69978.080000000002</v>
      </c>
      <c r="M518">
        <v>6</v>
      </c>
      <c r="Y518" s="1">
        <f t="shared" si="40"/>
        <v>1891.6089999999999</v>
      </c>
      <c r="Z518" s="2">
        <f t="shared" si="41"/>
        <v>52865</v>
      </c>
      <c r="AA518" s="2">
        <f t="shared" si="42"/>
        <v>52865.047692202781</v>
      </c>
      <c r="AB518" s="1">
        <f t="shared" si="43"/>
        <v>6.3973566337494375E-2</v>
      </c>
      <c r="AC518" s="1" t="b">
        <f t="shared" si="44"/>
        <v>1</v>
      </c>
    </row>
    <row r="519" spans="1:29" x14ac:dyDescent="0.25">
      <c r="A519" s="1" t="s">
        <v>144</v>
      </c>
      <c r="B519">
        <v>5</v>
      </c>
      <c r="D519" s="2">
        <v>52883.5</v>
      </c>
      <c r="M519">
        <v>6</v>
      </c>
      <c r="Y519" s="1">
        <f t="shared" si="40"/>
        <v>1890.9480000000001</v>
      </c>
      <c r="Z519" s="2">
        <f t="shared" si="41"/>
        <v>52883.5</v>
      </c>
      <c r="AA519" s="2">
        <f t="shared" si="42"/>
        <v>52883.527204344064</v>
      </c>
      <c r="AB519" s="1">
        <f t="shared" si="43"/>
        <v>6.3983337247862995E-2</v>
      </c>
      <c r="AC519" s="1" t="b">
        <f t="shared" si="44"/>
        <v>1</v>
      </c>
    </row>
    <row r="520" spans="1:29" x14ac:dyDescent="0.25">
      <c r="A520" s="1" t="s">
        <v>145</v>
      </c>
      <c r="B520">
        <v>200</v>
      </c>
      <c r="D520" s="2">
        <v>52886.9</v>
      </c>
      <c r="M520">
        <v>6</v>
      </c>
      <c r="Y520" s="1">
        <f t="shared" si="40"/>
        <v>1890.827</v>
      </c>
      <c r="Z520" s="2">
        <f t="shared" si="41"/>
        <v>52886.9</v>
      </c>
      <c r="AA520" s="2">
        <f t="shared" si="42"/>
        <v>52886.911388508837</v>
      </c>
      <c r="AB520" s="1">
        <f t="shared" si="43"/>
        <v>6.3985126981079929E-2</v>
      </c>
      <c r="AC520" s="1" t="b">
        <f t="shared" si="44"/>
        <v>1</v>
      </c>
    </row>
    <row r="521" spans="1:29" x14ac:dyDescent="0.25">
      <c r="A521" s="1" t="s">
        <v>146</v>
      </c>
      <c r="B521">
        <v>2</v>
      </c>
      <c r="D521" s="2">
        <v>52891.4</v>
      </c>
      <c r="M521">
        <v>6</v>
      </c>
      <c r="Y521" s="1">
        <f t="shared" si="40"/>
        <v>1890.665</v>
      </c>
      <c r="Z521" s="2">
        <f t="shared" si="41"/>
        <v>52891.4</v>
      </c>
      <c r="AA521" s="2">
        <f t="shared" si="42"/>
        <v>52891.442957901054</v>
      </c>
      <c r="AB521" s="1">
        <f t="shared" si="43"/>
        <v>6.3987523690844511E-2</v>
      </c>
      <c r="AC521" s="1" t="b">
        <f t="shared" si="44"/>
        <v>1</v>
      </c>
    </row>
    <row r="522" spans="1:29" x14ac:dyDescent="0.25">
      <c r="A522" s="1" t="s">
        <v>147</v>
      </c>
      <c r="B522">
        <v>2</v>
      </c>
      <c r="D522" s="2">
        <v>52914.8</v>
      </c>
      <c r="E522">
        <v>16516</v>
      </c>
      <c r="F522" t="s">
        <v>15</v>
      </c>
      <c r="G522" t="s">
        <v>18</v>
      </c>
      <c r="H522">
        <v>69431</v>
      </c>
      <c r="I522" t="s">
        <v>17</v>
      </c>
      <c r="J522" t="s">
        <v>18</v>
      </c>
      <c r="K522">
        <v>16516.150000000001</v>
      </c>
      <c r="L522">
        <v>69431</v>
      </c>
      <c r="M522">
        <v>6</v>
      </c>
      <c r="Y522" s="1">
        <f t="shared" si="40"/>
        <v>1889.8320000000001</v>
      </c>
      <c r="Z522" s="2">
        <f t="shared" si="41"/>
        <v>52914.8</v>
      </c>
      <c r="AA522" s="2">
        <f t="shared" si="42"/>
        <v>52914.756443959035</v>
      </c>
      <c r="AB522" s="1">
        <f t="shared" si="43"/>
        <v>6.3999857247617531E-2</v>
      </c>
      <c r="AC522" s="1" t="b">
        <f t="shared" si="44"/>
        <v>1</v>
      </c>
    </row>
    <row r="523" spans="1:29" x14ac:dyDescent="0.25">
      <c r="A523" s="1" t="s">
        <v>148</v>
      </c>
      <c r="B523">
        <v>60</v>
      </c>
      <c r="D523" s="2">
        <v>52919.199999999997</v>
      </c>
      <c r="M523">
        <v>6</v>
      </c>
      <c r="Y523" s="1">
        <f t="shared" si="40"/>
        <v>1889.674</v>
      </c>
      <c r="Z523" s="2">
        <f t="shared" si="41"/>
        <v>52919.199999999997</v>
      </c>
      <c r="AA523" s="2">
        <f t="shared" si="42"/>
        <v>52919.180768746359</v>
      </c>
      <c r="AB523" s="1">
        <f t="shared" si="43"/>
        <v>6.4002198466176274E-2</v>
      </c>
      <c r="AC523" s="1" t="b">
        <f t="shared" si="44"/>
        <v>1</v>
      </c>
    </row>
    <row r="524" spans="1:29" x14ac:dyDescent="0.25">
      <c r="A524" s="1" t="s">
        <v>149</v>
      </c>
      <c r="B524">
        <v>30</v>
      </c>
      <c r="D524" s="2">
        <v>52957.8</v>
      </c>
      <c r="E524">
        <v>18063</v>
      </c>
      <c r="F524" t="s">
        <v>15</v>
      </c>
      <c r="G524" t="s">
        <v>16</v>
      </c>
      <c r="H524">
        <v>71021</v>
      </c>
      <c r="I524" t="s">
        <v>17</v>
      </c>
      <c r="J524" t="s">
        <v>16</v>
      </c>
      <c r="K524">
        <v>18063.36</v>
      </c>
      <c r="L524">
        <v>71021.100000000006</v>
      </c>
      <c r="M524">
        <v>6</v>
      </c>
      <c r="Y524" s="1">
        <f t="shared" si="40"/>
        <v>1888.2940000000001</v>
      </c>
      <c r="Z524" s="2">
        <f t="shared" si="41"/>
        <v>52957.8</v>
      </c>
      <c r="AA524" s="2">
        <f t="shared" si="42"/>
        <v>52957.855079770416</v>
      </c>
      <c r="AB524" s="1">
        <f t="shared" si="43"/>
        <v>6.4022672073249826E-2</v>
      </c>
      <c r="AC524" s="1" t="b">
        <f t="shared" si="44"/>
        <v>1</v>
      </c>
    </row>
    <row r="525" spans="1:29" x14ac:dyDescent="0.25">
      <c r="A525" s="1" t="s">
        <v>150</v>
      </c>
      <c r="B525">
        <v>1</v>
      </c>
      <c r="D525" s="2">
        <v>52980.4</v>
      </c>
      <c r="E525">
        <v>27380</v>
      </c>
      <c r="F525" t="s">
        <v>15</v>
      </c>
      <c r="G525" t="s">
        <v>23</v>
      </c>
      <c r="H525">
        <v>80360</v>
      </c>
      <c r="I525" t="s">
        <v>17</v>
      </c>
      <c r="J525" t="s">
        <v>23</v>
      </c>
      <c r="K525">
        <v>27380.31</v>
      </c>
      <c r="L525">
        <v>80360.820000000007</v>
      </c>
      <c r="M525">
        <v>6</v>
      </c>
      <c r="Y525" s="1">
        <f t="shared" si="40"/>
        <v>1887.49</v>
      </c>
      <c r="Z525" s="2">
        <f t="shared" si="41"/>
        <v>52980.4</v>
      </c>
      <c r="AA525" s="2">
        <f t="shared" si="42"/>
        <v>52980.413141261677</v>
      </c>
      <c r="AB525" s="1">
        <f t="shared" si="43"/>
        <v>6.4034620883093862E-2</v>
      </c>
      <c r="AC525" s="1" t="b">
        <f t="shared" si="44"/>
        <v>1</v>
      </c>
    </row>
    <row r="526" spans="1:29" x14ac:dyDescent="0.25">
      <c r="A526" s="1" t="s">
        <v>151</v>
      </c>
      <c r="B526">
        <v>10</v>
      </c>
      <c r="D526" s="2">
        <v>52989.1</v>
      </c>
      <c r="M526">
        <v>6</v>
      </c>
      <c r="Y526" s="1">
        <f t="shared" si="40"/>
        <v>1887.18</v>
      </c>
      <c r="Z526" s="2">
        <f t="shared" si="41"/>
        <v>52989.1</v>
      </c>
      <c r="AA526" s="2">
        <f t="shared" si="42"/>
        <v>52989.116035566294</v>
      </c>
      <c r="AB526" s="1">
        <f t="shared" si="43"/>
        <v>6.4039232091153545E-2</v>
      </c>
      <c r="AC526" s="1" t="b">
        <f t="shared" si="44"/>
        <v>1</v>
      </c>
    </row>
    <row r="527" spans="1:29" x14ac:dyDescent="0.25">
      <c r="A527" s="1" t="s">
        <v>152</v>
      </c>
      <c r="B527">
        <v>4</v>
      </c>
      <c r="D527" s="2">
        <v>53000</v>
      </c>
      <c r="E527">
        <v>15525</v>
      </c>
      <c r="F527" t="s">
        <v>15</v>
      </c>
      <c r="G527" t="s">
        <v>23</v>
      </c>
      <c r="H527">
        <v>68525</v>
      </c>
      <c r="I527" t="s">
        <v>17</v>
      </c>
      <c r="J527" t="s">
        <v>23</v>
      </c>
      <c r="K527">
        <v>15525.5</v>
      </c>
      <c r="L527">
        <v>68525.62</v>
      </c>
      <c r="M527">
        <v>6</v>
      </c>
      <c r="Y527" s="1">
        <f t="shared" si="40"/>
        <v>1886.7919999999999</v>
      </c>
      <c r="Z527" s="2">
        <f t="shared" si="41"/>
        <v>53000</v>
      </c>
      <c r="AA527" s="2">
        <f t="shared" si="42"/>
        <v>53000.012720003055</v>
      </c>
      <c r="AB527" s="1">
        <f t="shared" si="43"/>
        <v>6.4045006741602434E-2</v>
      </c>
      <c r="AC527" s="1" t="b">
        <f t="shared" si="44"/>
        <v>1</v>
      </c>
    </row>
    <row r="528" spans="1:29" x14ac:dyDescent="0.25">
      <c r="A528" s="1" t="s">
        <v>153</v>
      </c>
      <c r="B528">
        <v>10</v>
      </c>
      <c r="D528" s="2">
        <v>53004.7</v>
      </c>
      <c r="E528">
        <v>18990</v>
      </c>
      <c r="F528" t="s">
        <v>15</v>
      </c>
      <c r="G528" t="s">
        <v>18</v>
      </c>
      <c r="H528">
        <v>71994</v>
      </c>
      <c r="I528" t="s">
        <v>17</v>
      </c>
      <c r="J528" t="s">
        <v>28</v>
      </c>
      <c r="K528">
        <v>18990.080000000002</v>
      </c>
      <c r="L528">
        <v>71994.81</v>
      </c>
      <c r="M528">
        <v>6</v>
      </c>
      <c r="Y528" s="1">
        <f t="shared" si="40"/>
        <v>1886.624</v>
      </c>
      <c r="Z528" s="2">
        <f t="shared" si="41"/>
        <v>53004.7</v>
      </c>
      <c r="AA528" s="2">
        <f t="shared" si="42"/>
        <v>53004.732262496393</v>
      </c>
      <c r="AB528" s="1">
        <f t="shared" si="43"/>
        <v>6.4047508211094631E-2</v>
      </c>
      <c r="AC528" s="1" t="b">
        <f t="shared" si="44"/>
        <v>1</v>
      </c>
    </row>
    <row r="529" spans="1:29" x14ac:dyDescent="0.25">
      <c r="A529" s="1" t="s">
        <v>154</v>
      </c>
      <c r="B529">
        <v>7</v>
      </c>
      <c r="D529" s="2">
        <v>53008.5</v>
      </c>
      <c r="M529">
        <v>6</v>
      </c>
      <c r="Y529" s="1">
        <f t="shared" si="40"/>
        <v>1886.491</v>
      </c>
      <c r="Z529" s="2">
        <f t="shared" si="41"/>
        <v>53008.5</v>
      </c>
      <c r="AA529" s="2">
        <f t="shared" si="42"/>
        <v>53008.469163118192</v>
      </c>
      <c r="AB529" s="1">
        <f t="shared" si="43"/>
        <v>6.4049489015086267E-2</v>
      </c>
      <c r="AC529" s="1" t="b">
        <f t="shared" si="44"/>
        <v>1</v>
      </c>
    </row>
    <row r="530" spans="1:29" x14ac:dyDescent="0.25">
      <c r="A530" s="1" t="s">
        <v>155</v>
      </c>
      <c r="B530">
        <v>5</v>
      </c>
      <c r="D530" s="2">
        <v>53010.7</v>
      </c>
      <c r="E530">
        <v>14859</v>
      </c>
      <c r="F530" t="s">
        <v>15</v>
      </c>
      <c r="G530" t="s">
        <v>23</v>
      </c>
      <c r="H530">
        <v>67870</v>
      </c>
      <c r="I530" t="s">
        <v>17</v>
      </c>
      <c r="J530" t="s">
        <v>16</v>
      </c>
      <c r="K530">
        <v>14859.96</v>
      </c>
      <c r="L530">
        <v>67870.759999999995</v>
      </c>
      <c r="M530">
        <v>6</v>
      </c>
      <c r="Y530" s="1">
        <f t="shared" si="40"/>
        <v>1886.412</v>
      </c>
      <c r="Z530" s="2">
        <f t="shared" si="41"/>
        <v>53010.7</v>
      </c>
      <c r="AA530" s="2">
        <f t="shared" si="42"/>
        <v>53010.689075345152</v>
      </c>
      <c r="AB530" s="1">
        <f t="shared" si="43"/>
        <v>6.4050665781214586E-2</v>
      </c>
      <c r="AC530" s="1" t="b">
        <f t="shared" si="44"/>
        <v>1</v>
      </c>
    </row>
    <row r="531" spans="1:29" x14ac:dyDescent="0.25">
      <c r="A531" s="1" t="s">
        <v>156</v>
      </c>
      <c r="B531">
        <v>1</v>
      </c>
      <c r="D531" s="2">
        <v>53018.6</v>
      </c>
      <c r="E531">
        <v>15525</v>
      </c>
      <c r="F531" t="s">
        <v>15</v>
      </c>
      <c r="G531" t="s">
        <v>23</v>
      </c>
      <c r="H531">
        <v>68544</v>
      </c>
      <c r="I531" t="s">
        <v>17</v>
      </c>
      <c r="J531" t="s">
        <v>16</v>
      </c>
      <c r="K531">
        <v>15525.5</v>
      </c>
      <c r="L531">
        <v>68544.19</v>
      </c>
      <c r="M531">
        <v>6</v>
      </c>
      <c r="Y531" s="1">
        <f t="shared" si="40"/>
        <v>1886.1320000000001</v>
      </c>
      <c r="Z531" s="2">
        <f t="shared" si="41"/>
        <v>53018.6</v>
      </c>
      <c r="AA531" s="2">
        <f t="shared" si="42"/>
        <v>53018.558616258037</v>
      </c>
      <c r="AB531" s="1">
        <f t="shared" si="43"/>
        <v>6.4054837788727947E-2</v>
      </c>
      <c r="AC531" s="1" t="b">
        <f t="shared" si="44"/>
        <v>1</v>
      </c>
    </row>
    <row r="532" spans="1:29" x14ac:dyDescent="0.25">
      <c r="A532" s="1" t="s">
        <v>157</v>
      </c>
      <c r="B532">
        <v>3</v>
      </c>
      <c r="D532" s="2">
        <v>53024</v>
      </c>
      <c r="M532">
        <v>6</v>
      </c>
      <c r="Y532" s="1">
        <f t="shared" si="40"/>
        <v>1885.94</v>
      </c>
      <c r="Z532" s="2">
        <f t="shared" si="41"/>
        <v>53024</v>
      </c>
      <c r="AA532" s="2">
        <f t="shared" si="42"/>
        <v>53023.956223421737</v>
      </c>
      <c r="AB532" s="1">
        <f t="shared" si="43"/>
        <v>6.4057699667916732E-2</v>
      </c>
      <c r="AC532" s="1" t="b">
        <f t="shared" si="44"/>
        <v>1</v>
      </c>
    </row>
    <row r="533" spans="1:29" x14ac:dyDescent="0.25">
      <c r="A533" s="1" t="s">
        <v>158</v>
      </c>
      <c r="B533">
        <v>4</v>
      </c>
      <c r="D533" s="2">
        <v>53026</v>
      </c>
      <c r="M533">
        <v>6</v>
      </c>
      <c r="Y533" s="1">
        <f t="shared" si="40"/>
        <v>1885.8689999999999</v>
      </c>
      <c r="Z533" s="2">
        <f t="shared" si="41"/>
        <v>53026</v>
      </c>
      <c r="AA533" s="2">
        <f t="shared" si="42"/>
        <v>53025.952491928125</v>
      </c>
      <c r="AB533" s="1">
        <f t="shared" si="43"/>
        <v>6.4058758188381096E-2</v>
      </c>
      <c r="AC533" s="1" t="b">
        <f t="shared" si="44"/>
        <v>1</v>
      </c>
    </row>
    <row r="534" spans="1:29" x14ac:dyDescent="0.25">
      <c r="A534" s="1" t="s">
        <v>159</v>
      </c>
      <c r="B534">
        <v>3</v>
      </c>
      <c r="D534" s="2">
        <v>53041.2</v>
      </c>
      <c r="E534">
        <v>26095</v>
      </c>
      <c r="F534" t="s">
        <v>15</v>
      </c>
      <c r="G534" t="s">
        <v>23</v>
      </c>
      <c r="H534">
        <v>79136</v>
      </c>
      <c r="I534" t="s">
        <v>17</v>
      </c>
      <c r="J534" t="s">
        <v>50</v>
      </c>
      <c r="K534">
        <v>26095.23</v>
      </c>
      <c r="L534">
        <v>79136.23</v>
      </c>
      <c r="M534">
        <v>6</v>
      </c>
      <c r="Y534" s="1">
        <f t="shared" si="40"/>
        <v>1885.328</v>
      </c>
      <c r="Z534" s="2">
        <f t="shared" si="41"/>
        <v>53041.2</v>
      </c>
      <c r="AA534" s="2">
        <f t="shared" si="42"/>
        <v>53041.168433291183</v>
      </c>
      <c r="AB534" s="1">
        <f t="shared" si="43"/>
        <v>6.4066827743843827E-2</v>
      </c>
      <c r="AC534" s="1" t="b">
        <f t="shared" si="44"/>
        <v>1</v>
      </c>
    </row>
    <row r="535" spans="1:29" x14ac:dyDescent="0.25">
      <c r="A535" s="1" t="s">
        <v>160</v>
      </c>
      <c r="B535">
        <v>5</v>
      </c>
      <c r="D535" s="2">
        <v>53050</v>
      </c>
      <c r="M535">
        <v>6</v>
      </c>
      <c r="Y535" s="1">
        <f t="shared" si="40"/>
        <v>1885.0150000000001</v>
      </c>
      <c r="Z535" s="2">
        <f t="shared" si="41"/>
        <v>53050</v>
      </c>
      <c r="AA535" s="2">
        <f t="shared" si="42"/>
        <v>53049.975729636099</v>
      </c>
      <c r="AB535" s="1">
        <f t="shared" si="43"/>
        <v>6.4071499624574896E-2</v>
      </c>
      <c r="AC535" s="1" t="b">
        <f t="shared" si="44"/>
        <v>1</v>
      </c>
    </row>
    <row r="536" spans="1:29" x14ac:dyDescent="0.25">
      <c r="A536" s="1" t="s">
        <v>161</v>
      </c>
      <c r="B536">
        <v>3</v>
      </c>
      <c r="D536" s="2">
        <v>53060.2</v>
      </c>
      <c r="M536">
        <v>6</v>
      </c>
      <c r="Y536" s="1">
        <f t="shared" si="40"/>
        <v>1884.653</v>
      </c>
      <c r="Z536" s="2">
        <f t="shared" si="41"/>
        <v>53060.2</v>
      </c>
      <c r="AA536" s="2">
        <f t="shared" si="42"/>
        <v>53060.165452207912</v>
      </c>
      <c r="AB536" s="1">
        <f t="shared" si="43"/>
        <v>6.4076905789078389E-2</v>
      </c>
      <c r="AC536" s="1" t="b">
        <f t="shared" si="44"/>
        <v>1</v>
      </c>
    </row>
    <row r="537" spans="1:29" x14ac:dyDescent="0.25">
      <c r="A537" s="1" t="s">
        <v>162</v>
      </c>
      <c r="B537">
        <v>20</v>
      </c>
      <c r="D537" s="2">
        <v>53067.3</v>
      </c>
      <c r="M537">
        <v>6</v>
      </c>
      <c r="Y537" s="1">
        <f t="shared" si="40"/>
        <v>1884.3989999999999</v>
      </c>
      <c r="Z537" s="2">
        <f t="shared" si="41"/>
        <v>53067.3</v>
      </c>
      <c r="AA537" s="2">
        <f t="shared" si="42"/>
        <v>53067.317484248299</v>
      </c>
      <c r="AB537" s="1">
        <f t="shared" si="43"/>
        <v>6.4080700924870032E-2</v>
      </c>
      <c r="AC537" s="1" t="b">
        <f t="shared" si="44"/>
        <v>1</v>
      </c>
    </row>
    <row r="538" spans="1:29" x14ac:dyDescent="0.25">
      <c r="A538" s="1" t="s">
        <v>163</v>
      </c>
      <c r="B538">
        <v>10</v>
      </c>
      <c r="D538" s="2">
        <v>53074.3</v>
      </c>
      <c r="M538">
        <v>6</v>
      </c>
      <c r="Y538" s="1">
        <f t="shared" si="40"/>
        <v>1884.152</v>
      </c>
      <c r="Z538" s="2">
        <f t="shared" si="41"/>
        <v>53074.3</v>
      </c>
      <c r="AA538" s="2">
        <f t="shared" si="42"/>
        <v>53074.274262373736</v>
      </c>
      <c r="AB538" s="1">
        <f t="shared" si="43"/>
        <v>6.4084392942388338E-2</v>
      </c>
      <c r="AC538" s="1" t="b">
        <f t="shared" si="44"/>
        <v>1</v>
      </c>
    </row>
    <row r="539" spans="1:29" x14ac:dyDescent="0.25">
      <c r="A539" s="1" t="s">
        <v>164</v>
      </c>
      <c r="B539">
        <v>1</v>
      </c>
      <c r="D539" s="2">
        <v>53075.6</v>
      </c>
      <c r="E539">
        <v>12846</v>
      </c>
      <c r="F539" t="s">
        <v>15</v>
      </c>
      <c r="G539" t="s">
        <v>16</v>
      </c>
      <c r="H539">
        <v>65922</v>
      </c>
      <c r="I539" t="s">
        <v>17</v>
      </c>
      <c r="J539" t="s">
        <v>23</v>
      </c>
      <c r="K539">
        <v>12846.66</v>
      </c>
      <c r="L539">
        <v>65922.42</v>
      </c>
      <c r="M539">
        <v>6</v>
      </c>
      <c r="Y539" s="1">
        <f t="shared" si="40"/>
        <v>1884.105</v>
      </c>
      <c r="Z539" s="2">
        <f t="shared" si="41"/>
        <v>53075.6</v>
      </c>
      <c r="AA539" s="2">
        <f t="shared" si="42"/>
        <v>53075.59822833653</v>
      </c>
      <c r="AB539" s="1">
        <f t="shared" si="43"/>
        <v>6.4085095636479003E-2</v>
      </c>
      <c r="AC539" s="1" t="b">
        <f t="shared" si="44"/>
        <v>1</v>
      </c>
    </row>
    <row r="540" spans="1:29" x14ac:dyDescent="0.25">
      <c r="A540" s="1" t="s">
        <v>165</v>
      </c>
      <c r="B540">
        <v>3</v>
      </c>
      <c r="D540" s="2">
        <v>53084.5</v>
      </c>
      <c r="M540">
        <v>6</v>
      </c>
      <c r="Y540" s="1">
        <f t="shared" si="40"/>
        <v>1883.789</v>
      </c>
      <c r="Z540" s="2">
        <f t="shared" si="41"/>
        <v>53084.5</v>
      </c>
      <c r="AA540" s="2">
        <f t="shared" si="42"/>
        <v>53084.501502025967</v>
      </c>
      <c r="AB540" s="1">
        <f t="shared" si="43"/>
        <v>6.4089821498592991E-2</v>
      </c>
      <c r="AC540" s="1" t="b">
        <f t="shared" si="44"/>
        <v>1</v>
      </c>
    </row>
    <row r="541" spans="1:29" x14ac:dyDescent="0.25">
      <c r="A541" s="1" t="s">
        <v>166</v>
      </c>
      <c r="B541">
        <v>50</v>
      </c>
      <c r="C541" t="s">
        <v>122</v>
      </c>
      <c r="D541" s="2">
        <v>53087</v>
      </c>
      <c r="E541">
        <v>22527</v>
      </c>
      <c r="F541" t="s">
        <v>15</v>
      </c>
      <c r="G541" t="s">
        <v>18</v>
      </c>
      <c r="H541">
        <v>75614</v>
      </c>
      <c r="I541" t="s">
        <v>17</v>
      </c>
      <c r="J541" t="s">
        <v>28</v>
      </c>
      <c r="K541">
        <v>22527.7</v>
      </c>
      <c r="L541">
        <v>75614.81</v>
      </c>
      <c r="M541">
        <v>6</v>
      </c>
      <c r="Y541" s="1">
        <f t="shared" si="40"/>
        <v>1883.7</v>
      </c>
      <c r="Z541" s="2">
        <f t="shared" si="41"/>
        <v>53087</v>
      </c>
      <c r="AA541" s="2">
        <f t="shared" si="42"/>
        <v>53087.00960874874</v>
      </c>
      <c r="AB541" s="1">
        <f t="shared" si="43"/>
        <v>6.4091152945996904E-2</v>
      </c>
      <c r="AC541" s="1" t="b">
        <f t="shared" si="44"/>
        <v>1</v>
      </c>
    </row>
    <row r="542" spans="1:29" x14ac:dyDescent="0.25">
      <c r="A542" s="1" t="s">
        <v>167</v>
      </c>
      <c r="B542">
        <v>50</v>
      </c>
      <c r="C542" t="s">
        <v>122</v>
      </c>
      <c r="D542" s="2">
        <v>53088.5</v>
      </c>
      <c r="E542">
        <v>12846</v>
      </c>
      <c r="F542" t="s">
        <v>15</v>
      </c>
      <c r="G542" t="s">
        <v>16</v>
      </c>
      <c r="H542">
        <v>65935</v>
      </c>
      <c r="I542" t="s">
        <v>17</v>
      </c>
      <c r="J542" t="s">
        <v>18</v>
      </c>
      <c r="K542">
        <v>12846.66</v>
      </c>
      <c r="L542">
        <v>65935.25</v>
      </c>
      <c r="M542">
        <v>6</v>
      </c>
      <c r="Y542" s="1">
        <f t="shared" si="40"/>
        <v>1883.6469999999999</v>
      </c>
      <c r="Z542" s="2">
        <f t="shared" si="41"/>
        <v>53088.5</v>
      </c>
      <c r="AA542" s="2">
        <f t="shared" si="42"/>
        <v>53088.503312988054</v>
      </c>
      <c r="AB542" s="1">
        <f t="shared" si="43"/>
        <v>6.4091945920065715E-2</v>
      </c>
      <c r="AC542" s="1" t="b">
        <f t="shared" si="44"/>
        <v>1</v>
      </c>
    </row>
    <row r="543" spans="1:29" x14ac:dyDescent="0.25">
      <c r="A543" s="1" t="s">
        <v>168</v>
      </c>
      <c r="B543">
        <v>2</v>
      </c>
      <c r="D543" s="2">
        <v>53097.9</v>
      </c>
      <c r="M543">
        <v>6</v>
      </c>
      <c r="Y543" s="1">
        <f t="shared" si="40"/>
        <v>1883.3150000000001</v>
      </c>
      <c r="Z543" s="2">
        <f t="shared" si="41"/>
        <v>53097.9</v>
      </c>
      <c r="AA543" s="2">
        <f t="shared" si="42"/>
        <v>53097.862014585982</v>
      </c>
      <c r="AB543" s="1">
        <f t="shared" si="43"/>
        <v>6.409691475260007E-2</v>
      </c>
      <c r="AC543" s="1" t="b">
        <f t="shared" si="44"/>
        <v>1</v>
      </c>
    </row>
    <row r="544" spans="1:29" x14ac:dyDescent="0.25">
      <c r="A544" s="1" t="s">
        <v>169</v>
      </c>
      <c r="B544">
        <v>50</v>
      </c>
      <c r="D544" s="2">
        <v>53101.599999999999</v>
      </c>
      <c r="E544">
        <v>30505</v>
      </c>
      <c r="F544" t="s">
        <v>15</v>
      </c>
      <c r="G544" t="s">
        <v>23</v>
      </c>
      <c r="H544">
        <v>83607</v>
      </c>
      <c r="I544" t="s">
        <v>17</v>
      </c>
      <c r="J544" t="s">
        <v>23</v>
      </c>
      <c r="K544">
        <v>30505.72</v>
      </c>
      <c r="L544">
        <v>83607.320000000007</v>
      </c>
      <c r="M544">
        <v>6</v>
      </c>
      <c r="Y544" s="1">
        <f t="shared" si="40"/>
        <v>1883.184</v>
      </c>
      <c r="Z544" s="2">
        <f t="shared" si="41"/>
        <v>53101.599999999999</v>
      </c>
      <c r="AA544" s="2">
        <f t="shared" si="42"/>
        <v>53101.555663174709</v>
      </c>
      <c r="AB544" s="1">
        <f t="shared" si="43"/>
        <v>6.4098876069246219E-2</v>
      </c>
      <c r="AC544" s="1" t="b">
        <f t="shared" si="44"/>
        <v>1</v>
      </c>
    </row>
    <row r="545" spans="1:29" x14ac:dyDescent="0.25">
      <c r="A545" s="1" t="s">
        <v>170</v>
      </c>
      <c r="B545">
        <v>1</v>
      </c>
      <c r="D545" s="2">
        <v>53106.5</v>
      </c>
      <c r="M545">
        <v>6</v>
      </c>
      <c r="Y545" s="1">
        <f t="shared" si="40"/>
        <v>1883.0070000000001</v>
      </c>
      <c r="Z545" s="2">
        <f t="shared" si="41"/>
        <v>53106.5</v>
      </c>
      <c r="AA545" s="2">
        <f t="shared" si="42"/>
        <v>53106.547134450375</v>
      </c>
      <c r="AB545" s="1">
        <f t="shared" si="43"/>
        <v>6.4101526742718004E-2</v>
      </c>
      <c r="AC545" s="1" t="b">
        <f t="shared" si="44"/>
        <v>1</v>
      </c>
    </row>
    <row r="546" spans="1:29" x14ac:dyDescent="0.25">
      <c r="A546" s="1" t="s">
        <v>171</v>
      </c>
      <c r="B546">
        <v>2</v>
      </c>
      <c r="D546" s="2">
        <v>53108.7</v>
      </c>
      <c r="M546">
        <v>6</v>
      </c>
      <c r="Y546" s="1">
        <f t="shared" si="40"/>
        <v>1882.932</v>
      </c>
      <c r="Z546" s="2">
        <f t="shared" si="41"/>
        <v>53108.7</v>
      </c>
      <c r="AA546" s="2">
        <f t="shared" si="42"/>
        <v>53108.662447714523</v>
      </c>
      <c r="AB546" s="1">
        <f t="shared" si="43"/>
        <v>6.4102650134926414E-2</v>
      </c>
      <c r="AC546" s="1" t="b">
        <f t="shared" si="44"/>
        <v>1</v>
      </c>
    </row>
    <row r="547" spans="1:29" x14ac:dyDescent="0.25">
      <c r="A547" s="1" t="s">
        <v>172</v>
      </c>
      <c r="B547">
        <v>3</v>
      </c>
      <c r="D547" s="2">
        <v>53111.199999999997</v>
      </c>
      <c r="M547">
        <v>6</v>
      </c>
      <c r="Y547" s="1">
        <f t="shared" si="40"/>
        <v>1882.8430000000001</v>
      </c>
      <c r="Z547" s="2">
        <f t="shared" si="41"/>
        <v>53111.199999999997</v>
      </c>
      <c r="AA547" s="2">
        <f t="shared" si="42"/>
        <v>53111.172838096427</v>
      </c>
      <c r="AB547" s="1">
        <f t="shared" si="43"/>
        <v>6.4103983401190764E-2</v>
      </c>
      <c r="AC547" s="1" t="b">
        <f t="shared" si="44"/>
        <v>1</v>
      </c>
    </row>
    <row r="548" spans="1:29" x14ac:dyDescent="0.25">
      <c r="A548" s="1" t="s">
        <v>173</v>
      </c>
      <c r="B548">
        <v>20</v>
      </c>
      <c r="D548" s="2">
        <v>53134.1</v>
      </c>
      <c r="M548">
        <v>6</v>
      </c>
      <c r="Y548" s="1">
        <f t="shared" si="40"/>
        <v>1882.0309999999999</v>
      </c>
      <c r="Z548" s="2">
        <f t="shared" si="41"/>
        <v>53134.1</v>
      </c>
      <c r="AA548" s="2">
        <f t="shared" si="42"/>
        <v>53134.087589418028</v>
      </c>
      <c r="AB548" s="1">
        <f t="shared" si="43"/>
        <v>6.4116156319799736E-2</v>
      </c>
      <c r="AC548" s="1" t="b">
        <f t="shared" si="44"/>
        <v>1</v>
      </c>
    </row>
    <row r="549" spans="1:29" x14ac:dyDescent="0.25">
      <c r="A549" s="1" t="s">
        <v>174</v>
      </c>
      <c r="B549">
        <v>500</v>
      </c>
      <c r="D549" s="2">
        <v>53156.9</v>
      </c>
      <c r="E549">
        <v>25979</v>
      </c>
      <c r="F549" t="s">
        <v>15</v>
      </c>
      <c r="G549" t="s">
        <v>57</v>
      </c>
      <c r="H549">
        <v>79136</v>
      </c>
      <c r="I549" t="s">
        <v>17</v>
      </c>
      <c r="J549" t="s">
        <v>50</v>
      </c>
      <c r="K549">
        <v>25979.34</v>
      </c>
      <c r="L549">
        <v>79136.23</v>
      </c>
      <c r="M549">
        <v>6</v>
      </c>
      <c r="Y549" s="1">
        <f t="shared" si="40"/>
        <v>1881.2239999999999</v>
      </c>
      <c r="Z549" s="2">
        <f t="shared" si="41"/>
        <v>53156.9</v>
      </c>
      <c r="AA549" s="2">
        <f t="shared" si="42"/>
        <v>53156.88083928336</v>
      </c>
      <c r="AB549" s="1">
        <f t="shared" si="43"/>
        <v>6.4128269902808857E-2</v>
      </c>
      <c r="AC549" s="1" t="b">
        <f t="shared" si="44"/>
        <v>1</v>
      </c>
    </row>
    <row r="550" spans="1:29" x14ac:dyDescent="0.25">
      <c r="A550" s="1" t="s">
        <v>175</v>
      </c>
      <c r="B550">
        <v>10</v>
      </c>
      <c r="D550" s="6">
        <v>53165.5</v>
      </c>
      <c r="E550">
        <v>16516</v>
      </c>
      <c r="F550" t="s">
        <v>15</v>
      </c>
      <c r="G550" t="s">
        <v>18</v>
      </c>
      <c r="H550">
        <v>69681</v>
      </c>
      <c r="I550" t="s">
        <v>17</v>
      </c>
      <c r="J550" t="s">
        <v>28</v>
      </c>
      <c r="K550">
        <v>16516.150000000001</v>
      </c>
      <c r="L550">
        <v>69681.600000000006</v>
      </c>
      <c r="M550">
        <v>6</v>
      </c>
      <c r="N550" s="4" t="s">
        <v>176</v>
      </c>
      <c r="O550" t="s">
        <v>1104</v>
      </c>
      <c r="P550">
        <f>$A550+0</f>
        <v>1880.9190000000001</v>
      </c>
      <c r="Q550" s="8">
        <f>100000000/P550</f>
        <v>53165.500481413605</v>
      </c>
      <c r="R550">
        <f>$L550-$K550</f>
        <v>53165.450000000004</v>
      </c>
      <c r="S550" s="1">
        <v>1880.9897768205631</v>
      </c>
      <c r="T550" s="1">
        <f>100000000/R550</f>
        <v>1880.9207859615594</v>
      </c>
      <c r="U550" s="1"/>
      <c r="V550" s="1"/>
      <c r="W550" s="1"/>
      <c r="X550" s="1"/>
      <c r="Y550" s="1">
        <f t="shared" si="40"/>
        <v>1880.9190000000001</v>
      </c>
      <c r="Z550" s="2">
        <f t="shared" si="41"/>
        <v>53165.5</v>
      </c>
      <c r="AA550" s="2">
        <f t="shared" si="42"/>
        <v>53165.500481413605</v>
      </c>
      <c r="AB550" s="1">
        <f t="shared" si="43"/>
        <v>6.4132852207195959E-2</v>
      </c>
      <c r="AC550" s="1" t="b">
        <f t="shared" si="44"/>
        <v>1</v>
      </c>
    </row>
    <row r="551" spans="1:29" x14ac:dyDescent="0.25">
      <c r="A551" s="1" t="s">
        <v>177</v>
      </c>
      <c r="B551">
        <v>10</v>
      </c>
      <c r="D551" s="2">
        <v>53175.3</v>
      </c>
      <c r="M551">
        <v>6</v>
      </c>
      <c r="Y551" s="1">
        <f t="shared" si="40"/>
        <v>1880.5709999999999</v>
      </c>
      <c r="Z551" s="2">
        <f t="shared" si="41"/>
        <v>53175.3</v>
      </c>
      <c r="AA551" s="2">
        <f t="shared" si="42"/>
        <v>53175.338766789449</v>
      </c>
      <c r="AB551" s="1">
        <f t="shared" si="43"/>
        <v>6.4138083264814114E-2</v>
      </c>
      <c r="AC551" s="1" t="b">
        <f t="shared" si="44"/>
        <v>1</v>
      </c>
    </row>
    <row r="552" spans="1:29" x14ac:dyDescent="0.25">
      <c r="A552" s="1" t="s">
        <v>178</v>
      </c>
      <c r="B552">
        <v>4</v>
      </c>
      <c r="D552" s="2">
        <v>53195.9</v>
      </c>
      <c r="E552">
        <v>35024</v>
      </c>
      <c r="F552" t="s">
        <v>15</v>
      </c>
      <c r="G552" t="s">
        <v>18</v>
      </c>
      <c r="H552">
        <v>88220</v>
      </c>
      <c r="I552" t="s">
        <v>17</v>
      </c>
      <c r="J552" t="s">
        <v>16</v>
      </c>
      <c r="K552">
        <v>35024.49</v>
      </c>
      <c r="L552">
        <v>88220.2</v>
      </c>
      <c r="M552">
        <v>6</v>
      </c>
      <c r="Y552" s="1">
        <f t="shared" si="40"/>
        <v>1879.845</v>
      </c>
      <c r="Z552" s="2">
        <f t="shared" si="41"/>
        <v>53195.9</v>
      </c>
      <c r="AA552" s="2">
        <f t="shared" si="42"/>
        <v>53195.875191837622</v>
      </c>
      <c r="AB552" s="1">
        <f t="shared" si="43"/>
        <v>6.4149005687127836E-2</v>
      </c>
      <c r="AC552" s="1" t="b">
        <f t="shared" si="44"/>
        <v>1</v>
      </c>
    </row>
    <row r="553" spans="1:29" x14ac:dyDescent="0.25">
      <c r="A553" s="1" t="s">
        <v>179</v>
      </c>
      <c r="B553">
        <v>4</v>
      </c>
      <c r="D553" s="2">
        <v>53197.5</v>
      </c>
      <c r="E553">
        <v>30505</v>
      </c>
      <c r="F553" t="s">
        <v>15</v>
      </c>
      <c r="G553" t="s">
        <v>23</v>
      </c>
      <c r="H553">
        <v>83703</v>
      </c>
      <c r="I553" t="s">
        <v>17</v>
      </c>
      <c r="J553" t="s">
        <v>50</v>
      </c>
      <c r="K553">
        <v>30505.72</v>
      </c>
      <c r="L553">
        <v>83703.429999999993</v>
      </c>
      <c r="M553">
        <v>6</v>
      </c>
      <c r="Y553" s="1">
        <f t="shared" si="40"/>
        <v>1879.7860000000001</v>
      </c>
      <c r="Z553" s="2">
        <f t="shared" si="41"/>
        <v>53197.5</v>
      </c>
      <c r="AA553" s="2">
        <f t="shared" si="42"/>
        <v>53197.544826911144</v>
      </c>
      <c r="AB553" s="1">
        <f t="shared" si="43"/>
        <v>6.4149893878056113E-2</v>
      </c>
      <c r="AC553" s="1" t="b">
        <f t="shared" si="44"/>
        <v>1</v>
      </c>
    </row>
    <row r="554" spans="1:29" x14ac:dyDescent="0.25">
      <c r="A554" s="1" t="s">
        <v>180</v>
      </c>
      <c r="B554">
        <v>1</v>
      </c>
      <c r="D554" s="2">
        <v>53200.7</v>
      </c>
      <c r="M554">
        <v>6</v>
      </c>
      <c r="Y554" s="1">
        <f t="shared" si="40"/>
        <v>1879.673</v>
      </c>
      <c r="Z554" s="2">
        <f t="shared" si="41"/>
        <v>53200.7</v>
      </c>
      <c r="AA554" s="2">
        <f t="shared" si="42"/>
        <v>53200.742895173789</v>
      </c>
      <c r="AB554" s="1">
        <f t="shared" si="43"/>
        <v>6.4151595222991922E-2</v>
      </c>
      <c r="AC554" s="1" t="b">
        <f t="shared" si="44"/>
        <v>1</v>
      </c>
    </row>
    <row r="555" spans="1:29" x14ac:dyDescent="0.25">
      <c r="A555" s="1" t="s">
        <v>181</v>
      </c>
      <c r="B555">
        <v>2</v>
      </c>
      <c r="C555" t="s">
        <v>122</v>
      </c>
      <c r="D555" s="2">
        <v>53203.6</v>
      </c>
      <c r="M555">
        <v>6</v>
      </c>
      <c r="Y555" s="1">
        <f t="shared" si="40"/>
        <v>1879.5709999999999</v>
      </c>
      <c r="Z555" s="2">
        <f t="shared" si="41"/>
        <v>53203.6</v>
      </c>
      <c r="AA555" s="2">
        <f t="shared" si="42"/>
        <v>53203.629977266093</v>
      </c>
      <c r="AB555" s="1">
        <f t="shared" si="43"/>
        <v>6.4153131213789238E-2</v>
      </c>
      <c r="AC555" s="1" t="b">
        <f t="shared" si="44"/>
        <v>1</v>
      </c>
    </row>
    <row r="556" spans="1:29" x14ac:dyDescent="0.25">
      <c r="A556" s="1" t="s">
        <v>182</v>
      </c>
      <c r="B556">
        <v>5</v>
      </c>
      <c r="D556" s="2">
        <v>53204.4</v>
      </c>
      <c r="M556">
        <v>6</v>
      </c>
      <c r="Y556" s="1">
        <f t="shared" si="40"/>
        <v>1879.5419999999999</v>
      </c>
      <c r="Z556" s="2">
        <f t="shared" si="41"/>
        <v>53204.4</v>
      </c>
      <c r="AA556" s="2">
        <f t="shared" si="42"/>
        <v>53204.450871542111</v>
      </c>
      <c r="AB556" s="1">
        <f t="shared" si="43"/>
        <v>6.4153567962711697E-2</v>
      </c>
      <c r="AC556" s="1" t="b">
        <f t="shared" si="44"/>
        <v>1</v>
      </c>
    </row>
    <row r="557" spans="1:29" x14ac:dyDescent="0.25">
      <c r="A557" s="1" t="s">
        <v>183</v>
      </c>
      <c r="B557">
        <v>20</v>
      </c>
      <c r="D557" s="2">
        <v>53213.1</v>
      </c>
      <c r="E557">
        <v>22080</v>
      </c>
      <c r="F557" t="s">
        <v>15</v>
      </c>
      <c r="G557" t="s">
        <v>18</v>
      </c>
      <c r="H557">
        <v>75294</v>
      </c>
      <c r="I557" t="s">
        <v>17</v>
      </c>
      <c r="J557" t="s">
        <v>18</v>
      </c>
      <c r="K557">
        <v>22080.94</v>
      </c>
      <c r="L557">
        <v>75294</v>
      </c>
      <c r="M557">
        <v>6</v>
      </c>
      <c r="Y557" s="1">
        <f t="shared" si="40"/>
        <v>1879.2349999999999</v>
      </c>
      <c r="Z557" s="2">
        <f t="shared" si="41"/>
        <v>53213.1</v>
      </c>
      <c r="AA557" s="2">
        <f t="shared" si="42"/>
        <v>53213.142581954897</v>
      </c>
      <c r="AB557" s="1">
        <f t="shared" si="43"/>
        <v>6.4158192717237314E-2</v>
      </c>
      <c r="AC557" s="1" t="b">
        <f t="shared" si="44"/>
        <v>1</v>
      </c>
    </row>
    <row r="558" spans="1:29" x14ac:dyDescent="0.25">
      <c r="A558" s="1" t="s">
        <v>184</v>
      </c>
      <c r="B558">
        <v>10</v>
      </c>
      <c r="D558" s="2">
        <v>53224.800000000003</v>
      </c>
      <c r="M558">
        <v>6</v>
      </c>
      <c r="Y558" s="1">
        <f t="shared" si="40"/>
        <v>1878.8230000000001</v>
      </c>
      <c r="Z558" s="2">
        <f t="shared" si="41"/>
        <v>53224.800000000003</v>
      </c>
      <c r="AA558" s="2">
        <f t="shared" si="42"/>
        <v>53224.811491023902</v>
      </c>
      <c r="AB558" s="1">
        <f t="shared" si="43"/>
        <v>6.4164402791275152E-2</v>
      </c>
      <c r="AC558" s="1" t="b">
        <f t="shared" si="44"/>
        <v>1</v>
      </c>
    </row>
    <row r="559" spans="1:29" x14ac:dyDescent="0.25">
      <c r="A559" s="1" t="s">
        <v>185</v>
      </c>
      <c r="B559">
        <v>20</v>
      </c>
      <c r="D559" s="2">
        <v>53235.1</v>
      </c>
      <c r="M559">
        <v>6</v>
      </c>
      <c r="Y559" s="1">
        <f t="shared" si="40"/>
        <v>1878.4590000000001</v>
      </c>
      <c r="Z559" s="2">
        <f t="shared" si="41"/>
        <v>53235.1</v>
      </c>
      <c r="AA559" s="2">
        <f t="shared" si="42"/>
        <v>53235.12517441158</v>
      </c>
      <c r="AB559" s="1">
        <f t="shared" si="43"/>
        <v>6.4169892761676353E-2</v>
      </c>
      <c r="AC559" s="1" t="b">
        <f t="shared" si="44"/>
        <v>1</v>
      </c>
    </row>
    <row r="560" spans="1:29" x14ac:dyDescent="0.25">
      <c r="A560" s="1" t="s">
        <v>186</v>
      </c>
      <c r="B560">
        <v>10</v>
      </c>
      <c r="D560" s="2">
        <v>53256.800000000003</v>
      </c>
      <c r="E560">
        <v>20848</v>
      </c>
      <c r="F560" t="s">
        <v>15</v>
      </c>
      <c r="G560" t="s">
        <v>28</v>
      </c>
      <c r="H560">
        <v>74105</v>
      </c>
      <c r="I560" t="s">
        <v>17</v>
      </c>
      <c r="J560" t="s">
        <v>28</v>
      </c>
      <c r="K560">
        <v>20848.39</v>
      </c>
      <c r="L560">
        <v>74105.2</v>
      </c>
      <c r="M560">
        <v>6</v>
      </c>
      <c r="Y560" s="1">
        <f t="shared" si="40"/>
        <v>1877.694</v>
      </c>
      <c r="Z560" s="2">
        <f t="shared" si="41"/>
        <v>53256.800000000003</v>
      </c>
      <c r="AA560" s="2">
        <f t="shared" si="42"/>
        <v>53256.813943059948</v>
      </c>
      <c r="AB560" s="1">
        <f t="shared" si="43"/>
        <v>6.4181441156828528E-2</v>
      </c>
      <c r="AC560" s="1" t="b">
        <f t="shared" si="44"/>
        <v>1</v>
      </c>
    </row>
    <row r="561" spans="1:29" x14ac:dyDescent="0.25">
      <c r="A561" s="1" t="s">
        <v>187</v>
      </c>
      <c r="B561">
        <v>5</v>
      </c>
      <c r="D561" s="2">
        <v>53268.5</v>
      </c>
      <c r="E561">
        <v>17113</v>
      </c>
      <c r="F561" t="s">
        <v>15</v>
      </c>
      <c r="G561" t="s">
        <v>50</v>
      </c>
      <c r="H561">
        <v>70381</v>
      </c>
      <c r="I561" t="s">
        <v>17</v>
      </c>
      <c r="J561" t="s">
        <v>50</v>
      </c>
      <c r="K561">
        <v>17113.189999999999</v>
      </c>
      <c r="L561">
        <v>70381.48</v>
      </c>
      <c r="M561">
        <v>6</v>
      </c>
      <c r="Y561" s="1">
        <f t="shared" si="40"/>
        <v>1877.28</v>
      </c>
      <c r="Z561" s="2">
        <f t="shared" si="41"/>
        <v>53268.5</v>
      </c>
      <c r="AA561" s="2">
        <f t="shared" si="42"/>
        <v>53268.558765874033</v>
      </c>
      <c r="AB561" s="1">
        <f t="shared" si="43"/>
        <v>6.4187696764966884E-2</v>
      </c>
      <c r="AC561" s="1" t="b">
        <f t="shared" si="44"/>
        <v>1</v>
      </c>
    </row>
    <row r="562" spans="1:29" x14ac:dyDescent="0.25">
      <c r="A562" s="1" t="s">
        <v>188</v>
      </c>
      <c r="B562">
        <v>100</v>
      </c>
      <c r="C562" t="s">
        <v>124</v>
      </c>
      <c r="D562" s="2">
        <v>53278.400000000001</v>
      </c>
      <c r="M562">
        <v>6</v>
      </c>
      <c r="Y562" s="1">
        <f t="shared" si="40"/>
        <v>1876.933</v>
      </c>
      <c r="Z562" s="2">
        <f t="shared" si="41"/>
        <v>53278.400000000001</v>
      </c>
      <c r="AA562" s="2">
        <f t="shared" si="42"/>
        <v>53278.406847767073</v>
      </c>
      <c r="AB562" s="1">
        <f t="shared" si="43"/>
        <v>6.4192943181180975E-2</v>
      </c>
      <c r="AC562" s="1" t="b">
        <f t="shared" si="44"/>
        <v>1</v>
      </c>
    </row>
    <row r="563" spans="1:29" x14ac:dyDescent="0.25">
      <c r="A563" s="1" t="s">
        <v>189</v>
      </c>
      <c r="B563">
        <v>2</v>
      </c>
      <c r="D563" s="2">
        <v>53285.7</v>
      </c>
      <c r="E563">
        <v>15045</v>
      </c>
      <c r="F563" t="s">
        <v>15</v>
      </c>
      <c r="G563" t="s">
        <v>28</v>
      </c>
      <c r="H563">
        <v>68331</v>
      </c>
      <c r="I563" t="s">
        <v>17</v>
      </c>
      <c r="J563" t="s">
        <v>18</v>
      </c>
      <c r="K563">
        <v>15045.8</v>
      </c>
      <c r="L563">
        <v>68331.73</v>
      </c>
      <c r="M563">
        <v>6</v>
      </c>
      <c r="Y563" s="1">
        <f t="shared" si="40"/>
        <v>1876.675</v>
      </c>
      <c r="Z563" s="2">
        <f t="shared" si="41"/>
        <v>53285.7</v>
      </c>
      <c r="AA563" s="2">
        <f t="shared" si="42"/>
        <v>53285.731413270812</v>
      </c>
      <c r="AB563" s="1">
        <f t="shared" si="43"/>
        <v>6.4196845861236182E-2</v>
      </c>
      <c r="AC563" s="1" t="b">
        <f t="shared" si="44"/>
        <v>1</v>
      </c>
    </row>
    <row r="564" spans="1:29" x14ac:dyDescent="0.25">
      <c r="A564" s="1" t="s">
        <v>190</v>
      </c>
      <c r="B564">
        <v>20</v>
      </c>
      <c r="D564" s="2">
        <v>53289.3</v>
      </c>
      <c r="E564">
        <v>18211</v>
      </c>
      <c r="F564" t="s">
        <v>15</v>
      </c>
      <c r="G564" t="s">
        <v>28</v>
      </c>
      <c r="H564">
        <v>71501</v>
      </c>
      <c r="I564" t="s">
        <v>17</v>
      </c>
      <c r="J564" t="s">
        <v>29</v>
      </c>
      <c r="K564">
        <v>18211.759999999998</v>
      </c>
      <c r="L564">
        <v>71501</v>
      </c>
      <c r="M564">
        <v>6</v>
      </c>
      <c r="Y564" s="1">
        <f t="shared" si="40"/>
        <v>1876.549</v>
      </c>
      <c r="Z564" s="2">
        <f t="shared" si="41"/>
        <v>53289.3</v>
      </c>
      <c r="AA564" s="2">
        <f t="shared" si="42"/>
        <v>53289.309258644462</v>
      </c>
      <c r="AB564" s="1">
        <f t="shared" si="43"/>
        <v>6.4198752406317255E-2</v>
      </c>
      <c r="AC564" s="1" t="b">
        <f t="shared" si="44"/>
        <v>1</v>
      </c>
    </row>
    <row r="565" spans="1:29" x14ac:dyDescent="0.25">
      <c r="A565" s="1" t="s">
        <v>191</v>
      </c>
      <c r="B565">
        <v>8</v>
      </c>
      <c r="D565" s="2">
        <v>53311.9</v>
      </c>
      <c r="E565">
        <v>14558</v>
      </c>
      <c r="F565" t="s">
        <v>15</v>
      </c>
      <c r="G565" t="s">
        <v>16</v>
      </c>
      <c r="H565">
        <v>67870</v>
      </c>
      <c r="I565" t="s">
        <v>17</v>
      </c>
      <c r="J565" t="s">
        <v>16</v>
      </c>
      <c r="K565">
        <v>14558.82</v>
      </c>
      <c r="L565">
        <v>67870.759999999995</v>
      </c>
      <c r="M565">
        <v>6</v>
      </c>
      <c r="Y565" s="1">
        <f t="shared" si="40"/>
        <v>1875.7539999999999</v>
      </c>
      <c r="Z565" s="2">
        <f t="shared" si="41"/>
        <v>53311.9</v>
      </c>
      <c r="AA565" s="2">
        <f t="shared" si="42"/>
        <v>53311.894843353664</v>
      </c>
      <c r="AB565" s="1">
        <f t="shared" si="43"/>
        <v>6.4210790658944E-2</v>
      </c>
      <c r="AC565" s="1" t="b">
        <f t="shared" si="44"/>
        <v>1</v>
      </c>
    </row>
    <row r="566" spans="1:29" x14ac:dyDescent="0.25">
      <c r="A566" s="1" t="s">
        <v>192</v>
      </c>
      <c r="B566">
        <v>10</v>
      </c>
      <c r="D566" s="2">
        <v>53322.3</v>
      </c>
      <c r="E566">
        <v>18063</v>
      </c>
      <c r="F566" t="s">
        <v>15</v>
      </c>
      <c r="G566" t="s">
        <v>16</v>
      </c>
      <c r="H566">
        <v>71385</v>
      </c>
      <c r="I566" t="s">
        <v>17</v>
      </c>
      <c r="J566" t="s">
        <v>18</v>
      </c>
      <c r="K566">
        <v>18063.36</v>
      </c>
      <c r="L566">
        <v>71385.600000000006</v>
      </c>
      <c r="M566">
        <v>6</v>
      </c>
      <c r="Y566" s="1">
        <f t="shared" si="40"/>
        <v>1875.3879999999999</v>
      </c>
      <c r="Z566" s="2">
        <f t="shared" si="41"/>
        <v>53322.3</v>
      </c>
      <c r="AA566" s="2">
        <f t="shared" si="42"/>
        <v>53322.29917222463</v>
      </c>
      <c r="AB566" s="1">
        <f t="shared" si="43"/>
        <v>6.4216337945061139E-2</v>
      </c>
      <c r="AC566" s="1" t="b">
        <f t="shared" si="44"/>
        <v>1</v>
      </c>
    </row>
    <row r="567" spans="1:29" x14ac:dyDescent="0.25">
      <c r="A567" s="1" t="s">
        <v>193</v>
      </c>
      <c r="B567">
        <v>20</v>
      </c>
      <c r="D567" s="2">
        <v>53324.6</v>
      </c>
      <c r="E567">
        <v>18211</v>
      </c>
      <c r="F567" t="s">
        <v>15</v>
      </c>
      <c r="G567" t="s">
        <v>28</v>
      </c>
      <c r="H567">
        <v>71536</v>
      </c>
      <c r="I567" t="s">
        <v>17</v>
      </c>
      <c r="J567" t="s">
        <v>28</v>
      </c>
      <c r="K567">
        <v>18211.759999999998</v>
      </c>
      <c r="L567">
        <v>71536.38</v>
      </c>
      <c r="M567">
        <v>6</v>
      </c>
      <c r="Y567" s="1">
        <f t="shared" si="40"/>
        <v>1875.309</v>
      </c>
      <c r="Z567" s="2">
        <f t="shared" si="41"/>
        <v>53324.6</v>
      </c>
      <c r="AA567" s="2">
        <f t="shared" si="42"/>
        <v>53324.545448243465</v>
      </c>
      <c r="AB567" s="1">
        <f t="shared" si="43"/>
        <v>6.4217535736308923E-2</v>
      </c>
      <c r="AC567" s="1" t="b">
        <f t="shared" si="44"/>
        <v>1</v>
      </c>
    </row>
    <row r="568" spans="1:29" x14ac:dyDescent="0.25">
      <c r="A568" s="1" t="s">
        <v>194</v>
      </c>
      <c r="B568">
        <v>20</v>
      </c>
      <c r="D568" s="2">
        <v>53333.9</v>
      </c>
      <c r="M568">
        <v>6</v>
      </c>
      <c r="Y568" s="1">
        <f t="shared" si="40"/>
        <v>1874.981</v>
      </c>
      <c r="Z568" s="2">
        <f t="shared" si="41"/>
        <v>53333.9</v>
      </c>
      <c r="AA568" s="2">
        <f t="shared" si="42"/>
        <v>53333.873783254334</v>
      </c>
      <c r="AB568" s="1">
        <f t="shared" si="43"/>
        <v>6.4222510463640525E-2</v>
      </c>
      <c r="AC568" s="1" t="b">
        <f t="shared" si="44"/>
        <v>1</v>
      </c>
    </row>
    <row r="569" spans="1:29" x14ac:dyDescent="0.25">
      <c r="A569" s="1" t="s">
        <v>195</v>
      </c>
      <c r="B569">
        <v>60</v>
      </c>
      <c r="D569" s="2">
        <v>53359.5</v>
      </c>
      <c r="E569">
        <v>23532</v>
      </c>
      <c r="F569" t="s">
        <v>15</v>
      </c>
      <c r="G569" t="s">
        <v>28</v>
      </c>
      <c r="H569">
        <v>76892</v>
      </c>
      <c r="I569" t="s">
        <v>17</v>
      </c>
      <c r="J569" t="s">
        <v>29</v>
      </c>
      <c r="K569">
        <v>23532.86</v>
      </c>
      <c r="L569">
        <v>76892.399999999994</v>
      </c>
      <c r="M569">
        <v>6</v>
      </c>
      <c r="Y569" s="1">
        <f t="shared" si="40"/>
        <v>1874.079</v>
      </c>
      <c r="Z569" s="2">
        <f t="shared" si="41"/>
        <v>53359.5</v>
      </c>
      <c r="AA569" s="2">
        <f t="shared" si="42"/>
        <v>53359.543541120736</v>
      </c>
      <c r="AB569" s="1">
        <f t="shared" si="43"/>
        <v>6.4236204434583805E-2</v>
      </c>
      <c r="AC569" s="1" t="b">
        <f t="shared" si="44"/>
        <v>1</v>
      </c>
    </row>
    <row r="570" spans="1:29" x14ac:dyDescent="0.25">
      <c r="A570" s="1" t="s">
        <v>196</v>
      </c>
      <c r="B570">
        <v>20</v>
      </c>
      <c r="D570" s="2">
        <v>53361.9</v>
      </c>
      <c r="M570">
        <v>6</v>
      </c>
      <c r="Y570" s="1">
        <f t="shared" si="40"/>
        <v>1873.9970000000001</v>
      </c>
      <c r="Z570" s="2">
        <f t="shared" si="41"/>
        <v>53361.9</v>
      </c>
      <c r="AA570" s="2">
        <f t="shared" si="42"/>
        <v>53361.878380808506</v>
      </c>
      <c r="AB570" s="1">
        <f t="shared" si="43"/>
        <v>6.4237450321640993E-2</v>
      </c>
      <c r="AC570" s="1" t="b">
        <f t="shared" si="44"/>
        <v>1</v>
      </c>
    </row>
    <row r="571" spans="1:29" x14ac:dyDescent="0.25">
      <c r="A571" s="1" t="s">
        <v>197</v>
      </c>
      <c r="B571">
        <v>5</v>
      </c>
      <c r="C571" t="s">
        <v>124</v>
      </c>
      <c r="D571" s="2">
        <v>53364.2</v>
      </c>
      <c r="M571">
        <v>6</v>
      </c>
      <c r="Y571" s="1">
        <f t="shared" si="40"/>
        <v>1873.914</v>
      </c>
      <c r="Z571" s="2">
        <f t="shared" si="41"/>
        <v>53364.2</v>
      </c>
      <c r="AA571" s="2">
        <f t="shared" si="42"/>
        <v>53364.241902243113</v>
      </c>
      <c r="AB571" s="1">
        <f t="shared" si="43"/>
        <v>6.4238711569005597E-2</v>
      </c>
      <c r="AC571" s="1" t="b">
        <f t="shared" si="44"/>
        <v>1</v>
      </c>
    </row>
    <row r="572" spans="1:29" x14ac:dyDescent="0.25">
      <c r="A572" s="1" t="s">
        <v>198</v>
      </c>
      <c r="B572">
        <v>5</v>
      </c>
      <c r="D572" s="2">
        <v>53376.9</v>
      </c>
      <c r="M572">
        <v>6</v>
      </c>
      <c r="Y572" s="1">
        <f t="shared" si="40"/>
        <v>1873.47</v>
      </c>
      <c r="Z572" s="2">
        <f t="shared" si="41"/>
        <v>53376.9</v>
      </c>
      <c r="AA572" s="2">
        <f t="shared" si="42"/>
        <v>53376.888874655051</v>
      </c>
      <c r="AB572" s="1">
        <f t="shared" si="43"/>
        <v>6.4245461329686365E-2</v>
      </c>
      <c r="AC572" s="1" t="b">
        <f t="shared" si="44"/>
        <v>1</v>
      </c>
    </row>
    <row r="573" spans="1:29" x14ac:dyDescent="0.25">
      <c r="A573" s="1" t="s">
        <v>199</v>
      </c>
      <c r="B573">
        <v>7</v>
      </c>
      <c r="D573" s="2">
        <v>53377.9</v>
      </c>
      <c r="E573">
        <v>14859</v>
      </c>
      <c r="F573" t="s">
        <v>15</v>
      </c>
      <c r="G573" t="s">
        <v>23</v>
      </c>
      <c r="H573">
        <v>68238</v>
      </c>
      <c r="I573" t="s">
        <v>17</v>
      </c>
      <c r="J573" t="s">
        <v>23</v>
      </c>
      <c r="K573">
        <v>14859.96</v>
      </c>
      <c r="L573">
        <v>68238.12</v>
      </c>
      <c r="M573">
        <v>6</v>
      </c>
      <c r="Y573" s="1">
        <f t="shared" si="40"/>
        <v>1873.434</v>
      </c>
      <c r="Z573" s="2">
        <f t="shared" si="41"/>
        <v>53377.9</v>
      </c>
      <c r="AA573" s="2">
        <f t="shared" si="42"/>
        <v>53377.914567580177</v>
      </c>
      <c r="AB573" s="1">
        <f t="shared" si="43"/>
        <v>6.4246008817919448E-2</v>
      </c>
      <c r="AC573" s="1" t="b">
        <f t="shared" si="44"/>
        <v>1</v>
      </c>
    </row>
    <row r="574" spans="1:29" x14ac:dyDescent="0.25">
      <c r="A574" s="1" t="s">
        <v>200</v>
      </c>
      <c r="B574">
        <v>2</v>
      </c>
      <c r="D574" s="2">
        <v>53386.1</v>
      </c>
      <c r="M574">
        <v>6</v>
      </c>
      <c r="Y574" s="1">
        <f t="shared" si="40"/>
        <v>1873.146</v>
      </c>
      <c r="Z574" s="2">
        <f t="shared" si="41"/>
        <v>53386.1</v>
      </c>
      <c r="AA574" s="2">
        <f t="shared" si="42"/>
        <v>53386.121530302495</v>
      </c>
      <c r="AB574" s="1">
        <f t="shared" si="43"/>
        <v>6.4250389860241147E-2</v>
      </c>
      <c r="AC574" s="1" t="b">
        <f t="shared" si="44"/>
        <v>1</v>
      </c>
    </row>
    <row r="575" spans="1:29" x14ac:dyDescent="0.25">
      <c r="A575" s="1" t="s">
        <v>201</v>
      </c>
      <c r="B575">
        <v>200</v>
      </c>
      <c r="D575" s="2">
        <v>53397.8</v>
      </c>
      <c r="M575">
        <v>6</v>
      </c>
      <c r="Y575" s="1">
        <f t="shared" si="40"/>
        <v>1872.7370000000001</v>
      </c>
      <c r="Z575" s="2">
        <f t="shared" si="41"/>
        <v>53397.8</v>
      </c>
      <c r="AA575" s="2">
        <f t="shared" si="42"/>
        <v>53397.780895021562</v>
      </c>
      <c r="AB575" s="1">
        <f t="shared" si="43"/>
        <v>6.4256615022563648E-2</v>
      </c>
      <c r="AC575" s="1" t="b">
        <f t="shared" si="44"/>
        <v>1</v>
      </c>
    </row>
    <row r="576" spans="1:29" x14ac:dyDescent="0.25">
      <c r="A576" s="1" t="s">
        <v>202</v>
      </c>
      <c r="B576">
        <v>20</v>
      </c>
      <c r="D576" s="2">
        <v>53422.3</v>
      </c>
      <c r="M576">
        <v>6</v>
      </c>
      <c r="Y576" s="1">
        <f t="shared" si="40"/>
        <v>1871.8779999999999</v>
      </c>
      <c r="Z576" s="2">
        <f t="shared" si="41"/>
        <v>53422.3</v>
      </c>
      <c r="AA576" s="2">
        <f t="shared" si="42"/>
        <v>53422.284999342904</v>
      </c>
      <c r="AB576" s="1">
        <f t="shared" si="43"/>
        <v>6.42697026727551E-2</v>
      </c>
      <c r="AC576" s="1" t="b">
        <f t="shared" si="44"/>
        <v>1</v>
      </c>
    </row>
    <row r="577" spans="1:29" x14ac:dyDescent="0.25">
      <c r="A577" s="1" t="s">
        <v>203</v>
      </c>
      <c r="B577">
        <v>5</v>
      </c>
      <c r="D577" s="2">
        <v>53452.3</v>
      </c>
      <c r="M577">
        <v>6</v>
      </c>
      <c r="Y577" s="1">
        <f t="shared" si="40"/>
        <v>1870.826</v>
      </c>
      <c r="Z577" s="2">
        <f t="shared" si="41"/>
        <v>53452.3</v>
      </c>
      <c r="AA577" s="2">
        <f t="shared" si="42"/>
        <v>53452.325336509115</v>
      </c>
      <c r="AB577" s="1">
        <f t="shared" si="43"/>
        <v>6.428575541940007E-2</v>
      </c>
      <c r="AC577" s="1" t="b">
        <f t="shared" si="44"/>
        <v>1</v>
      </c>
    </row>
    <row r="578" spans="1:29" x14ac:dyDescent="0.25">
      <c r="A578" s="1" t="s">
        <v>204</v>
      </c>
      <c r="B578">
        <v>1</v>
      </c>
      <c r="D578" s="2">
        <v>53465.8</v>
      </c>
      <c r="M578">
        <v>6</v>
      </c>
      <c r="Y578" s="1">
        <f t="shared" si="40"/>
        <v>1870.354</v>
      </c>
      <c r="Z578" s="2">
        <f t="shared" si="41"/>
        <v>53465.8</v>
      </c>
      <c r="AA578" s="2">
        <f t="shared" si="42"/>
        <v>53465.814492871403</v>
      </c>
      <c r="AB578" s="1">
        <f t="shared" si="43"/>
        <v>6.4292966596930692E-2</v>
      </c>
      <c r="AC578" s="1" t="b">
        <f t="shared" si="44"/>
        <v>1</v>
      </c>
    </row>
    <row r="579" spans="1:29" x14ac:dyDescent="0.25">
      <c r="A579" s="1" t="s">
        <v>205</v>
      </c>
      <c r="B579">
        <v>2</v>
      </c>
      <c r="D579" s="2">
        <v>53481.599999999999</v>
      </c>
      <c r="M579">
        <v>6</v>
      </c>
      <c r="Y579" s="1">
        <f t="shared" ref="Y579:Y642" si="45">ROUND($A579,3)+0</f>
        <v>1869.8030000000001</v>
      </c>
      <c r="Z579" s="2">
        <f t="shared" ref="Z579:Z642" si="46">ROUND($D579,1)+0</f>
        <v>53481.599999999999</v>
      </c>
      <c r="AA579" s="2">
        <f t="shared" ref="AA579:AA642" si="47">100000000/Y579</f>
        <v>53481.569983575806</v>
      </c>
      <c r="AB579" s="1">
        <f t="shared" ref="AB579:AB642" si="48">0.0005/$Y579*AA579+0.05</f>
        <v>6.4301391639540587E-2</v>
      </c>
      <c r="AC579" s="1" t="b">
        <f t="shared" ref="AC579:AC642" si="49">ABS(Z579-AA579)&lt;AB579</f>
        <v>1</v>
      </c>
    </row>
    <row r="580" spans="1:29" x14ac:dyDescent="0.25">
      <c r="A580" s="1" t="s">
        <v>206</v>
      </c>
      <c r="B580">
        <v>1</v>
      </c>
      <c r="D580" s="2">
        <v>53526.1</v>
      </c>
      <c r="M580">
        <v>6</v>
      </c>
      <c r="Y580" s="1">
        <f t="shared" si="45"/>
        <v>1868.2460000000001</v>
      </c>
      <c r="Z580" s="2">
        <f t="shared" si="46"/>
        <v>53526.1</v>
      </c>
      <c r="AA580" s="2">
        <f t="shared" si="47"/>
        <v>53526.141632311803</v>
      </c>
      <c r="AB580" s="1">
        <f t="shared" si="48"/>
        <v>6.4325239190211519E-2</v>
      </c>
      <c r="AC580" s="1" t="b">
        <f t="shared" si="49"/>
        <v>1</v>
      </c>
    </row>
    <row r="581" spans="1:29" x14ac:dyDescent="0.25">
      <c r="A581" s="1" t="s">
        <v>207</v>
      </c>
      <c r="B581">
        <v>5</v>
      </c>
      <c r="D581" s="2">
        <v>53533.7</v>
      </c>
      <c r="E581">
        <v>22080</v>
      </c>
      <c r="F581" t="s">
        <v>15</v>
      </c>
      <c r="G581" t="s">
        <v>18</v>
      </c>
      <c r="H581">
        <v>75614</v>
      </c>
      <c r="I581" t="s">
        <v>17</v>
      </c>
      <c r="J581" t="s">
        <v>28</v>
      </c>
      <c r="K581">
        <v>22080.94</v>
      </c>
      <c r="L581">
        <v>75614.81</v>
      </c>
      <c r="M581">
        <v>6</v>
      </c>
      <c r="Y581" s="1">
        <f t="shared" si="45"/>
        <v>1867.982</v>
      </c>
      <c r="Z581" s="2">
        <f t="shared" si="46"/>
        <v>53533.7</v>
      </c>
      <c r="AA581" s="2">
        <f t="shared" si="47"/>
        <v>53533.706427577999</v>
      </c>
      <c r="AB581" s="1">
        <f t="shared" si="48"/>
        <v>6.4329288619370539E-2</v>
      </c>
      <c r="AC581" s="1" t="b">
        <f t="shared" si="49"/>
        <v>1</v>
      </c>
    </row>
    <row r="582" spans="1:29" x14ac:dyDescent="0.25">
      <c r="A582" s="1" t="s">
        <v>208</v>
      </c>
      <c r="B582">
        <v>200</v>
      </c>
      <c r="D582" s="2">
        <v>53545.7</v>
      </c>
      <c r="E582">
        <v>16135</v>
      </c>
      <c r="F582" t="s">
        <v>15</v>
      </c>
      <c r="G582" t="s">
        <v>18</v>
      </c>
      <c r="H582">
        <v>69681</v>
      </c>
      <c r="I582" t="s">
        <v>17</v>
      </c>
      <c r="J582" t="s">
        <v>28</v>
      </c>
      <c r="K582">
        <v>16135.97</v>
      </c>
      <c r="L582">
        <v>69681.600000000006</v>
      </c>
      <c r="M582">
        <v>6</v>
      </c>
      <c r="Y582" s="1">
        <f t="shared" si="45"/>
        <v>1867.5650000000001</v>
      </c>
      <c r="Z582" s="2">
        <f t="shared" si="46"/>
        <v>53545.7</v>
      </c>
      <c r="AA582" s="2">
        <f t="shared" si="47"/>
        <v>53545.659722687029</v>
      </c>
      <c r="AB582" s="1">
        <f t="shared" si="48"/>
        <v>6.433568837568894E-2</v>
      </c>
      <c r="AC582" s="1" t="b">
        <f t="shared" si="49"/>
        <v>1</v>
      </c>
    </row>
    <row r="583" spans="1:29" x14ac:dyDescent="0.25">
      <c r="A583" s="1" t="s">
        <v>209</v>
      </c>
      <c r="B583">
        <v>5</v>
      </c>
      <c r="D583" s="2">
        <v>53555.4</v>
      </c>
      <c r="M583">
        <v>6</v>
      </c>
      <c r="Y583" s="1">
        <f t="shared" si="45"/>
        <v>1867.2239999999999</v>
      </c>
      <c r="Z583" s="2">
        <f t="shared" si="46"/>
        <v>53555.4</v>
      </c>
      <c r="AA583" s="2">
        <f t="shared" si="47"/>
        <v>53555.438447663488</v>
      </c>
      <c r="AB583" s="1">
        <f t="shared" si="48"/>
        <v>6.4340924936607369E-2</v>
      </c>
      <c r="AC583" s="1" t="b">
        <f t="shared" si="49"/>
        <v>1</v>
      </c>
    </row>
    <row r="584" spans="1:29" x14ac:dyDescent="0.25">
      <c r="A584" s="1" t="s">
        <v>210</v>
      </c>
      <c r="B584">
        <v>5</v>
      </c>
      <c r="D584" s="2">
        <v>53563.1</v>
      </c>
      <c r="M584">
        <v>6</v>
      </c>
      <c r="Y584" s="1">
        <f t="shared" si="45"/>
        <v>1866.9570000000001</v>
      </c>
      <c r="Z584" s="2">
        <f t="shared" si="46"/>
        <v>53563.1</v>
      </c>
      <c r="AA584" s="2">
        <f t="shared" si="47"/>
        <v>53563.097596784501</v>
      </c>
      <c r="AB584" s="1">
        <f t="shared" si="48"/>
        <v>6.4345027120813303E-2</v>
      </c>
      <c r="AC584" s="1" t="b">
        <f t="shared" si="49"/>
        <v>1</v>
      </c>
    </row>
    <row r="585" spans="1:29" x14ac:dyDescent="0.25">
      <c r="A585" s="1" t="s">
        <v>211</v>
      </c>
      <c r="B585">
        <v>1</v>
      </c>
      <c r="D585" s="2">
        <v>53571.1</v>
      </c>
      <c r="E585">
        <v>24250</v>
      </c>
      <c r="F585" t="s">
        <v>15</v>
      </c>
      <c r="G585" t="s">
        <v>29</v>
      </c>
      <c r="H585">
        <v>77822</v>
      </c>
      <c r="I585" t="s">
        <v>17</v>
      </c>
      <c r="J585" t="s">
        <v>28</v>
      </c>
      <c r="K585">
        <v>24250.62</v>
      </c>
      <c r="L585">
        <v>77822</v>
      </c>
      <c r="M585">
        <v>6</v>
      </c>
      <c r="Y585" s="1">
        <f t="shared" si="45"/>
        <v>1866.6780000000001</v>
      </c>
      <c r="Z585" s="2">
        <f t="shared" si="46"/>
        <v>53571.1</v>
      </c>
      <c r="AA585" s="2">
        <f t="shared" si="47"/>
        <v>53571.103318301277</v>
      </c>
      <c r="AB585" s="1">
        <f t="shared" si="48"/>
        <v>6.4349315553700548E-2</v>
      </c>
      <c r="AC585" s="1" t="b">
        <f t="shared" si="49"/>
        <v>1</v>
      </c>
    </row>
    <row r="586" spans="1:29" x14ac:dyDescent="0.25">
      <c r="A586" s="1" t="s">
        <v>212</v>
      </c>
      <c r="B586">
        <v>30</v>
      </c>
      <c r="D586" s="2">
        <v>53585.4</v>
      </c>
      <c r="M586">
        <v>6</v>
      </c>
      <c r="Y586" s="1">
        <f t="shared" si="45"/>
        <v>1866.1790000000001</v>
      </c>
      <c r="Z586" s="2">
        <f t="shared" si="46"/>
        <v>53585.4</v>
      </c>
      <c r="AA586" s="2">
        <f t="shared" si="47"/>
        <v>53585.427764432025</v>
      </c>
      <c r="AB586" s="1">
        <f t="shared" si="48"/>
        <v>6.4356990343485812E-2</v>
      </c>
      <c r="AC586" s="1" t="b">
        <f t="shared" si="49"/>
        <v>1</v>
      </c>
    </row>
    <row r="587" spans="1:29" x14ac:dyDescent="0.25">
      <c r="A587" s="1" t="s">
        <v>213</v>
      </c>
      <c r="B587">
        <v>4</v>
      </c>
      <c r="D587" s="2">
        <v>53595.1</v>
      </c>
      <c r="M587">
        <v>6</v>
      </c>
      <c r="Y587" s="1">
        <f t="shared" si="45"/>
        <v>1865.8420000000001</v>
      </c>
      <c r="Z587" s="2">
        <f t="shared" si="46"/>
        <v>53595.1</v>
      </c>
      <c r="AA587" s="2">
        <f t="shared" si="47"/>
        <v>53595.106123669633</v>
      </c>
      <c r="AB587" s="1">
        <f t="shared" si="48"/>
        <v>6.4362177002037058E-2</v>
      </c>
      <c r="AC587" s="1" t="b">
        <f t="shared" si="49"/>
        <v>1</v>
      </c>
    </row>
    <row r="588" spans="1:29" x14ac:dyDescent="0.25">
      <c r="A588" s="1" t="s">
        <v>214</v>
      </c>
      <c r="B588">
        <v>5</v>
      </c>
      <c r="D588" s="2">
        <v>53599.199999999997</v>
      </c>
      <c r="M588">
        <v>6</v>
      </c>
      <c r="Y588" s="1">
        <f t="shared" si="45"/>
        <v>1865.6980000000001</v>
      </c>
      <c r="Z588" s="2">
        <f t="shared" si="46"/>
        <v>53599.199999999997</v>
      </c>
      <c r="AA588" s="2">
        <f t="shared" si="47"/>
        <v>53599.242749898425</v>
      </c>
      <c r="AB588" s="1">
        <f t="shared" si="48"/>
        <v>6.436439411681269E-2</v>
      </c>
      <c r="AC588" s="1" t="b">
        <f t="shared" si="49"/>
        <v>1</v>
      </c>
    </row>
    <row r="589" spans="1:29" x14ac:dyDescent="0.25">
      <c r="A589" s="1" t="s">
        <v>215</v>
      </c>
      <c r="B589">
        <v>10</v>
      </c>
      <c r="C589" t="s">
        <v>122</v>
      </c>
      <c r="D589" s="2">
        <v>53604.1</v>
      </c>
      <c r="M589">
        <v>6</v>
      </c>
      <c r="Y589" s="1">
        <f t="shared" si="45"/>
        <v>1865.53</v>
      </c>
      <c r="Z589" s="2">
        <f t="shared" si="46"/>
        <v>53604.1</v>
      </c>
      <c r="AA589" s="2">
        <f t="shared" si="47"/>
        <v>53604.069620965623</v>
      </c>
      <c r="AB589" s="1">
        <f t="shared" si="48"/>
        <v>6.4366981399646653E-2</v>
      </c>
      <c r="AC589" s="1" t="b">
        <f t="shared" si="49"/>
        <v>1</v>
      </c>
    </row>
    <row r="590" spans="1:29" x14ac:dyDescent="0.25">
      <c r="A590" s="1" t="s">
        <v>216</v>
      </c>
      <c r="B590">
        <v>10</v>
      </c>
      <c r="C590" t="s">
        <v>122</v>
      </c>
      <c r="D590" s="2">
        <v>53604.800000000003</v>
      </c>
      <c r="M590">
        <v>6</v>
      </c>
      <c r="Y590" s="1">
        <f t="shared" si="45"/>
        <v>1865.5029999999999</v>
      </c>
      <c r="Z590" s="2">
        <f t="shared" si="46"/>
        <v>53604.800000000003</v>
      </c>
      <c r="AA590" s="2">
        <f t="shared" si="47"/>
        <v>53604.845449189845</v>
      </c>
      <c r="AB590" s="1">
        <f t="shared" si="48"/>
        <v>6.4367397278157643E-2</v>
      </c>
      <c r="AC590" s="1" t="b">
        <f t="shared" si="49"/>
        <v>1</v>
      </c>
    </row>
    <row r="591" spans="1:29" x14ac:dyDescent="0.25">
      <c r="A591" s="1" t="s">
        <v>217</v>
      </c>
      <c r="B591">
        <v>20</v>
      </c>
      <c r="D591" s="2">
        <v>53612.6</v>
      </c>
      <c r="E591">
        <v>15525</v>
      </c>
      <c r="F591" t="s">
        <v>15</v>
      </c>
      <c r="G591" t="s">
        <v>23</v>
      </c>
      <c r="H591">
        <v>69138</v>
      </c>
      <c r="I591" t="s">
        <v>17</v>
      </c>
      <c r="J591" t="s">
        <v>16</v>
      </c>
      <c r="K591">
        <v>15525.5</v>
      </c>
      <c r="L591">
        <v>69138.28</v>
      </c>
      <c r="M591">
        <v>6</v>
      </c>
      <c r="Y591" s="1">
        <f t="shared" si="45"/>
        <v>1865.232</v>
      </c>
      <c r="Z591" s="2">
        <f t="shared" si="46"/>
        <v>53612.6</v>
      </c>
      <c r="AA591" s="2">
        <f t="shared" si="47"/>
        <v>53612.63370990847</v>
      </c>
      <c r="AB591" s="1">
        <f t="shared" si="48"/>
        <v>6.4371572466564081E-2</v>
      </c>
      <c r="AC591" s="1" t="b">
        <f t="shared" si="49"/>
        <v>1</v>
      </c>
    </row>
    <row r="592" spans="1:29" x14ac:dyDescent="0.25">
      <c r="A592" s="1" t="s">
        <v>218</v>
      </c>
      <c r="B592">
        <v>40</v>
      </c>
      <c r="D592" s="2">
        <v>53615.3</v>
      </c>
      <c r="E592">
        <v>20848</v>
      </c>
      <c r="F592" t="s">
        <v>15</v>
      </c>
      <c r="G592" t="s">
        <v>28</v>
      </c>
      <c r="H592">
        <v>74463</v>
      </c>
      <c r="I592" t="s">
        <v>17</v>
      </c>
      <c r="J592" t="s">
        <v>29</v>
      </c>
      <c r="K592">
        <v>20848.39</v>
      </c>
      <c r="L592">
        <v>74463.7</v>
      </c>
      <c r="M592">
        <v>6</v>
      </c>
      <c r="Y592" s="1">
        <f t="shared" si="45"/>
        <v>1865.1389999999999</v>
      </c>
      <c r="Z592" s="2">
        <f t="shared" si="46"/>
        <v>53615.3</v>
      </c>
      <c r="AA592" s="2">
        <f t="shared" si="47"/>
        <v>53615.30695567462</v>
      </c>
      <c r="AB592" s="1">
        <f t="shared" si="48"/>
        <v>6.4373005699756056E-2</v>
      </c>
      <c r="AC592" s="1" t="b">
        <f t="shared" si="49"/>
        <v>1</v>
      </c>
    </row>
    <row r="593" spans="1:29" x14ac:dyDescent="0.25">
      <c r="A593" s="1" t="s">
        <v>219</v>
      </c>
      <c r="B593">
        <v>2</v>
      </c>
      <c r="D593" s="2">
        <v>53617.599999999999</v>
      </c>
      <c r="M593">
        <v>6</v>
      </c>
      <c r="Y593" s="1">
        <f t="shared" si="45"/>
        <v>1865.0609999999999</v>
      </c>
      <c r="Z593" s="2">
        <f t="shared" si="46"/>
        <v>53617.599999999999</v>
      </c>
      <c r="AA593" s="2">
        <f t="shared" si="47"/>
        <v>53617.549238335909</v>
      </c>
      <c r="AB593" s="1">
        <f t="shared" si="48"/>
        <v>6.4374207931626876E-2</v>
      </c>
      <c r="AC593" s="1" t="b">
        <f t="shared" si="49"/>
        <v>1</v>
      </c>
    </row>
    <row r="594" spans="1:29" x14ac:dyDescent="0.25">
      <c r="A594" s="1" t="s">
        <v>220</v>
      </c>
      <c r="B594">
        <v>50</v>
      </c>
      <c r="C594" t="s">
        <v>124</v>
      </c>
      <c r="D594" s="2">
        <v>53644</v>
      </c>
      <c r="M594">
        <v>6</v>
      </c>
      <c r="Y594" s="1">
        <f t="shared" si="45"/>
        <v>1864.1410000000001</v>
      </c>
      <c r="Z594" s="2">
        <f t="shared" si="46"/>
        <v>53644</v>
      </c>
      <c r="AA594" s="2">
        <f t="shared" si="47"/>
        <v>53644.010833944427</v>
      </c>
      <c r="AB594" s="1">
        <f t="shared" si="48"/>
        <v>6.4388399491761741E-2</v>
      </c>
      <c r="AC594" s="1" t="b">
        <f t="shared" si="49"/>
        <v>1</v>
      </c>
    </row>
    <row r="595" spans="1:29" x14ac:dyDescent="0.25">
      <c r="A595" s="1" t="s">
        <v>221</v>
      </c>
      <c r="B595">
        <v>20</v>
      </c>
      <c r="D595" s="2">
        <v>53657.599999999999</v>
      </c>
      <c r="E595">
        <v>35291</v>
      </c>
      <c r="F595" t="s">
        <v>15</v>
      </c>
      <c r="G595" t="s">
        <v>16</v>
      </c>
      <c r="H595">
        <v>88948</v>
      </c>
      <c r="I595" t="s">
        <v>17</v>
      </c>
      <c r="J595" t="s">
        <v>16</v>
      </c>
      <c r="K595">
        <v>35291</v>
      </c>
      <c r="L595">
        <v>88948.6</v>
      </c>
      <c r="M595">
        <v>6</v>
      </c>
      <c r="Y595" s="1">
        <f t="shared" si="45"/>
        <v>1863.67</v>
      </c>
      <c r="Z595" s="2">
        <f t="shared" si="46"/>
        <v>53657.599999999999</v>
      </c>
      <c r="AA595" s="2">
        <f t="shared" si="47"/>
        <v>53657.568131697131</v>
      </c>
      <c r="AB595" s="1">
        <f t="shared" si="48"/>
        <v>6.4395673089038596E-2</v>
      </c>
      <c r="AC595" s="1" t="b">
        <f t="shared" si="49"/>
        <v>1</v>
      </c>
    </row>
    <row r="596" spans="1:29" x14ac:dyDescent="0.25">
      <c r="A596" s="1" t="s">
        <v>222</v>
      </c>
      <c r="B596">
        <v>20</v>
      </c>
      <c r="D596" s="2">
        <v>53665.5</v>
      </c>
      <c r="E596">
        <v>14859</v>
      </c>
      <c r="F596" t="s">
        <v>15</v>
      </c>
      <c r="G596" t="s">
        <v>23</v>
      </c>
      <c r="H596">
        <v>68525</v>
      </c>
      <c r="I596" t="s">
        <v>17</v>
      </c>
      <c r="J596" t="s">
        <v>23</v>
      </c>
      <c r="K596">
        <v>14859.96</v>
      </c>
      <c r="L596">
        <v>68525.62</v>
      </c>
      <c r="M596">
        <v>6</v>
      </c>
      <c r="Y596" s="1">
        <f t="shared" si="45"/>
        <v>1863.393</v>
      </c>
      <c r="Z596" s="2">
        <f t="shared" si="46"/>
        <v>53665.5</v>
      </c>
      <c r="AA596" s="2">
        <f t="shared" si="47"/>
        <v>53665.544520130752</v>
      </c>
      <c r="AB596" s="1">
        <f t="shared" si="48"/>
        <v>6.4399953343210678E-2</v>
      </c>
      <c r="AC596" s="1" t="b">
        <f t="shared" si="49"/>
        <v>1</v>
      </c>
    </row>
    <row r="597" spans="1:29" x14ac:dyDescent="0.25">
      <c r="A597" s="1" t="s">
        <v>223</v>
      </c>
      <c r="B597">
        <v>5</v>
      </c>
      <c r="D597" s="2">
        <v>53666.9</v>
      </c>
      <c r="M597">
        <v>6</v>
      </c>
      <c r="Y597" s="1">
        <f t="shared" si="45"/>
        <v>1863.347</v>
      </c>
      <c r="Z597" s="2">
        <f t="shared" si="46"/>
        <v>53666.9</v>
      </c>
      <c r="AA597" s="2">
        <f t="shared" si="47"/>
        <v>53666.869348543238</v>
      </c>
      <c r="AB597" s="1">
        <f t="shared" si="48"/>
        <v>6.4400664328368051E-2</v>
      </c>
      <c r="AC597" s="1" t="b">
        <f t="shared" si="49"/>
        <v>1</v>
      </c>
    </row>
    <row r="598" spans="1:29" x14ac:dyDescent="0.25">
      <c r="A598" s="1" t="s">
        <v>224</v>
      </c>
      <c r="B598">
        <v>10</v>
      </c>
      <c r="D598" s="2">
        <v>53668.5</v>
      </c>
      <c r="M598">
        <v>6</v>
      </c>
      <c r="Y598" s="1">
        <f t="shared" si="45"/>
        <v>1863.289</v>
      </c>
      <c r="Z598" s="2">
        <f t="shared" si="46"/>
        <v>53668.5</v>
      </c>
      <c r="AA598" s="2">
        <f t="shared" si="47"/>
        <v>53668.539877603529</v>
      </c>
      <c r="AB598" s="1">
        <f t="shared" si="48"/>
        <v>6.4401560862969609E-2</v>
      </c>
      <c r="AC598" s="1" t="b">
        <f t="shared" si="49"/>
        <v>1</v>
      </c>
    </row>
    <row r="599" spans="1:29" x14ac:dyDescent="0.25">
      <c r="A599" s="1" t="s">
        <v>225</v>
      </c>
      <c r="B599">
        <v>100</v>
      </c>
      <c r="D599" s="2">
        <v>53675.6</v>
      </c>
      <c r="E599">
        <v>24788</v>
      </c>
      <c r="F599" t="s">
        <v>15</v>
      </c>
      <c r="G599" t="s">
        <v>16</v>
      </c>
      <c r="H599">
        <v>78463</v>
      </c>
      <c r="I599" t="s">
        <v>17</v>
      </c>
      <c r="J599" t="s">
        <v>18</v>
      </c>
      <c r="K599">
        <v>24788.02</v>
      </c>
      <c r="L599">
        <v>78463.600000000006</v>
      </c>
      <c r="M599">
        <v>6</v>
      </c>
      <c r="Y599" s="1">
        <f t="shared" si="45"/>
        <v>1863.0440000000001</v>
      </c>
      <c r="Z599" s="2">
        <f t="shared" si="46"/>
        <v>53675.6</v>
      </c>
      <c r="AA599" s="2">
        <f t="shared" si="47"/>
        <v>53675.597570427752</v>
      </c>
      <c r="AB599" s="1">
        <f t="shared" si="48"/>
        <v>6.4405348872712542E-2</v>
      </c>
      <c r="AC599" s="1" t="b">
        <f t="shared" si="49"/>
        <v>1</v>
      </c>
    </row>
    <row r="600" spans="1:29" x14ac:dyDescent="0.25">
      <c r="A600" s="1" t="s">
        <v>226</v>
      </c>
      <c r="B600">
        <v>4</v>
      </c>
      <c r="C600" t="s">
        <v>123</v>
      </c>
      <c r="D600" s="2">
        <v>53704.9</v>
      </c>
      <c r="M600">
        <v>6</v>
      </c>
      <c r="Y600" s="1">
        <f t="shared" si="45"/>
        <v>1862.028</v>
      </c>
      <c r="Z600" s="2">
        <f t="shared" si="46"/>
        <v>53704.9</v>
      </c>
      <c r="AA600" s="2">
        <f t="shared" si="47"/>
        <v>53704.885211178349</v>
      </c>
      <c r="AB600" s="1">
        <f t="shared" si="48"/>
        <v>6.4421073477729213E-2</v>
      </c>
      <c r="AC600" s="1" t="b">
        <f t="shared" si="49"/>
        <v>1</v>
      </c>
    </row>
    <row r="601" spans="1:29" x14ac:dyDescent="0.25">
      <c r="A601" s="1">
        <v>1861.4670000000001</v>
      </c>
      <c r="B601">
        <v>60</v>
      </c>
      <c r="D601" s="2">
        <v>53721.1</v>
      </c>
      <c r="E601">
        <v>19308</v>
      </c>
      <c r="F601" t="s">
        <v>15</v>
      </c>
      <c r="G601" t="s">
        <v>23</v>
      </c>
      <c r="H601">
        <v>73029</v>
      </c>
      <c r="I601" t="s">
        <v>17</v>
      </c>
      <c r="J601" t="s">
        <v>16</v>
      </c>
      <c r="K601">
        <v>19308.93</v>
      </c>
      <c r="L601">
        <v>73029.899999999994</v>
      </c>
      <c r="M601">
        <v>7</v>
      </c>
      <c r="Y601" s="1">
        <f t="shared" si="45"/>
        <v>1861.4670000000001</v>
      </c>
      <c r="Z601" s="2">
        <f t="shared" si="46"/>
        <v>53721.1</v>
      </c>
      <c r="AA601" s="2">
        <f t="shared" si="47"/>
        <v>53721.070532005127</v>
      </c>
      <c r="AB601" s="1">
        <f t="shared" si="48"/>
        <v>6.4429767095523352E-2</v>
      </c>
      <c r="AC601" s="1" t="b">
        <f t="shared" si="49"/>
        <v>1</v>
      </c>
    </row>
    <row r="602" spans="1:29" x14ac:dyDescent="0.25">
      <c r="A602" s="1">
        <v>1861.04</v>
      </c>
      <c r="B602">
        <v>10</v>
      </c>
      <c r="D602" s="2">
        <v>53733.4</v>
      </c>
      <c r="M602">
        <v>7</v>
      </c>
      <c r="Y602" s="1">
        <f t="shared" si="45"/>
        <v>1861.04</v>
      </c>
      <c r="Z602" s="2">
        <f t="shared" si="46"/>
        <v>53733.4</v>
      </c>
      <c r="AA602" s="2">
        <f t="shared" si="47"/>
        <v>53733.396380518418</v>
      </c>
      <c r="AB602" s="1">
        <f t="shared" si="48"/>
        <v>6.443638943292955E-2</v>
      </c>
      <c r="AC602" s="1" t="b">
        <f t="shared" si="49"/>
        <v>1</v>
      </c>
    </row>
    <row r="603" spans="1:29" x14ac:dyDescent="0.25">
      <c r="A603" s="1">
        <v>1860.876</v>
      </c>
      <c r="B603">
        <v>30</v>
      </c>
      <c r="D603" s="2">
        <v>53738.1</v>
      </c>
      <c r="M603">
        <v>7</v>
      </c>
      <c r="Y603" s="1">
        <f t="shared" si="45"/>
        <v>1860.876</v>
      </c>
      <c r="Z603" s="2">
        <f t="shared" si="46"/>
        <v>53738.1</v>
      </c>
      <c r="AA603" s="2">
        <f t="shared" si="47"/>
        <v>53738.131933562472</v>
      </c>
      <c r="AB603" s="1">
        <f t="shared" si="48"/>
        <v>6.4438934118544844E-2</v>
      </c>
      <c r="AC603" s="1" t="b">
        <f t="shared" si="49"/>
        <v>1</v>
      </c>
    </row>
    <row r="604" spans="1:29" x14ac:dyDescent="0.25">
      <c r="A604" s="1">
        <v>1860.2570000000001</v>
      </c>
      <c r="B604">
        <v>10</v>
      </c>
      <c r="D604" s="2">
        <v>53756</v>
      </c>
      <c r="E604">
        <v>15045</v>
      </c>
      <c r="F604" t="s">
        <v>15</v>
      </c>
      <c r="G604" t="s">
        <v>28</v>
      </c>
      <c r="H604">
        <v>68801</v>
      </c>
      <c r="I604" t="s">
        <v>17</v>
      </c>
      <c r="J604" t="s">
        <v>18</v>
      </c>
      <c r="K604">
        <v>15045.8</v>
      </c>
      <c r="L604">
        <v>68801.67</v>
      </c>
      <c r="M604">
        <v>7</v>
      </c>
      <c r="Y604" s="1">
        <f t="shared" si="45"/>
        <v>1860.2570000000001</v>
      </c>
      <c r="Z604" s="2">
        <f t="shared" si="46"/>
        <v>53756</v>
      </c>
      <c r="AA604" s="2">
        <f t="shared" si="47"/>
        <v>53756.013282035761</v>
      </c>
      <c r="AB604" s="1">
        <f t="shared" si="48"/>
        <v>6.4448544819892026E-2</v>
      </c>
      <c r="AC604" s="1" t="b">
        <f t="shared" si="49"/>
        <v>1</v>
      </c>
    </row>
    <row r="605" spans="1:29" x14ac:dyDescent="0.25">
      <c r="A605" s="1">
        <v>1860.1669999999999</v>
      </c>
      <c r="B605">
        <v>100</v>
      </c>
      <c r="C605" t="s">
        <v>27</v>
      </c>
      <c r="D605" s="2">
        <v>53758.6</v>
      </c>
      <c r="E605">
        <v>17627</v>
      </c>
      <c r="F605" t="s">
        <v>15</v>
      </c>
      <c r="G605" t="s">
        <v>16</v>
      </c>
      <c r="H605">
        <v>71385</v>
      </c>
      <c r="I605" t="s">
        <v>17</v>
      </c>
      <c r="J605" t="s">
        <v>18</v>
      </c>
      <c r="K605">
        <v>17627</v>
      </c>
      <c r="L605">
        <v>71385.600000000006</v>
      </c>
      <c r="M605">
        <v>7</v>
      </c>
      <c r="Y605" s="1">
        <f t="shared" si="45"/>
        <v>1860.1669999999999</v>
      </c>
      <c r="Z605" s="2">
        <f t="shared" si="46"/>
        <v>53758.6</v>
      </c>
      <c r="AA605" s="2">
        <f t="shared" si="47"/>
        <v>53758.614145934211</v>
      </c>
      <c r="AB605" s="1">
        <f t="shared" si="48"/>
        <v>6.4449942974457192E-2</v>
      </c>
      <c r="AC605" s="1" t="b">
        <f t="shared" si="49"/>
        <v>1</v>
      </c>
    </row>
    <row r="606" spans="1:29" x14ac:dyDescent="0.25">
      <c r="A606" s="1">
        <v>1860.1669999999999</v>
      </c>
      <c r="B606">
        <v>100</v>
      </c>
      <c r="C606" t="s">
        <v>27</v>
      </c>
      <c r="D606" s="2">
        <v>53758.6</v>
      </c>
      <c r="E606">
        <v>21535</v>
      </c>
      <c r="F606" t="s">
        <v>15</v>
      </c>
      <c r="G606" t="s">
        <v>16</v>
      </c>
      <c r="H606">
        <v>75294</v>
      </c>
      <c r="I606" t="s">
        <v>17</v>
      </c>
      <c r="J606" t="s">
        <v>18</v>
      </c>
      <c r="K606">
        <v>21535.17</v>
      </c>
      <c r="L606">
        <v>75294</v>
      </c>
      <c r="M606">
        <v>7</v>
      </c>
      <c r="Y606" s="1">
        <f t="shared" si="45"/>
        <v>1860.1669999999999</v>
      </c>
      <c r="Z606" s="2">
        <f t="shared" si="46"/>
        <v>53758.6</v>
      </c>
      <c r="AA606" s="2">
        <f t="shared" si="47"/>
        <v>53758.614145934211</v>
      </c>
      <c r="AB606" s="1">
        <f t="shared" si="48"/>
        <v>6.4449942974457192E-2</v>
      </c>
      <c r="AC606" s="1" t="b">
        <f t="shared" si="49"/>
        <v>1</v>
      </c>
    </row>
    <row r="607" spans="1:29" x14ac:dyDescent="0.25">
      <c r="A607" s="1">
        <v>1859.6790000000001</v>
      </c>
      <c r="B607">
        <v>40</v>
      </c>
      <c r="C607" t="s">
        <v>123</v>
      </c>
      <c r="D607" s="2">
        <v>53772.7</v>
      </c>
      <c r="E607">
        <v>14558</v>
      </c>
      <c r="F607" t="s">
        <v>15</v>
      </c>
      <c r="G607" t="s">
        <v>16</v>
      </c>
      <c r="H607">
        <v>68331</v>
      </c>
      <c r="I607" t="s">
        <v>17</v>
      </c>
      <c r="J607" t="s">
        <v>18</v>
      </c>
      <c r="K607">
        <v>14558.82</v>
      </c>
      <c r="L607">
        <v>68331.73</v>
      </c>
      <c r="M607">
        <v>7</v>
      </c>
      <c r="Y607" s="1">
        <f t="shared" si="45"/>
        <v>1859.6790000000001</v>
      </c>
      <c r="Z607" s="2">
        <f t="shared" si="46"/>
        <v>53772.7</v>
      </c>
      <c r="AA607" s="2">
        <f t="shared" si="47"/>
        <v>53772.720991095775</v>
      </c>
      <c r="AB607" s="1">
        <f t="shared" si="48"/>
        <v>6.445752761393117E-2</v>
      </c>
      <c r="AC607" s="1" t="b">
        <f t="shared" si="49"/>
        <v>1</v>
      </c>
    </row>
    <row r="608" spans="1:29" x14ac:dyDescent="0.25">
      <c r="A608" s="1">
        <v>1859.328</v>
      </c>
      <c r="B608">
        <v>5</v>
      </c>
      <c r="D608" s="2">
        <v>53782.9</v>
      </c>
      <c r="E608">
        <v>18211</v>
      </c>
      <c r="F608" t="s">
        <v>15</v>
      </c>
      <c r="G608" t="s">
        <v>28</v>
      </c>
      <c r="H608">
        <v>71994</v>
      </c>
      <c r="I608" t="s">
        <v>17</v>
      </c>
      <c r="J608" t="s">
        <v>28</v>
      </c>
      <c r="K608">
        <v>18211.759999999998</v>
      </c>
      <c r="L608">
        <v>71994.81</v>
      </c>
      <c r="M608">
        <v>7</v>
      </c>
      <c r="Y608" s="1">
        <f t="shared" si="45"/>
        <v>1859.328</v>
      </c>
      <c r="Z608" s="2">
        <f t="shared" si="46"/>
        <v>53782.9</v>
      </c>
      <c r="AA608" s="2">
        <f t="shared" si="47"/>
        <v>53782.872091422279</v>
      </c>
      <c r="AB608" s="1">
        <f t="shared" si="48"/>
        <v>6.4462986652011445E-2</v>
      </c>
      <c r="AC608" s="1" t="b">
        <f t="shared" si="49"/>
        <v>1</v>
      </c>
    </row>
    <row r="609" spans="1:29" x14ac:dyDescent="0.25">
      <c r="A609" s="1">
        <v>1859.27</v>
      </c>
      <c r="B609">
        <v>5</v>
      </c>
      <c r="D609" s="2">
        <v>53784.6</v>
      </c>
      <c r="M609">
        <v>7</v>
      </c>
      <c r="Y609" s="1">
        <f t="shared" si="45"/>
        <v>1859.27</v>
      </c>
      <c r="Z609" s="2">
        <f t="shared" si="46"/>
        <v>53784.6</v>
      </c>
      <c r="AA609" s="2">
        <f t="shared" si="47"/>
        <v>53784.549850210031</v>
      </c>
      <c r="AB609" s="1">
        <f t="shared" si="48"/>
        <v>6.4463889012948639E-2</v>
      </c>
      <c r="AC609" s="1" t="b">
        <f t="shared" si="49"/>
        <v>1</v>
      </c>
    </row>
    <row r="610" spans="1:29" x14ac:dyDescent="0.25">
      <c r="A610" s="1">
        <v>1858.1980000000001</v>
      </c>
      <c r="B610">
        <v>10</v>
      </c>
      <c r="D610" s="2">
        <v>53815.6</v>
      </c>
      <c r="E610">
        <v>14558</v>
      </c>
      <c r="F610" t="s">
        <v>15</v>
      </c>
      <c r="G610" t="s">
        <v>16</v>
      </c>
      <c r="H610">
        <v>68374</v>
      </c>
      <c r="I610" t="s">
        <v>17</v>
      </c>
      <c r="J610" t="s">
        <v>16</v>
      </c>
      <c r="K610">
        <v>14558.82</v>
      </c>
      <c r="L610">
        <v>68374.539999999994</v>
      </c>
      <c r="M610">
        <v>7</v>
      </c>
      <c r="Y610" s="1">
        <f t="shared" si="45"/>
        <v>1858.1980000000001</v>
      </c>
      <c r="Z610" s="2">
        <f t="shared" si="46"/>
        <v>53815.6</v>
      </c>
      <c r="AA610" s="2">
        <f t="shared" si="47"/>
        <v>53815.578318349282</v>
      </c>
      <c r="AB610" s="1">
        <f t="shared" si="48"/>
        <v>6.4480582348691931E-2</v>
      </c>
      <c r="AC610" s="1" t="b">
        <f t="shared" si="49"/>
        <v>1</v>
      </c>
    </row>
    <row r="611" spans="1:29" x14ac:dyDescent="0.25">
      <c r="A611" s="1">
        <v>1857.7909999999999</v>
      </c>
      <c r="B611">
        <v>5</v>
      </c>
      <c r="C611" t="s">
        <v>125</v>
      </c>
      <c r="D611" s="2">
        <v>53827.4</v>
      </c>
      <c r="M611">
        <v>7</v>
      </c>
      <c r="Y611" s="1">
        <f t="shared" si="45"/>
        <v>1857.7909999999999</v>
      </c>
      <c r="Z611" s="2">
        <f t="shared" si="46"/>
        <v>53827.4</v>
      </c>
      <c r="AA611" s="2">
        <f t="shared" si="47"/>
        <v>53827.368094688798</v>
      </c>
      <c r="AB611" s="1">
        <f t="shared" si="48"/>
        <v>6.4486927780005615E-2</v>
      </c>
      <c r="AC611" s="1" t="b">
        <f t="shared" si="49"/>
        <v>1</v>
      </c>
    </row>
    <row r="612" spans="1:29" x14ac:dyDescent="0.25">
      <c r="A612" s="1">
        <v>1857.615</v>
      </c>
      <c r="B612">
        <v>5</v>
      </c>
      <c r="D612" s="2">
        <v>53832.5</v>
      </c>
      <c r="M612">
        <v>7</v>
      </c>
      <c r="Y612" s="1">
        <f t="shared" si="45"/>
        <v>1857.615</v>
      </c>
      <c r="Z612" s="2">
        <f t="shared" si="46"/>
        <v>53832.5</v>
      </c>
      <c r="AA612" s="2">
        <f t="shared" si="47"/>
        <v>53832.467976410611</v>
      </c>
      <c r="AB612" s="1">
        <f t="shared" si="48"/>
        <v>6.4489673042156373E-2</v>
      </c>
      <c r="AC612" s="1" t="b">
        <f t="shared" si="49"/>
        <v>1</v>
      </c>
    </row>
    <row r="613" spans="1:29" x14ac:dyDescent="0.25">
      <c r="A613" s="1">
        <v>1857.212</v>
      </c>
      <c r="B613">
        <v>10</v>
      </c>
      <c r="D613" s="2">
        <v>53844.1</v>
      </c>
      <c r="M613">
        <v>7</v>
      </c>
      <c r="Y613" s="1">
        <f t="shared" si="45"/>
        <v>1857.212</v>
      </c>
      <c r="Z613" s="2">
        <f t="shared" si="46"/>
        <v>53844.1</v>
      </c>
      <c r="AA613" s="2">
        <f t="shared" si="47"/>
        <v>53844.149187061033</v>
      </c>
      <c r="AB613" s="1">
        <f t="shared" si="48"/>
        <v>6.449596200839243E-2</v>
      </c>
      <c r="AC613" s="1" t="b">
        <f t="shared" si="49"/>
        <v>1</v>
      </c>
    </row>
    <row r="614" spans="1:29" x14ac:dyDescent="0.25">
      <c r="A614" s="1">
        <v>1857.0440000000001</v>
      </c>
      <c r="B614">
        <v>1</v>
      </c>
      <c r="C614" t="s">
        <v>123</v>
      </c>
      <c r="D614" s="2">
        <v>53849</v>
      </c>
      <c r="M614">
        <v>7</v>
      </c>
      <c r="Y614" s="1">
        <f t="shared" si="45"/>
        <v>1857.0440000000001</v>
      </c>
      <c r="Z614" s="2">
        <f t="shared" si="46"/>
        <v>53849</v>
      </c>
      <c r="AA614" s="2">
        <f t="shared" si="47"/>
        <v>53849.02027092519</v>
      </c>
      <c r="AB614" s="1">
        <f t="shared" si="48"/>
        <v>6.4498584920692562E-2</v>
      </c>
      <c r="AC614" s="1" t="b">
        <f t="shared" si="49"/>
        <v>1</v>
      </c>
    </row>
    <row r="615" spans="1:29" x14ac:dyDescent="0.25">
      <c r="A615" s="1">
        <v>1856.931</v>
      </c>
      <c r="B615">
        <v>1</v>
      </c>
      <c r="D615" s="2">
        <v>53852.3</v>
      </c>
      <c r="M615">
        <v>7</v>
      </c>
      <c r="Y615" s="1">
        <f t="shared" si="45"/>
        <v>1856.931</v>
      </c>
      <c r="Z615" s="2">
        <f t="shared" si="46"/>
        <v>53852.3</v>
      </c>
      <c r="AA615" s="2">
        <f t="shared" si="47"/>
        <v>53852.297150513397</v>
      </c>
      <c r="AB615" s="1">
        <f t="shared" si="48"/>
        <v>6.4500349541935967E-2</v>
      </c>
      <c r="AC615" s="1" t="b">
        <f t="shared" si="49"/>
        <v>1</v>
      </c>
    </row>
    <row r="616" spans="1:29" x14ac:dyDescent="0.25">
      <c r="A616" s="1">
        <v>1856.144</v>
      </c>
      <c r="B616">
        <v>10</v>
      </c>
      <c r="D616" s="2">
        <v>53875.1</v>
      </c>
      <c r="E616">
        <v>21418</v>
      </c>
      <c r="F616" t="s">
        <v>15</v>
      </c>
      <c r="G616" t="s">
        <v>28</v>
      </c>
      <c r="H616">
        <v>75294</v>
      </c>
      <c r="I616" t="s">
        <v>17</v>
      </c>
      <c r="J616" t="s">
        <v>18</v>
      </c>
      <c r="K616">
        <v>21418.84</v>
      </c>
      <c r="L616">
        <v>75294</v>
      </c>
      <c r="M616">
        <v>7</v>
      </c>
      <c r="Y616" s="1">
        <f t="shared" si="45"/>
        <v>1856.144</v>
      </c>
      <c r="Z616" s="2">
        <f t="shared" si="46"/>
        <v>53875.1</v>
      </c>
      <c r="AA616" s="2">
        <f t="shared" si="47"/>
        <v>53875.130377815512</v>
      </c>
      <c r="AB616" s="1">
        <f t="shared" si="48"/>
        <v>6.4512648366133102E-2</v>
      </c>
      <c r="AC616" s="1" t="b">
        <f t="shared" si="49"/>
        <v>1</v>
      </c>
    </row>
    <row r="617" spans="1:29" x14ac:dyDescent="0.25">
      <c r="A617" s="1">
        <v>1856.0530000000001</v>
      </c>
      <c r="B617">
        <v>10</v>
      </c>
      <c r="D617" s="2">
        <v>53877.8</v>
      </c>
      <c r="M617">
        <v>7</v>
      </c>
      <c r="Y617" s="1">
        <f t="shared" si="45"/>
        <v>1856.0530000000001</v>
      </c>
      <c r="Z617" s="2">
        <f t="shared" si="46"/>
        <v>53877.8</v>
      </c>
      <c r="AA617" s="2">
        <f t="shared" si="47"/>
        <v>53877.771809317943</v>
      </c>
      <c r="AB617" s="1">
        <f t="shared" si="48"/>
        <v>6.4514071475684678E-2</v>
      </c>
      <c r="AC617" s="1" t="b">
        <f t="shared" si="49"/>
        <v>1</v>
      </c>
    </row>
    <row r="618" spans="1:29" x14ac:dyDescent="0.25">
      <c r="A618" s="1">
        <v>1855.8779999999999</v>
      </c>
      <c r="B618">
        <v>10</v>
      </c>
      <c r="C618" t="s">
        <v>122</v>
      </c>
      <c r="D618" s="2">
        <v>53882.8</v>
      </c>
      <c r="E618">
        <v>15525</v>
      </c>
      <c r="F618" t="s">
        <v>15</v>
      </c>
      <c r="G618" t="s">
        <v>23</v>
      </c>
      <c r="H618">
        <v>69408</v>
      </c>
      <c r="I618" t="s">
        <v>17</v>
      </c>
      <c r="J618" t="s">
        <v>23</v>
      </c>
      <c r="K618">
        <v>15525.5</v>
      </c>
      <c r="L618">
        <v>69408.509999999995</v>
      </c>
      <c r="M618">
        <v>7</v>
      </c>
      <c r="Y618" s="1">
        <f t="shared" si="45"/>
        <v>1855.8779999999999</v>
      </c>
      <c r="Z618" s="2">
        <f t="shared" si="46"/>
        <v>53882.8</v>
      </c>
      <c r="AA618" s="2">
        <f t="shared" si="47"/>
        <v>53882.852213345919</v>
      </c>
      <c r="AB618" s="1">
        <f t="shared" si="48"/>
        <v>6.4516808813226384E-2</v>
      </c>
      <c r="AC618" s="1" t="b">
        <f t="shared" si="49"/>
        <v>1</v>
      </c>
    </row>
    <row r="619" spans="1:29" x14ac:dyDescent="0.25">
      <c r="A619" s="1">
        <v>1855.6010000000001</v>
      </c>
      <c r="B619">
        <v>2</v>
      </c>
      <c r="D619" s="2">
        <v>53890.9</v>
      </c>
      <c r="M619">
        <v>7</v>
      </c>
      <c r="Y619" s="1">
        <f t="shared" si="45"/>
        <v>1855.6010000000001</v>
      </c>
      <c r="Z619" s="2">
        <f t="shared" si="46"/>
        <v>53890.9</v>
      </c>
      <c r="AA619" s="2">
        <f t="shared" si="47"/>
        <v>53890.895725966948</v>
      </c>
      <c r="AB619" s="1">
        <f t="shared" si="48"/>
        <v>6.452114321073521E-2</v>
      </c>
      <c r="AC619" s="1" t="b">
        <f t="shared" si="49"/>
        <v>1</v>
      </c>
    </row>
    <row r="620" spans="1:29" x14ac:dyDescent="0.25">
      <c r="A620" s="1">
        <v>1855.511</v>
      </c>
      <c r="B620">
        <v>10</v>
      </c>
      <c r="C620" t="s">
        <v>123</v>
      </c>
      <c r="D620" s="2">
        <v>53893.5</v>
      </c>
      <c r="M620">
        <v>7</v>
      </c>
      <c r="Y620" s="1">
        <f t="shared" si="45"/>
        <v>1855.511</v>
      </c>
      <c r="Z620" s="2">
        <f t="shared" si="46"/>
        <v>53893.5</v>
      </c>
      <c r="AA620" s="2">
        <f t="shared" si="47"/>
        <v>53893.509658525334</v>
      </c>
      <c r="AB620" s="1">
        <f t="shared" si="48"/>
        <v>6.4522551916567819E-2</v>
      </c>
      <c r="AC620" s="1" t="b">
        <f t="shared" si="49"/>
        <v>1</v>
      </c>
    </row>
    <row r="621" spans="1:29" x14ac:dyDescent="0.25">
      <c r="A621" s="1">
        <v>1855.117</v>
      </c>
      <c r="B621">
        <v>3</v>
      </c>
      <c r="D621" s="2">
        <v>53905</v>
      </c>
      <c r="E621">
        <v>30505</v>
      </c>
      <c r="F621" t="s">
        <v>15</v>
      </c>
      <c r="G621" t="s">
        <v>23</v>
      </c>
      <c r="H621">
        <v>84410</v>
      </c>
      <c r="I621" t="s">
        <v>17</v>
      </c>
      <c r="J621" t="s">
        <v>16</v>
      </c>
      <c r="K621">
        <v>30505.72</v>
      </c>
      <c r="L621">
        <v>84410.63</v>
      </c>
      <c r="M621">
        <v>7</v>
      </c>
      <c r="Y621" s="1">
        <f t="shared" si="45"/>
        <v>1855.117</v>
      </c>
      <c r="Z621" s="2">
        <f t="shared" si="46"/>
        <v>53905</v>
      </c>
      <c r="AA621" s="2">
        <f t="shared" si="47"/>
        <v>53904.955859926893</v>
      </c>
      <c r="AB621" s="1">
        <f t="shared" si="48"/>
        <v>6.4528721331303343E-2</v>
      </c>
      <c r="AC621" s="1" t="b">
        <f t="shared" si="49"/>
        <v>1</v>
      </c>
    </row>
    <row r="622" spans="1:29" x14ac:dyDescent="0.25">
      <c r="A622" s="1">
        <v>1855.0039999999999</v>
      </c>
      <c r="B622">
        <v>30</v>
      </c>
      <c r="D622" s="2">
        <v>53908.2</v>
      </c>
      <c r="E622">
        <v>19700</v>
      </c>
      <c r="F622" t="s">
        <v>15</v>
      </c>
      <c r="G622" t="s">
        <v>23</v>
      </c>
      <c r="H622">
        <v>73609</v>
      </c>
      <c r="I622" t="s">
        <v>17</v>
      </c>
      <c r="J622" t="s">
        <v>23</v>
      </c>
      <c r="K622">
        <v>19700.900000000001</v>
      </c>
      <c r="L622">
        <v>73609.100000000006</v>
      </c>
      <c r="M622">
        <v>7</v>
      </c>
      <c r="Y622" s="1">
        <f t="shared" si="45"/>
        <v>1855.0039999999999</v>
      </c>
      <c r="Z622" s="2">
        <f t="shared" si="46"/>
        <v>53908.2</v>
      </c>
      <c r="AA622" s="2">
        <f t="shared" si="47"/>
        <v>53908.239550965933</v>
      </c>
      <c r="AB622" s="1">
        <f t="shared" si="48"/>
        <v>6.4530491457421638E-2</v>
      </c>
      <c r="AC622" s="1" t="b">
        <f t="shared" si="49"/>
        <v>1</v>
      </c>
    </row>
    <row r="623" spans="1:29" x14ac:dyDescent="0.25">
      <c r="A623" s="1">
        <v>1854.181</v>
      </c>
      <c r="B623">
        <v>5</v>
      </c>
      <c r="C623" t="s">
        <v>122</v>
      </c>
      <c r="D623" s="2">
        <v>53932.2</v>
      </c>
      <c r="M623">
        <v>7</v>
      </c>
      <c r="Y623" s="1">
        <f t="shared" si="45"/>
        <v>1854.181</v>
      </c>
      <c r="Z623" s="2">
        <f t="shared" si="46"/>
        <v>53932.2</v>
      </c>
      <c r="AA623" s="2">
        <f t="shared" si="47"/>
        <v>53932.167355829879</v>
      </c>
      <c r="AB623" s="1">
        <f t="shared" si="48"/>
        <v>6.4543393378486219E-2</v>
      </c>
      <c r="AC623" s="1" t="b">
        <f t="shared" si="49"/>
        <v>1</v>
      </c>
    </row>
    <row r="624" spans="1:29" x14ac:dyDescent="0.25">
      <c r="A624" s="1">
        <v>1853.9580000000001</v>
      </c>
      <c r="B624">
        <v>10</v>
      </c>
      <c r="C624" t="s">
        <v>123</v>
      </c>
      <c r="D624" s="2">
        <v>53938.6</v>
      </c>
      <c r="M624">
        <v>7</v>
      </c>
      <c r="Y624" s="1">
        <f t="shared" si="45"/>
        <v>1853.9580000000001</v>
      </c>
      <c r="Z624" s="2">
        <f t="shared" si="46"/>
        <v>53938.6</v>
      </c>
      <c r="AA624" s="2">
        <f t="shared" si="47"/>
        <v>53938.65448947603</v>
      </c>
      <c r="AB624" s="1">
        <f t="shared" si="48"/>
        <v>6.4546892240675363E-2</v>
      </c>
      <c r="AC624" s="1" t="b">
        <f t="shared" si="49"/>
        <v>1</v>
      </c>
    </row>
    <row r="625" spans="1:29" x14ac:dyDescent="0.25">
      <c r="A625" s="1">
        <v>1853.7539999999999</v>
      </c>
      <c r="B625">
        <v>1</v>
      </c>
      <c r="D625" s="2">
        <v>53944.6</v>
      </c>
      <c r="E625">
        <v>20160</v>
      </c>
      <c r="F625" t="s">
        <v>15</v>
      </c>
      <c r="G625" t="s">
        <v>29</v>
      </c>
      <c r="H625">
        <v>74105</v>
      </c>
      <c r="I625" t="s">
        <v>17</v>
      </c>
      <c r="J625" t="s">
        <v>28</v>
      </c>
      <c r="K625">
        <v>20160.36</v>
      </c>
      <c r="L625">
        <v>74105.2</v>
      </c>
      <c r="M625">
        <v>7</v>
      </c>
      <c r="Y625" s="1">
        <f t="shared" si="45"/>
        <v>1853.7539999999999</v>
      </c>
      <c r="Z625" s="2">
        <f t="shared" si="46"/>
        <v>53944.6</v>
      </c>
      <c r="AA625" s="2">
        <f t="shared" si="47"/>
        <v>53944.590274653492</v>
      </c>
      <c r="AB625" s="1">
        <f t="shared" si="48"/>
        <v>6.4550094099501201E-2</v>
      </c>
      <c r="AC625" s="1" t="b">
        <f t="shared" si="49"/>
        <v>1</v>
      </c>
    </row>
    <row r="626" spans="1:29" x14ac:dyDescent="0.25">
      <c r="A626" s="1">
        <v>1853.326</v>
      </c>
      <c r="B626">
        <v>4</v>
      </c>
      <c r="D626" s="2">
        <v>53957</v>
      </c>
      <c r="E626">
        <v>25409</v>
      </c>
      <c r="F626" t="s">
        <v>15</v>
      </c>
      <c r="G626" t="s">
        <v>18</v>
      </c>
      <c r="H626">
        <v>79366</v>
      </c>
      <c r="I626" t="s">
        <v>17</v>
      </c>
      <c r="J626" t="s">
        <v>28</v>
      </c>
      <c r="K626">
        <v>25409.74</v>
      </c>
      <c r="L626">
        <v>79366.649999999994</v>
      </c>
      <c r="M626">
        <v>7</v>
      </c>
      <c r="Y626" s="1">
        <f t="shared" si="45"/>
        <v>1853.326</v>
      </c>
      <c r="Z626" s="2">
        <f t="shared" si="46"/>
        <v>53957</v>
      </c>
      <c r="AA626" s="2">
        <f t="shared" si="47"/>
        <v>53957.048031485014</v>
      </c>
      <c r="AB626" s="1">
        <f t="shared" si="48"/>
        <v>6.4556815161359901E-2</v>
      </c>
      <c r="AC626" s="1" t="b">
        <f t="shared" si="49"/>
        <v>1</v>
      </c>
    </row>
    <row r="627" spans="1:29" x14ac:dyDescent="0.25">
      <c r="A627" s="1">
        <v>1853.288</v>
      </c>
      <c r="B627">
        <v>4</v>
      </c>
      <c r="D627" s="2">
        <v>53958.2</v>
      </c>
      <c r="M627">
        <v>7</v>
      </c>
      <c r="Y627" s="1">
        <f t="shared" si="45"/>
        <v>1853.288</v>
      </c>
      <c r="Z627" s="2">
        <f t="shared" si="46"/>
        <v>53958.2</v>
      </c>
      <c r="AA627" s="2">
        <f t="shared" si="47"/>
        <v>53958.154372121331</v>
      </c>
      <c r="AB627" s="1">
        <f t="shared" si="48"/>
        <v>6.4557412116228383E-2</v>
      </c>
      <c r="AC627" s="1" t="b">
        <f t="shared" si="49"/>
        <v>1</v>
      </c>
    </row>
    <row r="628" spans="1:29" x14ac:dyDescent="0.25">
      <c r="A628" s="1">
        <v>1853.078</v>
      </c>
      <c r="B628">
        <v>4</v>
      </c>
      <c r="D628" s="2">
        <v>53964.3</v>
      </c>
      <c r="M628">
        <v>7</v>
      </c>
      <c r="Y628" s="1">
        <f t="shared" si="45"/>
        <v>1853.078</v>
      </c>
      <c r="Z628" s="2">
        <f t="shared" si="46"/>
        <v>53964.3</v>
      </c>
      <c r="AA628" s="2">
        <f t="shared" si="47"/>
        <v>53964.269178091803</v>
      </c>
      <c r="AB628" s="1">
        <f t="shared" si="48"/>
        <v>6.4560711739627741E-2</v>
      </c>
      <c r="AC628" s="1" t="b">
        <f t="shared" si="49"/>
        <v>1</v>
      </c>
    </row>
    <row r="629" spans="1:29" x14ac:dyDescent="0.25">
      <c r="A629" s="1">
        <v>1852.481</v>
      </c>
      <c r="B629">
        <v>2</v>
      </c>
      <c r="D629" s="2">
        <v>53981.7</v>
      </c>
      <c r="M629">
        <v>7</v>
      </c>
      <c r="Y629" s="1">
        <f t="shared" si="45"/>
        <v>1852.481</v>
      </c>
      <c r="Z629" s="2">
        <f t="shared" si="46"/>
        <v>53981.7</v>
      </c>
      <c r="AA629" s="2">
        <f t="shared" si="47"/>
        <v>53981.660270739616</v>
      </c>
      <c r="AB629" s="1">
        <f t="shared" si="48"/>
        <v>6.4570098227927739E-2</v>
      </c>
      <c r="AC629" s="1" t="b">
        <f t="shared" si="49"/>
        <v>1</v>
      </c>
    </row>
    <row r="630" spans="1:29" x14ac:dyDescent="0.25">
      <c r="A630" s="1">
        <v>1852.4090000000001</v>
      </c>
      <c r="B630">
        <v>2</v>
      </c>
      <c r="C630" t="s">
        <v>123</v>
      </c>
      <c r="D630" s="2">
        <v>53983.8</v>
      </c>
      <c r="M630">
        <v>7</v>
      </c>
      <c r="Y630" s="1">
        <f t="shared" si="45"/>
        <v>1852.4090000000001</v>
      </c>
      <c r="Z630" s="2">
        <f t="shared" si="46"/>
        <v>53983.8</v>
      </c>
      <c r="AA630" s="2">
        <f t="shared" si="47"/>
        <v>53983.7584464338</v>
      </c>
      <c r="AB630" s="1">
        <f t="shared" si="48"/>
        <v>6.4571230880014568E-2</v>
      </c>
      <c r="AC630" s="1" t="b">
        <f t="shared" si="49"/>
        <v>1</v>
      </c>
    </row>
    <row r="631" spans="1:29" x14ac:dyDescent="0.25">
      <c r="A631" s="1">
        <v>1851.8910000000001</v>
      </c>
      <c r="B631">
        <v>1</v>
      </c>
      <c r="D631" s="2">
        <v>53998.8</v>
      </c>
      <c r="E631">
        <v>21294</v>
      </c>
      <c r="F631" t="s">
        <v>15</v>
      </c>
      <c r="G631" t="s">
        <v>18</v>
      </c>
      <c r="H631">
        <v>75294</v>
      </c>
      <c r="I631" t="s">
        <v>17</v>
      </c>
      <c r="J631" t="s">
        <v>18</v>
      </c>
      <c r="K631">
        <v>21294.89</v>
      </c>
      <c r="L631">
        <v>75294</v>
      </c>
      <c r="M631">
        <v>7</v>
      </c>
      <c r="Y631" s="1">
        <f t="shared" si="45"/>
        <v>1851.8910000000001</v>
      </c>
      <c r="Z631" s="2">
        <f t="shared" si="46"/>
        <v>53998.8</v>
      </c>
      <c r="AA631" s="2">
        <f t="shared" si="47"/>
        <v>53998.858464132063</v>
      </c>
      <c r="AB631" s="1">
        <f t="shared" si="48"/>
        <v>6.4579383577146834E-2</v>
      </c>
      <c r="AC631" s="1" t="b">
        <f t="shared" si="49"/>
        <v>1</v>
      </c>
    </row>
    <row r="632" spans="1:29" x14ac:dyDescent="0.25">
      <c r="A632" s="1">
        <v>1850.0989999999999</v>
      </c>
      <c r="B632">
        <v>8</v>
      </c>
      <c r="D632" s="2">
        <v>54051.199999999997</v>
      </c>
      <c r="E632">
        <v>31254</v>
      </c>
      <c r="F632" t="s">
        <v>15</v>
      </c>
      <c r="G632" t="s">
        <v>18</v>
      </c>
      <c r="H632">
        <v>85306</v>
      </c>
      <c r="I632" t="s">
        <v>17</v>
      </c>
      <c r="J632" t="s">
        <v>28</v>
      </c>
      <c r="K632">
        <v>31254.71</v>
      </c>
      <c r="L632">
        <v>85306.1</v>
      </c>
      <c r="M632">
        <v>7</v>
      </c>
      <c r="Y632" s="1">
        <f t="shared" si="45"/>
        <v>1850.0989999999999</v>
      </c>
      <c r="Z632" s="2">
        <f t="shared" si="46"/>
        <v>54051.199999999997</v>
      </c>
      <c r="AA632" s="2">
        <f t="shared" si="47"/>
        <v>54051.161586488073</v>
      </c>
      <c r="AB632" s="1">
        <f t="shared" si="48"/>
        <v>6.4607640344243225E-2</v>
      </c>
      <c r="AC632" s="1" t="b">
        <f t="shared" si="49"/>
        <v>1</v>
      </c>
    </row>
    <row r="633" spans="1:29" x14ac:dyDescent="0.25">
      <c r="A633" s="1">
        <v>1849.3810000000001</v>
      </c>
      <c r="B633">
        <v>10</v>
      </c>
      <c r="D633" s="2">
        <v>54072.1</v>
      </c>
      <c r="M633">
        <v>7</v>
      </c>
      <c r="Y633" s="1">
        <f t="shared" si="45"/>
        <v>1849.3810000000001</v>
      </c>
      <c r="Z633" s="2">
        <f t="shared" si="46"/>
        <v>54072.1</v>
      </c>
      <c r="AA633" s="2">
        <f t="shared" si="47"/>
        <v>54072.146301924804</v>
      </c>
      <c r="AB633" s="1">
        <f t="shared" si="48"/>
        <v>6.4618985028483802E-2</v>
      </c>
      <c r="AC633" s="1" t="b">
        <f t="shared" si="49"/>
        <v>1</v>
      </c>
    </row>
    <row r="634" spans="1:29" x14ac:dyDescent="0.25">
      <c r="A634" s="1">
        <v>1849.277</v>
      </c>
      <c r="B634">
        <v>2</v>
      </c>
      <c r="D634" s="2">
        <v>54075.199999999997</v>
      </c>
      <c r="M634">
        <v>7</v>
      </c>
      <c r="Y634" s="1">
        <f t="shared" si="45"/>
        <v>1849.277</v>
      </c>
      <c r="Z634" s="2">
        <f t="shared" si="46"/>
        <v>54075.199999999997</v>
      </c>
      <c r="AA634" s="2">
        <f t="shared" si="47"/>
        <v>54075.187221816959</v>
      </c>
      <c r="AB634" s="1">
        <f t="shared" si="48"/>
        <v>6.4620629365372786E-2</v>
      </c>
      <c r="AC634" s="1" t="b">
        <f t="shared" si="49"/>
        <v>1</v>
      </c>
    </row>
    <row r="635" spans="1:29" x14ac:dyDescent="0.25">
      <c r="A635" s="1">
        <v>1848.3579999999999</v>
      </c>
      <c r="B635">
        <v>4</v>
      </c>
      <c r="D635" s="2">
        <v>54102.1</v>
      </c>
      <c r="M635">
        <v>7</v>
      </c>
      <c r="Y635" s="1">
        <f t="shared" si="45"/>
        <v>1848.3579999999999</v>
      </c>
      <c r="Z635" s="2">
        <f t="shared" si="46"/>
        <v>54102.1</v>
      </c>
      <c r="AA635" s="2">
        <f t="shared" si="47"/>
        <v>54102.073299652991</v>
      </c>
      <c r="AB635" s="1">
        <f t="shared" si="48"/>
        <v>6.4635171676605124E-2</v>
      </c>
      <c r="AC635" s="1" t="b">
        <f t="shared" si="49"/>
        <v>1</v>
      </c>
    </row>
    <row r="636" spans="1:29" x14ac:dyDescent="0.25">
      <c r="A636" s="1">
        <v>1848.1610000000001</v>
      </c>
      <c r="B636">
        <v>2</v>
      </c>
      <c r="D636" s="2">
        <v>54107.8</v>
      </c>
      <c r="M636">
        <v>7</v>
      </c>
      <c r="Y636" s="1">
        <f t="shared" si="45"/>
        <v>1848.1610000000001</v>
      </c>
      <c r="Z636" s="2">
        <f t="shared" si="46"/>
        <v>54107.8</v>
      </c>
      <c r="AA636" s="2">
        <f t="shared" si="47"/>
        <v>54107.840171933072</v>
      </c>
      <c r="AB636" s="1">
        <f t="shared" si="48"/>
        <v>6.463829184035727E-2</v>
      </c>
      <c r="AC636" s="1" t="b">
        <f t="shared" si="49"/>
        <v>1</v>
      </c>
    </row>
    <row r="637" spans="1:29" x14ac:dyDescent="0.25">
      <c r="A637" s="1">
        <v>1847.4839999999999</v>
      </c>
      <c r="B637">
        <v>10</v>
      </c>
      <c r="D637" s="2">
        <v>54127.7</v>
      </c>
      <c r="M637">
        <v>7</v>
      </c>
      <c r="Y637" s="1">
        <f t="shared" si="45"/>
        <v>1847.4839999999999</v>
      </c>
      <c r="Z637" s="2">
        <f t="shared" si="46"/>
        <v>54127.7</v>
      </c>
      <c r="AA637" s="2">
        <f t="shared" si="47"/>
        <v>54127.667682101717</v>
      </c>
      <c r="AB637" s="1">
        <f t="shared" si="48"/>
        <v>6.4649022043520202E-2</v>
      </c>
      <c r="AC637" s="1" t="b">
        <f t="shared" si="49"/>
        <v>1</v>
      </c>
    </row>
    <row r="638" spans="1:29" x14ac:dyDescent="0.25">
      <c r="A638" s="1">
        <v>1847.308</v>
      </c>
      <c r="B638">
        <v>10</v>
      </c>
      <c r="C638" t="s">
        <v>124</v>
      </c>
      <c r="D638" s="2">
        <v>54132.800000000003</v>
      </c>
      <c r="M638">
        <v>7</v>
      </c>
      <c r="Y638" s="1">
        <f t="shared" si="45"/>
        <v>1847.308</v>
      </c>
      <c r="Z638" s="2">
        <f t="shared" si="46"/>
        <v>54132.800000000003</v>
      </c>
      <c r="AA638" s="2">
        <f t="shared" si="47"/>
        <v>54132.824629136019</v>
      </c>
      <c r="AB638" s="1">
        <f t="shared" si="48"/>
        <v>6.465181351164398E-2</v>
      </c>
      <c r="AC638" s="1" t="b">
        <f t="shared" si="49"/>
        <v>1</v>
      </c>
    </row>
    <row r="639" spans="1:29" x14ac:dyDescent="0.25">
      <c r="A639" s="1">
        <v>1847.1959999999999</v>
      </c>
      <c r="B639">
        <v>20</v>
      </c>
      <c r="C639" t="s">
        <v>122</v>
      </c>
      <c r="D639" s="2">
        <v>54136.1</v>
      </c>
      <c r="M639">
        <v>7</v>
      </c>
      <c r="Y639" s="1">
        <f t="shared" si="45"/>
        <v>1847.1959999999999</v>
      </c>
      <c r="Z639" s="2">
        <f t="shared" si="46"/>
        <v>54136.1</v>
      </c>
      <c r="AA639" s="2">
        <f t="shared" si="47"/>
        <v>54136.106834358674</v>
      </c>
      <c r="AB639" s="1">
        <f t="shared" si="48"/>
        <v>6.4653590315905479E-2</v>
      </c>
      <c r="AC639" s="1" t="b">
        <f t="shared" si="49"/>
        <v>1</v>
      </c>
    </row>
    <row r="640" spans="1:29" x14ac:dyDescent="0.25">
      <c r="A640" s="1">
        <v>1847.1669999999999</v>
      </c>
      <c r="B640">
        <v>2</v>
      </c>
      <c r="D640" s="2">
        <v>54137</v>
      </c>
      <c r="M640">
        <v>7</v>
      </c>
      <c r="Y640" s="1">
        <f t="shared" si="45"/>
        <v>1847.1669999999999</v>
      </c>
      <c r="Z640" s="2">
        <f t="shared" si="46"/>
        <v>54137</v>
      </c>
      <c r="AA640" s="2">
        <f t="shared" si="47"/>
        <v>54136.956755940315</v>
      </c>
      <c r="AB640" s="1">
        <f t="shared" si="48"/>
        <v>6.4654050433972765E-2</v>
      </c>
      <c r="AC640" s="1" t="b">
        <f t="shared" si="49"/>
        <v>1</v>
      </c>
    </row>
    <row r="641" spans="1:29" x14ac:dyDescent="0.25">
      <c r="A641" s="1">
        <v>1847.0139999999999</v>
      </c>
      <c r="B641">
        <v>10</v>
      </c>
      <c r="D641" s="2">
        <v>54141.4</v>
      </c>
      <c r="M641">
        <v>7</v>
      </c>
      <c r="Y641" s="1">
        <f t="shared" si="45"/>
        <v>1847.0139999999999</v>
      </c>
      <c r="Z641" s="2">
        <f t="shared" si="46"/>
        <v>54141.4</v>
      </c>
      <c r="AA641" s="2">
        <f t="shared" si="47"/>
        <v>54141.441266823102</v>
      </c>
      <c r="AB641" s="1">
        <f t="shared" si="48"/>
        <v>6.4656478312244275E-2</v>
      </c>
      <c r="AC641" s="1" t="b">
        <f t="shared" si="49"/>
        <v>1</v>
      </c>
    </row>
    <row r="642" spans="1:29" x14ac:dyDescent="0.25">
      <c r="A642" s="1">
        <v>1846.9349999999999</v>
      </c>
      <c r="B642">
        <v>20</v>
      </c>
      <c r="D642" s="2">
        <v>54143.8</v>
      </c>
      <c r="M642">
        <v>7</v>
      </c>
      <c r="Y642" s="1">
        <f t="shared" si="45"/>
        <v>1846.9349999999999</v>
      </c>
      <c r="Z642" s="2">
        <f t="shared" si="46"/>
        <v>54143.8</v>
      </c>
      <c r="AA642" s="2">
        <f t="shared" si="47"/>
        <v>54143.757089448198</v>
      </c>
      <c r="AB642" s="1">
        <f t="shared" si="48"/>
        <v>6.4657732158805867E-2</v>
      </c>
      <c r="AC642" s="1" t="b">
        <f t="shared" si="49"/>
        <v>1</v>
      </c>
    </row>
    <row r="643" spans="1:29" x14ac:dyDescent="0.25">
      <c r="A643" s="1">
        <v>1846.836</v>
      </c>
      <c r="B643">
        <v>40</v>
      </c>
      <c r="D643" s="2">
        <v>54146.6</v>
      </c>
      <c r="M643">
        <v>7</v>
      </c>
      <c r="Y643" s="1">
        <f t="shared" ref="Y643:Y706" si="50">ROUND($A643,3)+0</f>
        <v>1846.836</v>
      </c>
      <c r="Z643" s="2">
        <f t="shared" ref="Z643:Z706" si="51">ROUND($D643,1)+0</f>
        <v>54146.6</v>
      </c>
      <c r="AA643" s="2">
        <f t="shared" ref="AA643:AA706" si="52">100000000/Y643</f>
        <v>54146.659475990287</v>
      </c>
      <c r="AB643" s="1">
        <f t="shared" ref="AB643:AB706" si="53">0.0005/$Y643*AA643+0.05</f>
        <v>6.4659303662044254E-2</v>
      </c>
      <c r="AC643" s="1" t="b">
        <f t="shared" ref="AC643:AC706" si="54">ABS(Z643-AA643)&lt;AB643</f>
        <v>1</v>
      </c>
    </row>
    <row r="644" spans="1:29" x14ac:dyDescent="0.25">
      <c r="A644" s="1">
        <v>1846.3779999999999</v>
      </c>
      <c r="B644">
        <v>20</v>
      </c>
      <c r="D644" s="2">
        <v>54160.1</v>
      </c>
      <c r="M644">
        <v>7</v>
      </c>
      <c r="Y644" s="1">
        <f t="shared" si="50"/>
        <v>1846.3779999999999</v>
      </c>
      <c r="Z644" s="2">
        <f t="shared" si="51"/>
        <v>54160.1</v>
      </c>
      <c r="AA644" s="2">
        <f t="shared" si="52"/>
        <v>54160.090728983989</v>
      </c>
      <c r="AB644" s="1">
        <f t="shared" si="53"/>
        <v>6.4666577138858886E-2</v>
      </c>
      <c r="AC644" s="1" t="b">
        <f t="shared" si="54"/>
        <v>1</v>
      </c>
    </row>
    <row r="645" spans="1:29" x14ac:dyDescent="0.25">
      <c r="A645" s="1">
        <v>1846.1869999999999</v>
      </c>
      <c r="B645">
        <v>6</v>
      </c>
      <c r="D645" s="2">
        <v>54165.7</v>
      </c>
      <c r="M645">
        <v>7</v>
      </c>
      <c r="Y645" s="1">
        <f t="shared" si="50"/>
        <v>1846.1869999999999</v>
      </c>
      <c r="Z645" s="2">
        <f t="shared" si="51"/>
        <v>54165.7</v>
      </c>
      <c r="AA645" s="2">
        <f t="shared" si="52"/>
        <v>54165.693941079648</v>
      </c>
      <c r="AB645" s="1">
        <f t="shared" si="53"/>
        <v>6.4669612000593568E-2</v>
      </c>
      <c r="AC645" s="1" t="b">
        <f t="shared" si="54"/>
        <v>1</v>
      </c>
    </row>
    <row r="646" spans="1:29" x14ac:dyDescent="0.25">
      <c r="A646" s="1">
        <v>1845.896</v>
      </c>
      <c r="B646">
        <v>1</v>
      </c>
      <c r="D646" s="2">
        <v>54174.2</v>
      </c>
      <c r="M646">
        <v>7</v>
      </c>
      <c r="Y646" s="1">
        <f t="shared" si="50"/>
        <v>1845.896</v>
      </c>
      <c r="Z646" s="2">
        <f t="shared" si="51"/>
        <v>54174.2</v>
      </c>
      <c r="AA646" s="2">
        <f t="shared" si="52"/>
        <v>54174.23300120917</v>
      </c>
      <c r="AB646" s="1">
        <f t="shared" si="53"/>
        <v>6.467423760634651E-2</v>
      </c>
      <c r="AC646" s="1" t="b">
        <f t="shared" si="54"/>
        <v>1</v>
      </c>
    </row>
    <row r="647" spans="1:29" x14ac:dyDescent="0.25">
      <c r="A647" s="1">
        <v>1844.951</v>
      </c>
      <c r="B647">
        <v>2</v>
      </c>
      <c r="D647" s="2">
        <v>54202</v>
      </c>
      <c r="M647">
        <v>7</v>
      </c>
      <c r="Y647" s="1">
        <f t="shared" si="50"/>
        <v>1844.951</v>
      </c>
      <c r="Z647" s="2">
        <f t="shared" si="51"/>
        <v>54202</v>
      </c>
      <c r="AA647" s="2">
        <f t="shared" si="52"/>
        <v>54201.981516040265</v>
      </c>
      <c r="AB647" s="1">
        <f t="shared" si="53"/>
        <v>6.4689274001325861E-2</v>
      </c>
      <c r="AC647" s="1" t="b">
        <f t="shared" si="54"/>
        <v>1</v>
      </c>
    </row>
    <row r="648" spans="1:29" x14ac:dyDescent="0.25">
      <c r="A648" s="1">
        <v>1844.8620000000001</v>
      </c>
      <c r="B648">
        <v>3</v>
      </c>
      <c r="D648" s="2">
        <v>54204.6</v>
      </c>
      <c r="M648">
        <v>7</v>
      </c>
      <c r="Y648" s="1">
        <f t="shared" si="50"/>
        <v>1844.8620000000001</v>
      </c>
      <c r="Z648" s="2">
        <f t="shared" si="51"/>
        <v>54204.6</v>
      </c>
      <c r="AA648" s="2">
        <f t="shared" si="52"/>
        <v>54204.596332950649</v>
      </c>
      <c r="AB648" s="1">
        <f t="shared" si="53"/>
        <v>6.4690691318090632E-2</v>
      </c>
      <c r="AC648" s="1" t="b">
        <f t="shared" si="54"/>
        <v>1</v>
      </c>
    </row>
    <row r="649" spans="1:29" x14ac:dyDescent="0.25">
      <c r="A649" s="1">
        <v>1844.59</v>
      </c>
      <c r="B649">
        <v>1</v>
      </c>
      <c r="D649" s="2">
        <v>54212.6</v>
      </c>
      <c r="M649">
        <v>7</v>
      </c>
      <c r="Y649" s="1">
        <f t="shared" si="50"/>
        <v>1844.59</v>
      </c>
      <c r="Z649" s="2">
        <f t="shared" si="51"/>
        <v>54212.6</v>
      </c>
      <c r="AA649" s="2">
        <f t="shared" si="52"/>
        <v>54212.589247475051</v>
      </c>
      <c r="AB649" s="1">
        <f t="shared" si="53"/>
        <v>6.4695024164577244E-2</v>
      </c>
      <c r="AC649" s="1" t="b">
        <f t="shared" si="54"/>
        <v>1</v>
      </c>
    </row>
    <row r="650" spans="1:29" x14ac:dyDescent="0.25">
      <c r="A650" s="1">
        <v>1843.91</v>
      </c>
      <c r="B650">
        <v>20</v>
      </c>
      <c r="D650" s="2">
        <v>54232.6</v>
      </c>
      <c r="E650">
        <v>19872</v>
      </c>
      <c r="F650" t="s">
        <v>15</v>
      </c>
      <c r="G650" t="s">
        <v>18</v>
      </c>
      <c r="H650">
        <v>74105</v>
      </c>
      <c r="I650" t="s">
        <v>17</v>
      </c>
      <c r="J650" t="s">
        <v>28</v>
      </c>
      <c r="K650">
        <v>19872.43</v>
      </c>
      <c r="L650">
        <v>74105.2</v>
      </c>
      <c r="M650">
        <v>7</v>
      </c>
      <c r="Y650" s="1">
        <f t="shared" si="50"/>
        <v>1843.91</v>
      </c>
      <c r="Z650" s="2">
        <f t="shared" si="51"/>
        <v>54232.6</v>
      </c>
      <c r="AA650" s="2">
        <f t="shared" si="52"/>
        <v>54232.581850524155</v>
      </c>
      <c r="AB650" s="1">
        <f t="shared" si="53"/>
        <v>6.4705864670869015E-2</v>
      </c>
      <c r="AC650" s="1" t="b">
        <f t="shared" si="54"/>
        <v>1</v>
      </c>
    </row>
    <row r="651" spans="1:29" x14ac:dyDescent="0.25">
      <c r="A651" s="1">
        <v>1843.5740000000001</v>
      </c>
      <c r="B651">
        <v>4</v>
      </c>
      <c r="D651" s="2">
        <v>54242.5</v>
      </c>
      <c r="M651">
        <v>7</v>
      </c>
      <c r="Y651" s="1">
        <f t="shared" si="50"/>
        <v>1843.5740000000001</v>
      </c>
      <c r="Z651" s="2">
        <f t="shared" si="51"/>
        <v>54242.5</v>
      </c>
      <c r="AA651" s="2">
        <f t="shared" si="52"/>
        <v>54242.465992685946</v>
      </c>
      <c r="AB651" s="1">
        <f t="shared" si="53"/>
        <v>6.4711225584838453E-2</v>
      </c>
      <c r="AC651" s="1" t="b">
        <f t="shared" si="54"/>
        <v>1</v>
      </c>
    </row>
    <row r="652" spans="1:29" x14ac:dyDescent="0.25">
      <c r="A652" s="1">
        <v>1843.356</v>
      </c>
      <c r="B652">
        <v>10</v>
      </c>
      <c r="D652" s="2">
        <v>54248.9</v>
      </c>
      <c r="E652">
        <v>19360</v>
      </c>
      <c r="F652" t="s">
        <v>15</v>
      </c>
      <c r="G652" t="s">
        <v>50</v>
      </c>
      <c r="H652">
        <v>73609</v>
      </c>
      <c r="I652" t="s">
        <v>17</v>
      </c>
      <c r="J652" t="s">
        <v>23</v>
      </c>
      <c r="K652">
        <v>19360.099999999999</v>
      </c>
      <c r="L652">
        <v>73609.100000000006</v>
      </c>
      <c r="M652">
        <v>7</v>
      </c>
      <c r="Y652" s="1">
        <f t="shared" si="50"/>
        <v>1843.356</v>
      </c>
      <c r="Z652" s="2">
        <f t="shared" si="51"/>
        <v>54248.9</v>
      </c>
      <c r="AA652" s="2">
        <f t="shared" si="52"/>
        <v>54248.880845588159</v>
      </c>
      <c r="AB652" s="1">
        <f t="shared" si="53"/>
        <v>6.4714705364994116E-2</v>
      </c>
      <c r="AC652" s="1" t="b">
        <f t="shared" si="54"/>
        <v>1</v>
      </c>
    </row>
    <row r="653" spans="1:29" x14ac:dyDescent="0.25">
      <c r="A653" s="1">
        <v>1842.95</v>
      </c>
      <c r="B653">
        <v>10</v>
      </c>
      <c r="D653" s="2">
        <v>54260.800000000003</v>
      </c>
      <c r="E653">
        <v>21148</v>
      </c>
      <c r="F653" t="s">
        <v>15</v>
      </c>
      <c r="G653" t="s">
        <v>29</v>
      </c>
      <c r="H653">
        <v>75409</v>
      </c>
      <c r="I653" t="s">
        <v>17</v>
      </c>
      <c r="J653" t="s">
        <v>29</v>
      </c>
      <c r="K653">
        <v>21148.43</v>
      </c>
      <c r="L653">
        <v>75409.58</v>
      </c>
      <c r="M653">
        <v>7</v>
      </c>
      <c r="Y653" s="1">
        <f t="shared" si="50"/>
        <v>1842.95</v>
      </c>
      <c r="Z653" s="2">
        <f t="shared" si="51"/>
        <v>54260.800000000003</v>
      </c>
      <c r="AA653" s="2">
        <f t="shared" si="52"/>
        <v>54260.831818551778</v>
      </c>
      <c r="AB653" s="1">
        <f t="shared" si="53"/>
        <v>6.472118934820581E-2</v>
      </c>
      <c r="AC653" s="1" t="b">
        <f t="shared" si="54"/>
        <v>1</v>
      </c>
    </row>
    <row r="654" spans="1:29" x14ac:dyDescent="0.25">
      <c r="A654" s="1">
        <v>1842.789</v>
      </c>
      <c r="B654">
        <v>200</v>
      </c>
      <c r="C654" t="s">
        <v>27</v>
      </c>
      <c r="D654" s="2">
        <v>54265.599999999999</v>
      </c>
      <c r="E654">
        <v>21294</v>
      </c>
      <c r="F654" t="s">
        <v>15</v>
      </c>
      <c r="G654" t="s">
        <v>18</v>
      </c>
      <c r="H654">
        <v>75560</v>
      </c>
      <c r="I654" t="s">
        <v>17</v>
      </c>
      <c r="J654" t="s">
        <v>28</v>
      </c>
      <c r="K654">
        <v>21294.89</v>
      </c>
      <c r="L654">
        <v>75560.75</v>
      </c>
      <c r="M654">
        <v>7</v>
      </c>
      <c r="Y654" s="1">
        <f t="shared" si="50"/>
        <v>1842.789</v>
      </c>
      <c r="Z654" s="2">
        <f t="shared" si="51"/>
        <v>54265.599999999999</v>
      </c>
      <c r="AA654" s="2">
        <f t="shared" si="52"/>
        <v>54265.572455663671</v>
      </c>
      <c r="AB654" s="1">
        <f t="shared" si="53"/>
        <v>6.4723761769704416E-2</v>
      </c>
      <c r="AC654" s="1" t="b">
        <f t="shared" si="54"/>
        <v>1</v>
      </c>
    </row>
    <row r="655" spans="1:29" x14ac:dyDescent="0.25">
      <c r="A655" s="1">
        <v>1842.789</v>
      </c>
      <c r="B655">
        <v>200</v>
      </c>
      <c r="C655" t="s">
        <v>27</v>
      </c>
      <c r="D655" s="2">
        <v>54265.599999999999</v>
      </c>
      <c r="E655">
        <v>26095</v>
      </c>
      <c r="F655" t="s">
        <v>15</v>
      </c>
      <c r="G655" t="s">
        <v>23</v>
      </c>
      <c r="H655">
        <v>80360</v>
      </c>
      <c r="I655" t="s">
        <v>17</v>
      </c>
      <c r="J655" t="s">
        <v>23</v>
      </c>
      <c r="K655">
        <v>26095.23</v>
      </c>
      <c r="L655">
        <v>80360.820000000007</v>
      </c>
      <c r="M655">
        <v>7</v>
      </c>
      <c r="Y655" s="1">
        <f t="shared" si="50"/>
        <v>1842.789</v>
      </c>
      <c r="Z655" s="2">
        <f t="shared" si="51"/>
        <v>54265.599999999999</v>
      </c>
      <c r="AA655" s="2">
        <f t="shared" si="52"/>
        <v>54265.572455663671</v>
      </c>
      <c r="AB655" s="1">
        <f t="shared" si="53"/>
        <v>6.4723761769704416E-2</v>
      </c>
      <c r="AC655" s="1" t="b">
        <f t="shared" si="54"/>
        <v>1</v>
      </c>
    </row>
    <row r="656" spans="1:29" x14ac:dyDescent="0.25">
      <c r="A656" s="1">
        <v>1842.365</v>
      </c>
      <c r="B656">
        <v>60</v>
      </c>
      <c r="D656" s="2">
        <v>54278.1</v>
      </c>
      <c r="E656">
        <v>14859</v>
      </c>
      <c r="F656" t="s">
        <v>15</v>
      </c>
      <c r="G656" t="s">
        <v>23</v>
      </c>
      <c r="H656">
        <v>69138</v>
      </c>
      <c r="I656" t="s">
        <v>17</v>
      </c>
      <c r="J656" t="s">
        <v>16</v>
      </c>
      <c r="K656">
        <v>14859.96</v>
      </c>
      <c r="L656">
        <v>69138.28</v>
      </c>
      <c r="M656">
        <v>7</v>
      </c>
      <c r="Y656" s="1">
        <f t="shared" si="50"/>
        <v>1842.365</v>
      </c>
      <c r="Z656" s="2">
        <f t="shared" si="51"/>
        <v>54278.1</v>
      </c>
      <c r="AA656" s="2">
        <f t="shared" si="52"/>
        <v>54278.061079102132</v>
      </c>
      <c r="AB656" s="1">
        <f t="shared" si="53"/>
        <v>6.4730539572533705E-2</v>
      </c>
      <c r="AC656" s="1" t="b">
        <f t="shared" si="54"/>
        <v>1</v>
      </c>
    </row>
    <row r="657" spans="1:29" x14ac:dyDescent="0.25">
      <c r="A657" s="1">
        <v>1842.2349999999999</v>
      </c>
      <c r="B657">
        <v>5</v>
      </c>
      <c r="D657" s="2">
        <v>54281.9</v>
      </c>
      <c r="M657">
        <v>7</v>
      </c>
      <c r="Y657" s="1">
        <f t="shared" si="50"/>
        <v>1842.2349999999999</v>
      </c>
      <c r="Z657" s="2">
        <f t="shared" si="51"/>
        <v>54281.9</v>
      </c>
      <c r="AA657" s="2">
        <f t="shared" si="52"/>
        <v>54281.89128965632</v>
      </c>
      <c r="AB657" s="1">
        <f t="shared" si="53"/>
        <v>6.4732618609910336E-2</v>
      </c>
      <c r="AC657" s="1" t="b">
        <f t="shared" si="54"/>
        <v>1</v>
      </c>
    </row>
    <row r="658" spans="1:29" x14ac:dyDescent="0.25">
      <c r="A658" s="1">
        <v>1841.9259999999999</v>
      </c>
      <c r="B658">
        <v>1</v>
      </c>
      <c r="D658" s="2">
        <v>54291</v>
      </c>
      <c r="E658">
        <v>35828</v>
      </c>
      <c r="F658" t="s">
        <v>15</v>
      </c>
      <c r="G658" t="s">
        <v>16</v>
      </c>
      <c r="H658">
        <v>90119</v>
      </c>
      <c r="I658" t="s">
        <v>17</v>
      </c>
      <c r="J658" t="s">
        <v>23</v>
      </c>
      <c r="K658">
        <v>35828.46</v>
      </c>
      <c r="L658">
        <v>90119.8</v>
      </c>
      <c r="M658">
        <v>7</v>
      </c>
      <c r="Y658" s="1">
        <f t="shared" si="50"/>
        <v>1841.9259999999999</v>
      </c>
      <c r="Z658" s="2">
        <f t="shared" si="51"/>
        <v>54291</v>
      </c>
      <c r="AA658" s="2">
        <f t="shared" si="52"/>
        <v>54290.997575364054</v>
      </c>
      <c r="AB658" s="1">
        <f t="shared" si="53"/>
        <v>6.4737562088640926E-2</v>
      </c>
      <c r="AC658" s="1" t="b">
        <f t="shared" si="54"/>
        <v>1</v>
      </c>
    </row>
    <row r="659" spans="1:29" x14ac:dyDescent="0.25">
      <c r="A659" s="1">
        <v>1841.729</v>
      </c>
      <c r="B659">
        <v>2</v>
      </c>
      <c r="D659" s="2">
        <v>54296.800000000003</v>
      </c>
      <c r="M659">
        <v>7</v>
      </c>
      <c r="Y659" s="1">
        <f t="shared" si="50"/>
        <v>1841.729</v>
      </c>
      <c r="Z659" s="2">
        <f t="shared" si="51"/>
        <v>54296.800000000003</v>
      </c>
      <c r="AA659" s="2">
        <f t="shared" si="52"/>
        <v>54296.804795928176</v>
      </c>
      <c r="AB659" s="1">
        <f t="shared" si="53"/>
        <v>6.4740715055235654E-2</v>
      </c>
      <c r="AC659" s="1" t="b">
        <f t="shared" si="54"/>
        <v>1</v>
      </c>
    </row>
    <row r="660" spans="1:29" x14ac:dyDescent="0.25">
      <c r="A660" s="1">
        <v>1841.5139999999999</v>
      </c>
      <c r="B660">
        <v>6</v>
      </c>
      <c r="D660" s="2">
        <v>54303.1</v>
      </c>
      <c r="E660">
        <v>20160</v>
      </c>
      <c r="F660" t="s">
        <v>15</v>
      </c>
      <c r="G660" t="s">
        <v>29</v>
      </c>
      <c r="H660">
        <v>74463</v>
      </c>
      <c r="I660" t="s">
        <v>17</v>
      </c>
      <c r="J660" t="s">
        <v>29</v>
      </c>
      <c r="K660">
        <v>20160.36</v>
      </c>
      <c r="L660">
        <v>74463.7</v>
      </c>
      <c r="M660">
        <v>7</v>
      </c>
      <c r="Y660" s="1">
        <f t="shared" si="50"/>
        <v>1841.5139999999999</v>
      </c>
      <c r="Z660" s="2">
        <f t="shared" si="51"/>
        <v>54303.1</v>
      </c>
      <c r="AA660" s="2">
        <f t="shared" si="52"/>
        <v>54303.144043433829</v>
      </c>
      <c r="AB660" s="1">
        <f t="shared" si="53"/>
        <v>6.4744157265009622E-2</v>
      </c>
      <c r="AC660" s="1" t="b">
        <f t="shared" si="54"/>
        <v>1</v>
      </c>
    </row>
    <row r="661" spans="1:29" x14ac:dyDescent="0.25">
      <c r="A661" s="1">
        <v>1841.463</v>
      </c>
      <c r="B661">
        <v>2</v>
      </c>
      <c r="D661" s="2">
        <v>54304.6</v>
      </c>
      <c r="M661">
        <v>7</v>
      </c>
      <c r="Y661" s="1">
        <f t="shared" si="50"/>
        <v>1841.463</v>
      </c>
      <c r="Z661" s="2">
        <f t="shared" si="51"/>
        <v>54304.6</v>
      </c>
      <c r="AA661" s="2">
        <f t="shared" si="52"/>
        <v>54304.647989126039</v>
      </c>
      <c r="AB661" s="1">
        <f t="shared" si="53"/>
        <v>6.474497396611445E-2</v>
      </c>
      <c r="AC661" s="1" t="b">
        <f t="shared" si="54"/>
        <v>1</v>
      </c>
    </row>
    <row r="662" spans="1:29" x14ac:dyDescent="0.25">
      <c r="A662" s="1">
        <v>1841.3109999999999</v>
      </c>
      <c r="B662">
        <v>2</v>
      </c>
      <c r="D662" s="2">
        <v>54309.1</v>
      </c>
      <c r="M662">
        <v>7</v>
      </c>
      <c r="Y662" s="1">
        <f t="shared" si="50"/>
        <v>1841.3109999999999</v>
      </c>
      <c r="Z662" s="2">
        <f t="shared" si="51"/>
        <v>54309.1</v>
      </c>
      <c r="AA662" s="2">
        <f t="shared" si="52"/>
        <v>54309.130831239265</v>
      </c>
      <c r="AB662" s="1">
        <f t="shared" si="53"/>
        <v>6.4747408458223327E-2</v>
      </c>
      <c r="AC662" s="1" t="b">
        <f t="shared" si="54"/>
        <v>1</v>
      </c>
    </row>
    <row r="663" spans="1:29" x14ac:dyDescent="0.25">
      <c r="A663" s="1">
        <v>1840.954</v>
      </c>
      <c r="B663">
        <v>10</v>
      </c>
      <c r="C663" t="s">
        <v>122</v>
      </c>
      <c r="D663" s="2">
        <v>54319.7</v>
      </c>
      <c r="E663">
        <v>21294</v>
      </c>
      <c r="F663" t="s">
        <v>15</v>
      </c>
      <c r="G663" t="s">
        <v>18</v>
      </c>
      <c r="H663">
        <v>75614</v>
      </c>
      <c r="I663" t="s">
        <v>17</v>
      </c>
      <c r="J663" t="s">
        <v>28</v>
      </c>
      <c r="K663">
        <v>21294.89</v>
      </c>
      <c r="L663">
        <v>75614.81</v>
      </c>
      <c r="M663">
        <v>7</v>
      </c>
      <c r="Y663" s="1">
        <f t="shared" si="50"/>
        <v>1840.954</v>
      </c>
      <c r="Z663" s="2">
        <f t="shared" si="51"/>
        <v>54319.7</v>
      </c>
      <c r="AA663" s="2">
        <f t="shared" si="52"/>
        <v>54319.662522800681</v>
      </c>
      <c r="AB663" s="1">
        <f t="shared" si="53"/>
        <v>6.4753128682954783E-2</v>
      </c>
      <c r="AC663" s="1" t="b">
        <f t="shared" si="54"/>
        <v>1</v>
      </c>
    </row>
    <row r="664" spans="1:29" x14ac:dyDescent="0.25">
      <c r="A664" s="1">
        <v>1840.585</v>
      </c>
      <c r="B664">
        <v>1</v>
      </c>
      <c r="D664" s="2">
        <v>54330.6</v>
      </c>
      <c r="M664">
        <v>7</v>
      </c>
      <c r="Y664" s="1">
        <f t="shared" si="50"/>
        <v>1840.585</v>
      </c>
      <c r="Z664" s="2">
        <f t="shared" si="51"/>
        <v>54330.6</v>
      </c>
      <c r="AA664" s="2">
        <f t="shared" si="52"/>
        <v>54330.552514553798</v>
      </c>
      <c r="AB664" s="1">
        <f t="shared" si="53"/>
        <v>6.4759044682683439E-2</v>
      </c>
      <c r="AC664" s="1" t="b">
        <f t="shared" si="54"/>
        <v>1</v>
      </c>
    </row>
    <row r="665" spans="1:29" x14ac:dyDescent="0.25">
      <c r="A665" s="1">
        <v>1840.136</v>
      </c>
      <c r="B665">
        <v>3</v>
      </c>
      <c r="D665" s="2">
        <v>54343.8</v>
      </c>
      <c r="M665">
        <v>7</v>
      </c>
      <c r="Y665" s="1">
        <f t="shared" si="50"/>
        <v>1840.136</v>
      </c>
      <c r="Z665" s="2">
        <f t="shared" si="51"/>
        <v>54343.8</v>
      </c>
      <c r="AA665" s="2">
        <f t="shared" si="52"/>
        <v>54343.809370611736</v>
      </c>
      <c r="AB665" s="1">
        <f t="shared" si="53"/>
        <v>6.4766248084546951E-2</v>
      </c>
      <c r="AC665" s="1" t="b">
        <f t="shared" si="54"/>
        <v>1</v>
      </c>
    </row>
    <row r="666" spans="1:29" x14ac:dyDescent="0.25">
      <c r="A666" s="1">
        <v>1839.547</v>
      </c>
      <c r="B666">
        <v>2</v>
      </c>
      <c r="D666" s="2">
        <v>54361.2</v>
      </c>
      <c r="M666">
        <v>7</v>
      </c>
      <c r="Y666" s="1">
        <f t="shared" si="50"/>
        <v>1839.547</v>
      </c>
      <c r="Z666" s="2">
        <f t="shared" si="51"/>
        <v>54361.2</v>
      </c>
      <c r="AA666" s="2">
        <f t="shared" si="52"/>
        <v>54361.20958040213</v>
      </c>
      <c r="AB666" s="1">
        <f t="shared" si="53"/>
        <v>6.4775705535222022E-2</v>
      </c>
      <c r="AC666" s="1" t="b">
        <f t="shared" si="54"/>
        <v>1</v>
      </c>
    </row>
    <row r="667" spans="1:29" x14ac:dyDescent="0.25">
      <c r="A667" s="1">
        <v>1838.4559999999999</v>
      </c>
      <c r="B667">
        <v>200</v>
      </c>
      <c r="D667" s="2">
        <v>54393.5</v>
      </c>
      <c r="E667">
        <v>12846</v>
      </c>
      <c r="F667" t="s">
        <v>15</v>
      </c>
      <c r="G667" t="s">
        <v>16</v>
      </c>
      <c r="H667">
        <v>67240</v>
      </c>
      <c r="I667" t="s">
        <v>17</v>
      </c>
      <c r="J667" t="s">
        <v>18</v>
      </c>
      <c r="K667">
        <v>12846.66</v>
      </c>
      <c r="L667">
        <v>67240.350000000006</v>
      </c>
      <c r="M667">
        <v>7</v>
      </c>
      <c r="Y667" s="1">
        <f t="shared" si="50"/>
        <v>1838.4559999999999</v>
      </c>
      <c r="Z667" s="2">
        <f t="shared" si="51"/>
        <v>54393.5</v>
      </c>
      <c r="AA667" s="2">
        <f t="shared" si="52"/>
        <v>54393.469302501668</v>
      </c>
      <c r="AB667" s="1">
        <f t="shared" si="53"/>
        <v>6.4793247513810964E-2</v>
      </c>
      <c r="AC667" s="1" t="b">
        <f t="shared" si="54"/>
        <v>1</v>
      </c>
    </row>
    <row r="668" spans="1:29" x14ac:dyDescent="0.25">
      <c r="A668" s="1">
        <v>1838.1980000000001</v>
      </c>
      <c r="B668">
        <v>50</v>
      </c>
      <c r="D668" s="2">
        <v>54401.1</v>
      </c>
      <c r="E668">
        <v>21238</v>
      </c>
      <c r="F668" t="s">
        <v>15</v>
      </c>
      <c r="G668" t="s">
        <v>50</v>
      </c>
      <c r="H668">
        <v>75640</v>
      </c>
      <c r="I668" t="s">
        <v>17</v>
      </c>
      <c r="J668" t="s">
        <v>23</v>
      </c>
      <c r="K668">
        <v>21238.78</v>
      </c>
      <c r="L668">
        <v>75640</v>
      </c>
      <c r="M668">
        <v>7</v>
      </c>
      <c r="Y668" s="1">
        <f t="shared" si="50"/>
        <v>1838.1980000000001</v>
      </c>
      <c r="Z668" s="2">
        <f t="shared" si="51"/>
        <v>54401.1</v>
      </c>
      <c r="AA668" s="2">
        <f t="shared" si="52"/>
        <v>54401.103689591655</v>
      </c>
      <c r="AB668" s="1">
        <f t="shared" si="53"/>
        <v>6.4797400413228512E-2</v>
      </c>
      <c r="AC668" s="1" t="b">
        <f t="shared" si="54"/>
        <v>1</v>
      </c>
    </row>
    <row r="669" spans="1:29" x14ac:dyDescent="0.25">
      <c r="A669" s="1">
        <v>1837.9839999999999</v>
      </c>
      <c r="B669">
        <v>20</v>
      </c>
      <c r="D669" s="2">
        <v>54407.4</v>
      </c>
      <c r="M669">
        <v>7</v>
      </c>
      <c r="Y669" s="1">
        <f t="shared" si="50"/>
        <v>1837.9839999999999</v>
      </c>
      <c r="Z669" s="2">
        <f t="shared" si="51"/>
        <v>54407.4</v>
      </c>
      <c r="AA669" s="2">
        <f t="shared" si="52"/>
        <v>54407.437714365304</v>
      </c>
      <c r="AB669" s="1">
        <f t="shared" si="53"/>
        <v>6.4800846393212708E-2</v>
      </c>
      <c r="AC669" s="1" t="b">
        <f t="shared" si="54"/>
        <v>1</v>
      </c>
    </row>
    <row r="670" spans="1:29" x14ac:dyDescent="0.25">
      <c r="A670" s="1">
        <v>1837.3520000000001</v>
      </c>
      <c r="B670">
        <v>3</v>
      </c>
      <c r="D670" s="2">
        <v>54426.2</v>
      </c>
      <c r="M670">
        <v>7</v>
      </c>
      <c r="Y670" s="1">
        <f t="shared" si="50"/>
        <v>1837.3520000000001</v>
      </c>
      <c r="Z670" s="2">
        <f t="shared" si="51"/>
        <v>54426.2</v>
      </c>
      <c r="AA670" s="2">
        <f t="shared" si="52"/>
        <v>54426.152419351325</v>
      </c>
      <c r="AB670" s="1">
        <f t="shared" si="53"/>
        <v>6.4811030335872308E-2</v>
      </c>
      <c r="AC670" s="1" t="b">
        <f t="shared" si="54"/>
        <v>1</v>
      </c>
    </row>
    <row r="671" spans="1:29" x14ac:dyDescent="0.25">
      <c r="A671" s="1">
        <v>1837.3109999999999</v>
      </c>
      <c r="B671">
        <v>1</v>
      </c>
      <c r="D671" s="2">
        <v>54427.4</v>
      </c>
      <c r="M671">
        <v>7</v>
      </c>
      <c r="Y671" s="1">
        <f t="shared" si="50"/>
        <v>1837.3109999999999</v>
      </c>
      <c r="Z671" s="2">
        <f t="shared" si="51"/>
        <v>54427.4</v>
      </c>
      <c r="AA671" s="2">
        <f t="shared" si="52"/>
        <v>54427.366950940806</v>
      </c>
      <c r="AB671" s="1">
        <f t="shared" si="53"/>
        <v>6.4811691366061824E-2</v>
      </c>
      <c r="AC671" s="1" t="b">
        <f t="shared" si="54"/>
        <v>1</v>
      </c>
    </row>
    <row r="672" spans="1:29" x14ac:dyDescent="0.25">
      <c r="A672" s="1">
        <v>1837.1890000000001</v>
      </c>
      <c r="B672">
        <v>2</v>
      </c>
      <c r="D672" s="2">
        <v>54431</v>
      </c>
      <c r="M672">
        <v>7</v>
      </c>
      <c r="Y672" s="1">
        <f t="shared" si="50"/>
        <v>1837.1890000000001</v>
      </c>
      <c r="Z672" s="2">
        <f t="shared" si="51"/>
        <v>54431</v>
      </c>
      <c r="AA672" s="2">
        <f t="shared" si="52"/>
        <v>54430.981243628172</v>
      </c>
      <c r="AB672" s="1">
        <f t="shared" si="53"/>
        <v>6.481365859572101E-2</v>
      </c>
      <c r="AC672" s="1" t="b">
        <f t="shared" si="54"/>
        <v>1</v>
      </c>
    </row>
    <row r="673" spans="1:29" x14ac:dyDescent="0.25">
      <c r="A673" s="1">
        <v>1837.0740000000001</v>
      </c>
      <c r="B673">
        <v>6</v>
      </c>
      <c r="D673" s="2">
        <v>54434.400000000001</v>
      </c>
      <c r="M673">
        <v>7</v>
      </c>
      <c r="Y673" s="1">
        <f t="shared" si="50"/>
        <v>1837.0740000000001</v>
      </c>
      <c r="Z673" s="2">
        <f t="shared" si="51"/>
        <v>54434.400000000001</v>
      </c>
      <c r="AA673" s="2">
        <f t="shared" si="52"/>
        <v>54434.388598390702</v>
      </c>
      <c r="AB673" s="1">
        <f t="shared" si="53"/>
        <v>6.4815513310403042E-2</v>
      </c>
      <c r="AC673" s="1" t="b">
        <f t="shared" si="54"/>
        <v>1</v>
      </c>
    </row>
    <row r="674" spans="1:29" x14ac:dyDescent="0.25">
      <c r="A674" s="1">
        <v>1836.8869999999999</v>
      </c>
      <c r="B674">
        <v>3</v>
      </c>
      <c r="D674" s="2">
        <v>54439.9</v>
      </c>
      <c r="M674">
        <v>7</v>
      </c>
      <c r="Y674" s="1">
        <f t="shared" si="50"/>
        <v>1836.8869999999999</v>
      </c>
      <c r="Z674" s="2">
        <f t="shared" si="51"/>
        <v>54439.9</v>
      </c>
      <c r="AA674" s="2">
        <f t="shared" si="52"/>
        <v>54439.93016445759</v>
      </c>
      <c r="AB674" s="1">
        <f t="shared" si="53"/>
        <v>6.4818529981555101E-2</v>
      </c>
      <c r="AC674" s="1" t="b">
        <f t="shared" si="54"/>
        <v>1</v>
      </c>
    </row>
    <row r="675" spans="1:29" x14ac:dyDescent="0.25">
      <c r="A675" s="1">
        <v>1836.7049999999999</v>
      </c>
      <c r="B675">
        <v>3</v>
      </c>
      <c r="D675" s="2">
        <v>54445.3</v>
      </c>
      <c r="E675">
        <v>20848</v>
      </c>
      <c r="F675" t="s">
        <v>15</v>
      </c>
      <c r="G675" t="s">
        <v>28</v>
      </c>
      <c r="H675">
        <v>75294</v>
      </c>
      <c r="I675" t="s">
        <v>17</v>
      </c>
      <c r="J675" t="s">
        <v>18</v>
      </c>
      <c r="K675">
        <v>20848.39</v>
      </c>
      <c r="L675">
        <v>75294</v>
      </c>
      <c r="M675">
        <v>7</v>
      </c>
      <c r="Y675" s="1">
        <f t="shared" si="50"/>
        <v>1836.7049999999999</v>
      </c>
      <c r="Z675" s="2">
        <f t="shared" si="51"/>
        <v>54445.3</v>
      </c>
      <c r="AA675" s="2">
        <f t="shared" si="52"/>
        <v>54445.324643859523</v>
      </c>
      <c r="AB675" s="1">
        <f t="shared" si="53"/>
        <v>6.4821466877876294E-2</v>
      </c>
      <c r="AC675" s="1" t="b">
        <f t="shared" si="54"/>
        <v>1</v>
      </c>
    </row>
    <row r="676" spans="1:29" x14ac:dyDescent="0.25">
      <c r="A676" s="1">
        <v>1836.635</v>
      </c>
      <c r="B676">
        <v>5</v>
      </c>
      <c r="D676" s="2">
        <v>54447.4</v>
      </c>
      <c r="M676">
        <v>7</v>
      </c>
      <c r="Y676" s="1">
        <f t="shared" si="50"/>
        <v>1836.635</v>
      </c>
      <c r="Z676" s="2">
        <f t="shared" si="51"/>
        <v>54447.4</v>
      </c>
      <c r="AA676" s="2">
        <f t="shared" si="52"/>
        <v>54447.399728307479</v>
      </c>
      <c r="AB676" s="1">
        <f t="shared" si="53"/>
        <v>6.4822596685870482E-2</v>
      </c>
      <c r="AC676" s="1" t="b">
        <f t="shared" si="54"/>
        <v>1</v>
      </c>
    </row>
    <row r="677" spans="1:29" x14ac:dyDescent="0.25">
      <c r="A677" s="1">
        <v>1836.471</v>
      </c>
      <c r="B677">
        <v>7</v>
      </c>
      <c r="D677" s="2">
        <v>54452.3</v>
      </c>
      <c r="E677">
        <v>15525</v>
      </c>
      <c r="F677" t="s">
        <v>15</v>
      </c>
      <c r="G677" t="s">
        <v>23</v>
      </c>
      <c r="H677">
        <v>69978</v>
      </c>
      <c r="I677" t="s">
        <v>17</v>
      </c>
      <c r="J677" t="s">
        <v>23</v>
      </c>
      <c r="K677">
        <v>15525.5</v>
      </c>
      <c r="L677">
        <v>69978.080000000002</v>
      </c>
      <c r="M677">
        <v>7</v>
      </c>
      <c r="Y677" s="1">
        <f t="shared" si="50"/>
        <v>1836.471</v>
      </c>
      <c r="Z677" s="2">
        <f t="shared" si="51"/>
        <v>54452.3</v>
      </c>
      <c r="AA677" s="2">
        <f t="shared" si="52"/>
        <v>54452.261974188536</v>
      </c>
      <c r="AB677" s="1">
        <f t="shared" si="53"/>
        <v>6.482524417052829E-2</v>
      </c>
      <c r="AC677" s="1" t="b">
        <f t="shared" si="54"/>
        <v>1</v>
      </c>
    </row>
    <row r="678" spans="1:29" x14ac:dyDescent="0.25">
      <c r="A678" s="1">
        <v>1835.6959999999999</v>
      </c>
      <c r="B678">
        <v>2</v>
      </c>
      <c r="D678" s="2">
        <v>54475.199999999997</v>
      </c>
      <c r="M678">
        <v>7</v>
      </c>
      <c r="Y678" s="1">
        <f t="shared" si="50"/>
        <v>1835.6959999999999</v>
      </c>
      <c r="Z678" s="2">
        <f t="shared" si="51"/>
        <v>54475.199999999997</v>
      </c>
      <c r="AA678" s="2">
        <f t="shared" si="52"/>
        <v>54475.250804054704</v>
      </c>
      <c r="AB678" s="1">
        <f t="shared" si="53"/>
        <v>6.4837764750823312E-2</v>
      </c>
      <c r="AC678" s="1" t="b">
        <f t="shared" si="54"/>
        <v>1</v>
      </c>
    </row>
    <row r="679" spans="1:29" x14ac:dyDescent="0.25">
      <c r="A679" s="1">
        <v>1835.6569999999999</v>
      </c>
      <c r="B679">
        <v>1</v>
      </c>
      <c r="D679" s="2">
        <v>54476.4</v>
      </c>
      <c r="M679">
        <v>7</v>
      </c>
      <c r="Y679" s="1">
        <f t="shared" si="50"/>
        <v>1835.6569999999999</v>
      </c>
      <c r="Z679" s="2">
        <f t="shared" si="51"/>
        <v>54476.4</v>
      </c>
      <c r="AA679" s="2">
        <f t="shared" si="52"/>
        <v>54476.408174294003</v>
      </c>
      <c r="AB679" s="1">
        <f t="shared" si="53"/>
        <v>6.4838395237861432E-2</v>
      </c>
      <c r="AC679" s="1" t="b">
        <f t="shared" si="54"/>
        <v>1</v>
      </c>
    </row>
    <row r="680" spans="1:29" x14ac:dyDescent="0.25">
      <c r="A680" s="1">
        <v>1835.2190000000001</v>
      </c>
      <c r="B680">
        <v>1</v>
      </c>
      <c r="D680" s="2">
        <v>54489.4</v>
      </c>
      <c r="M680">
        <v>7</v>
      </c>
      <c r="Y680" s="1">
        <f t="shared" si="50"/>
        <v>1835.2190000000001</v>
      </c>
      <c r="Z680" s="2">
        <f t="shared" si="51"/>
        <v>54489.4</v>
      </c>
      <c r="AA680" s="2">
        <f t="shared" si="52"/>
        <v>54489.409710775661</v>
      </c>
      <c r="AB680" s="1">
        <f t="shared" si="53"/>
        <v>6.4845478853143873E-2</v>
      </c>
      <c r="AC680" s="1" t="b">
        <f t="shared" si="54"/>
        <v>1</v>
      </c>
    </row>
    <row r="681" spans="1:29" x14ac:dyDescent="0.25">
      <c r="A681" s="1">
        <v>1834.3979999999999</v>
      </c>
      <c r="B681">
        <v>8</v>
      </c>
      <c r="D681" s="2">
        <v>54513.8</v>
      </c>
      <c r="M681">
        <v>7</v>
      </c>
      <c r="Y681" s="1">
        <f t="shared" si="50"/>
        <v>1834.3979999999999</v>
      </c>
      <c r="Z681" s="2">
        <f t="shared" si="51"/>
        <v>54513.8</v>
      </c>
      <c r="AA681" s="2">
        <f t="shared" si="52"/>
        <v>54513.796896856627</v>
      </c>
      <c r="AB681" s="1">
        <f t="shared" si="53"/>
        <v>6.4858770260558682E-2</v>
      </c>
      <c r="AC681" s="1" t="b">
        <f t="shared" si="54"/>
        <v>1</v>
      </c>
    </row>
    <row r="682" spans="1:29" x14ac:dyDescent="0.25">
      <c r="A682" s="1">
        <v>1833.24</v>
      </c>
      <c r="B682">
        <v>100</v>
      </c>
      <c r="D682" s="2">
        <v>54548.2</v>
      </c>
      <c r="M682">
        <v>7</v>
      </c>
      <c r="Y682" s="1">
        <f t="shared" si="50"/>
        <v>1833.24</v>
      </c>
      <c r="Z682" s="2">
        <f t="shared" si="51"/>
        <v>54548.2</v>
      </c>
      <c r="AA682" s="2">
        <f t="shared" si="52"/>
        <v>54548.231546333271</v>
      </c>
      <c r="AB682" s="1">
        <f t="shared" si="53"/>
        <v>6.4877547824161941E-2</v>
      </c>
      <c r="AC682" s="1" t="b">
        <f t="shared" si="54"/>
        <v>1</v>
      </c>
    </row>
    <row r="683" spans="1:29" x14ac:dyDescent="0.25">
      <c r="A683" s="1">
        <v>1833.12</v>
      </c>
      <c r="B683">
        <v>100</v>
      </c>
      <c r="D683" s="2">
        <v>54551.8</v>
      </c>
      <c r="M683">
        <v>7</v>
      </c>
      <c r="Y683" s="1">
        <f t="shared" si="50"/>
        <v>1833.12</v>
      </c>
      <c r="Z683" s="2">
        <f t="shared" si="51"/>
        <v>54551.8</v>
      </c>
      <c r="AA683" s="2">
        <f t="shared" si="52"/>
        <v>54551.80239155102</v>
      </c>
      <c r="AB683" s="1">
        <f t="shared" si="53"/>
        <v>6.4879495720834165E-2</v>
      </c>
      <c r="AC683" s="1" t="b">
        <f t="shared" si="54"/>
        <v>1</v>
      </c>
    </row>
    <row r="684" spans="1:29" x14ac:dyDescent="0.25">
      <c r="A684" s="1">
        <v>1832.4659999999999</v>
      </c>
      <c r="B684">
        <v>2</v>
      </c>
      <c r="D684" s="2">
        <v>54571.3</v>
      </c>
      <c r="M684">
        <v>7</v>
      </c>
      <c r="Y684" s="1">
        <f t="shared" si="50"/>
        <v>1832.4659999999999</v>
      </c>
      <c r="Z684" s="2">
        <f t="shared" si="51"/>
        <v>54571.3</v>
      </c>
      <c r="AA684" s="2">
        <f t="shared" si="52"/>
        <v>54571.271718001866</v>
      </c>
      <c r="AB684" s="1">
        <f t="shared" si="53"/>
        <v>6.4890118484599954E-2</v>
      </c>
      <c r="AC684" s="1" t="b">
        <f t="shared" si="54"/>
        <v>1</v>
      </c>
    </row>
    <row r="685" spans="1:29" x14ac:dyDescent="0.25">
      <c r="A685" s="1">
        <v>1832.3309999999999</v>
      </c>
      <c r="B685">
        <v>15</v>
      </c>
      <c r="D685" s="2">
        <v>54575.3</v>
      </c>
      <c r="E685">
        <v>29835</v>
      </c>
      <c r="F685" t="s">
        <v>15</v>
      </c>
      <c r="G685" t="s">
        <v>16</v>
      </c>
      <c r="H685">
        <v>84410</v>
      </c>
      <c r="I685" t="s">
        <v>17</v>
      </c>
      <c r="J685" t="s">
        <v>16</v>
      </c>
      <c r="K685">
        <v>29835.09</v>
      </c>
      <c r="L685">
        <v>84410.63</v>
      </c>
      <c r="M685">
        <v>7</v>
      </c>
      <c r="Y685" s="1">
        <f t="shared" si="50"/>
        <v>1832.3309999999999</v>
      </c>
      <c r="Z685" s="2">
        <f t="shared" si="51"/>
        <v>54575.3</v>
      </c>
      <c r="AA685" s="2">
        <f t="shared" si="52"/>
        <v>54575.292346197275</v>
      </c>
      <c r="AB685" s="1">
        <f t="shared" si="53"/>
        <v>6.4892312673364497E-2</v>
      </c>
      <c r="AC685" s="1" t="b">
        <f t="shared" si="54"/>
        <v>1</v>
      </c>
    </row>
    <row r="686" spans="1:29" x14ac:dyDescent="0.25">
      <c r="A686" s="1">
        <v>1831.2639999999999</v>
      </c>
      <c r="B686">
        <v>4</v>
      </c>
      <c r="D686" s="2">
        <v>54607.1</v>
      </c>
      <c r="M686">
        <v>7</v>
      </c>
      <c r="Y686" s="1">
        <f t="shared" si="50"/>
        <v>1831.2639999999999</v>
      </c>
      <c r="Z686" s="2">
        <f t="shared" si="51"/>
        <v>54607.1</v>
      </c>
      <c r="AA686" s="2">
        <f t="shared" si="52"/>
        <v>54607.091058416481</v>
      </c>
      <c r="AB686" s="1">
        <f t="shared" si="53"/>
        <v>6.4909671969310953E-2</v>
      </c>
      <c r="AC686" s="1" t="b">
        <f t="shared" si="54"/>
        <v>1</v>
      </c>
    </row>
    <row r="687" spans="1:29" x14ac:dyDescent="0.25">
      <c r="A687" s="1">
        <v>1831.212</v>
      </c>
      <c r="B687">
        <v>8</v>
      </c>
      <c r="D687" s="2">
        <v>54608.6</v>
      </c>
      <c r="M687">
        <v>7</v>
      </c>
      <c r="Y687" s="1">
        <f t="shared" si="50"/>
        <v>1831.212</v>
      </c>
      <c r="Z687" s="2">
        <f t="shared" si="51"/>
        <v>54608.6</v>
      </c>
      <c r="AA687" s="2">
        <f t="shared" si="52"/>
        <v>54608.64170833306</v>
      </c>
      <c r="AB687" s="1">
        <f t="shared" si="53"/>
        <v>6.4910518746145465E-2</v>
      </c>
      <c r="AC687" s="1" t="b">
        <f t="shared" si="54"/>
        <v>1</v>
      </c>
    </row>
    <row r="688" spans="1:29" x14ac:dyDescent="0.25">
      <c r="A688" s="1">
        <v>1830.8720000000001</v>
      </c>
      <c r="B688">
        <v>50</v>
      </c>
      <c r="D688" s="2">
        <v>54618.8</v>
      </c>
      <c r="E688">
        <v>23844</v>
      </c>
      <c r="F688" t="s">
        <v>15</v>
      </c>
      <c r="G688" t="s">
        <v>16</v>
      </c>
      <c r="H688">
        <v>78463</v>
      </c>
      <c r="I688" t="s">
        <v>17</v>
      </c>
      <c r="J688" t="s">
        <v>18</v>
      </c>
      <c r="K688">
        <v>23844.58</v>
      </c>
      <c r="L688">
        <v>78463.600000000006</v>
      </c>
      <c r="M688">
        <v>7</v>
      </c>
      <c r="Y688" s="1">
        <f t="shared" si="50"/>
        <v>1830.8720000000001</v>
      </c>
      <c r="Z688" s="2">
        <f t="shared" si="51"/>
        <v>54618.8</v>
      </c>
      <c r="AA688" s="2">
        <f t="shared" si="52"/>
        <v>54618.782743960255</v>
      </c>
      <c r="AB688" s="1">
        <f t="shared" si="53"/>
        <v>6.4916057142159658E-2</v>
      </c>
      <c r="AC688" s="1" t="b">
        <f t="shared" si="54"/>
        <v>1</v>
      </c>
    </row>
    <row r="689" spans="1:29" x14ac:dyDescent="0.25">
      <c r="A689" s="1">
        <v>1830.7270000000001</v>
      </c>
      <c r="B689">
        <v>1</v>
      </c>
      <c r="D689" s="2">
        <v>54623.1</v>
      </c>
      <c r="E689">
        <v>17113</v>
      </c>
      <c r="F689" t="s">
        <v>15</v>
      </c>
      <c r="G689" t="s">
        <v>50</v>
      </c>
      <c r="H689">
        <v>71736</v>
      </c>
      <c r="I689" t="s">
        <v>17</v>
      </c>
      <c r="J689" t="s">
        <v>23</v>
      </c>
      <c r="K689">
        <v>17113.189999999999</v>
      </c>
      <c r="L689">
        <v>71736.45</v>
      </c>
      <c r="M689">
        <v>7</v>
      </c>
      <c r="Y689" s="1">
        <f t="shared" si="50"/>
        <v>1830.7270000000001</v>
      </c>
      <c r="Z689" s="2">
        <f t="shared" si="51"/>
        <v>54623.1</v>
      </c>
      <c r="AA689" s="2">
        <f t="shared" si="52"/>
        <v>54623.108743138655</v>
      </c>
      <c r="AB689" s="1">
        <f t="shared" si="53"/>
        <v>6.4918420043823755E-2</v>
      </c>
      <c r="AC689" s="1" t="b">
        <f t="shared" si="54"/>
        <v>1</v>
      </c>
    </row>
    <row r="690" spans="1:29" x14ac:dyDescent="0.25">
      <c r="A690" s="1">
        <v>1830.5930000000001</v>
      </c>
      <c r="B690">
        <v>100</v>
      </c>
      <c r="C690" t="s">
        <v>123</v>
      </c>
      <c r="D690" s="2">
        <v>54627.1</v>
      </c>
      <c r="M690">
        <v>7</v>
      </c>
      <c r="Y690" s="1">
        <f t="shared" si="50"/>
        <v>1830.5930000000001</v>
      </c>
      <c r="Z690" s="2">
        <f t="shared" si="51"/>
        <v>54627.1</v>
      </c>
      <c r="AA690" s="2">
        <f t="shared" si="52"/>
        <v>54627.10717237529</v>
      </c>
      <c r="AB690" s="1">
        <f t="shared" si="53"/>
        <v>6.4920604190110878E-2</v>
      </c>
      <c r="AC690" s="1" t="b">
        <f t="shared" si="54"/>
        <v>1</v>
      </c>
    </row>
    <row r="691" spans="1:29" x14ac:dyDescent="0.25">
      <c r="A691" s="1">
        <v>1830.3109999999999</v>
      </c>
      <c r="B691">
        <v>20</v>
      </c>
      <c r="D691" s="2">
        <v>54635.5</v>
      </c>
      <c r="E691">
        <v>15045</v>
      </c>
      <c r="F691" t="s">
        <v>15</v>
      </c>
      <c r="G691" t="s">
        <v>28</v>
      </c>
      <c r="H691">
        <v>69681</v>
      </c>
      <c r="I691" t="s">
        <v>17</v>
      </c>
      <c r="J691" t="s">
        <v>28</v>
      </c>
      <c r="K691">
        <v>15045.8</v>
      </c>
      <c r="L691">
        <v>69681.600000000006</v>
      </c>
      <c r="M691">
        <v>7</v>
      </c>
      <c r="N691" t="s">
        <v>1078</v>
      </c>
      <c r="O691" t="s">
        <v>1090</v>
      </c>
      <c r="Y691" s="1">
        <f t="shared" si="50"/>
        <v>1830.3109999999999</v>
      </c>
      <c r="Z691" s="2">
        <f t="shared" si="51"/>
        <v>54635.5</v>
      </c>
      <c r="AA691" s="2">
        <f t="shared" si="52"/>
        <v>54635.523689689893</v>
      </c>
      <c r="AB691" s="1">
        <f t="shared" si="53"/>
        <v>6.4925202244233329E-2</v>
      </c>
      <c r="AC691" s="1" t="b">
        <f t="shared" si="54"/>
        <v>1</v>
      </c>
    </row>
    <row r="692" spans="1:29" x14ac:dyDescent="0.25">
      <c r="A692" s="1">
        <v>1829.742</v>
      </c>
      <c r="B692">
        <v>10</v>
      </c>
      <c r="C692" t="s">
        <v>123</v>
      </c>
      <c r="D692" s="2">
        <v>54652.5</v>
      </c>
      <c r="M692">
        <v>7</v>
      </c>
      <c r="Y692" s="1">
        <f t="shared" si="50"/>
        <v>1829.742</v>
      </c>
      <c r="Z692" s="2">
        <f t="shared" si="51"/>
        <v>54652.5</v>
      </c>
      <c r="AA692" s="2">
        <f t="shared" si="52"/>
        <v>54652.513851679636</v>
      </c>
      <c r="AB692" s="1">
        <f t="shared" si="53"/>
        <v>6.4934486351540172E-2</v>
      </c>
      <c r="AC692" s="1" t="b">
        <f t="shared" si="54"/>
        <v>1</v>
      </c>
    </row>
    <row r="693" spans="1:29" x14ac:dyDescent="0.25">
      <c r="A693" s="1">
        <v>1829.3130000000001</v>
      </c>
      <c r="B693">
        <v>100</v>
      </c>
      <c r="C693" t="s">
        <v>123</v>
      </c>
      <c r="D693" s="2">
        <v>54665.3</v>
      </c>
      <c r="M693">
        <v>7</v>
      </c>
      <c r="Y693" s="1">
        <f t="shared" si="50"/>
        <v>1829.3130000000001</v>
      </c>
      <c r="Z693" s="2">
        <f t="shared" si="51"/>
        <v>54665.3</v>
      </c>
      <c r="AA693" s="2">
        <f t="shared" si="52"/>
        <v>54665.330645985676</v>
      </c>
      <c r="AB693" s="1">
        <f t="shared" si="53"/>
        <v>6.4941491873174703E-2</v>
      </c>
      <c r="AC693" s="1" t="b">
        <f t="shared" si="54"/>
        <v>1</v>
      </c>
    </row>
    <row r="694" spans="1:29" x14ac:dyDescent="0.25">
      <c r="A694" s="1">
        <v>1828.8489999999999</v>
      </c>
      <c r="B694">
        <v>5</v>
      </c>
      <c r="C694" t="s">
        <v>124</v>
      </c>
      <c r="D694" s="2">
        <v>54679.199999999997</v>
      </c>
      <c r="M694">
        <v>7</v>
      </c>
      <c r="Y694" s="1">
        <f t="shared" si="50"/>
        <v>1828.8489999999999</v>
      </c>
      <c r="Z694" s="2">
        <f t="shared" si="51"/>
        <v>54679.199999999997</v>
      </c>
      <c r="AA694" s="2">
        <f t="shared" si="52"/>
        <v>54679.199868332485</v>
      </c>
      <c r="AB694" s="1">
        <f t="shared" si="53"/>
        <v>6.4949074491205266E-2</v>
      </c>
      <c r="AC694" s="1" t="b">
        <f t="shared" si="54"/>
        <v>1</v>
      </c>
    </row>
    <row r="695" spans="1:29" x14ac:dyDescent="0.25">
      <c r="A695" s="1">
        <v>1828.5889999999999</v>
      </c>
      <c r="B695">
        <v>1</v>
      </c>
      <c r="D695" s="2">
        <v>54687</v>
      </c>
      <c r="M695">
        <v>7</v>
      </c>
      <c r="Y695" s="1">
        <f t="shared" si="50"/>
        <v>1828.5889999999999</v>
      </c>
      <c r="Z695" s="2">
        <f t="shared" si="51"/>
        <v>54687</v>
      </c>
      <c r="AA695" s="2">
        <f t="shared" si="52"/>
        <v>54686.974492354486</v>
      </c>
      <c r="AB695" s="1">
        <f t="shared" si="53"/>
        <v>6.4953325895637154E-2</v>
      </c>
      <c r="AC695" s="1" t="b">
        <f t="shared" si="54"/>
        <v>1</v>
      </c>
    </row>
    <row r="696" spans="1:29" x14ac:dyDescent="0.25">
      <c r="A696" s="1">
        <v>1828.1959999999999</v>
      </c>
      <c r="B696">
        <v>2</v>
      </c>
      <c r="D696" s="2">
        <v>54698.7</v>
      </c>
      <c r="E696">
        <v>78694</v>
      </c>
      <c r="F696" t="s">
        <v>17</v>
      </c>
      <c r="G696" t="s">
        <v>23</v>
      </c>
      <c r="H696">
        <v>133393</v>
      </c>
      <c r="I696" t="s">
        <v>15</v>
      </c>
      <c r="J696" t="s">
        <v>50</v>
      </c>
      <c r="K696">
        <v>78694.570000000007</v>
      </c>
      <c r="L696">
        <v>133393.20000000001</v>
      </c>
      <c r="M696">
        <v>7</v>
      </c>
      <c r="Y696" s="1">
        <f t="shared" si="50"/>
        <v>1828.1959999999999</v>
      </c>
      <c r="Z696" s="2">
        <f t="shared" si="51"/>
        <v>54698.7</v>
      </c>
      <c r="AA696" s="2">
        <f t="shared" si="52"/>
        <v>54698.730333071515</v>
      </c>
      <c r="AB696" s="1">
        <f t="shared" si="53"/>
        <v>6.4959755500250391E-2</v>
      </c>
      <c r="AC696" s="1" t="b">
        <f t="shared" si="54"/>
        <v>1</v>
      </c>
    </row>
    <row r="697" spans="1:29" x14ac:dyDescent="0.25">
      <c r="A697" s="1">
        <v>1828.0450000000001</v>
      </c>
      <c r="B697">
        <v>2</v>
      </c>
      <c r="D697" s="2">
        <v>54703.199999999997</v>
      </c>
      <c r="M697">
        <v>7</v>
      </c>
      <c r="Y697" s="1">
        <f t="shared" si="50"/>
        <v>1828.0450000000001</v>
      </c>
      <c r="Z697" s="2">
        <f t="shared" si="51"/>
        <v>54703.199999999997</v>
      </c>
      <c r="AA697" s="2">
        <f t="shared" si="52"/>
        <v>54703.24855241528</v>
      </c>
      <c r="AB697" s="1">
        <f t="shared" si="53"/>
        <v>6.4962227010936624E-2</v>
      </c>
      <c r="AC697" s="1" t="b">
        <f t="shared" si="54"/>
        <v>1</v>
      </c>
    </row>
    <row r="698" spans="1:29" x14ac:dyDescent="0.25">
      <c r="A698" s="1">
        <v>1827.758</v>
      </c>
      <c r="B698">
        <v>4</v>
      </c>
      <c r="D698" s="2">
        <v>54711.8</v>
      </c>
      <c r="M698">
        <v>7</v>
      </c>
      <c r="Y698" s="1">
        <f t="shared" si="50"/>
        <v>1827.758</v>
      </c>
      <c r="Z698" s="2">
        <f t="shared" si="51"/>
        <v>54711.8</v>
      </c>
      <c r="AA698" s="2">
        <f t="shared" si="52"/>
        <v>54711.838219282858</v>
      </c>
      <c r="AB698" s="1">
        <f t="shared" si="53"/>
        <v>6.4966926206664902E-2</v>
      </c>
      <c r="AC698" s="1" t="b">
        <f t="shared" si="54"/>
        <v>1</v>
      </c>
    </row>
    <row r="699" spans="1:29" x14ac:dyDescent="0.25">
      <c r="A699" s="1">
        <v>1826.9659999999999</v>
      </c>
      <c r="B699">
        <v>10</v>
      </c>
      <c r="D699" s="2">
        <v>54735.6</v>
      </c>
      <c r="M699">
        <v>7</v>
      </c>
      <c r="Y699" s="1">
        <f t="shared" si="50"/>
        <v>1826.9659999999999</v>
      </c>
      <c r="Z699" s="2">
        <f t="shared" si="51"/>
        <v>54735.6</v>
      </c>
      <c r="AA699" s="2">
        <f t="shared" si="52"/>
        <v>54735.556107776501</v>
      </c>
      <c r="AB699" s="1">
        <f t="shared" si="53"/>
        <v>6.4979905512137753E-2</v>
      </c>
      <c r="AC699" s="1" t="b">
        <f t="shared" si="54"/>
        <v>1</v>
      </c>
    </row>
    <row r="700" spans="1:29" x14ac:dyDescent="0.25">
      <c r="A700" s="1">
        <v>1825.989</v>
      </c>
      <c r="B700">
        <v>2</v>
      </c>
      <c r="D700" s="2">
        <v>54764.800000000003</v>
      </c>
      <c r="M700">
        <v>7</v>
      </c>
      <c r="Y700" s="1">
        <f t="shared" si="50"/>
        <v>1825.989</v>
      </c>
      <c r="Z700" s="2">
        <f t="shared" si="51"/>
        <v>54764.800000000003</v>
      </c>
      <c r="AA700" s="2">
        <f t="shared" si="52"/>
        <v>54764.842504527682</v>
      </c>
      <c r="AB700" s="1">
        <f t="shared" si="53"/>
        <v>6.4995939872728614E-2</v>
      </c>
      <c r="AC700" s="1" t="b">
        <f t="shared" si="54"/>
        <v>1</v>
      </c>
    </row>
    <row r="701" spans="1:29" x14ac:dyDescent="0.25">
      <c r="A701" s="1" t="s">
        <v>227</v>
      </c>
      <c r="B701">
        <v>1</v>
      </c>
      <c r="D701" s="2">
        <v>54770.8</v>
      </c>
      <c r="M701">
        <v>8</v>
      </c>
      <c r="Y701" s="1">
        <f t="shared" si="50"/>
        <v>1825.7919999999999</v>
      </c>
      <c r="Z701" s="2">
        <f t="shared" si="51"/>
        <v>54770.8</v>
      </c>
      <c r="AA701" s="2">
        <f t="shared" si="52"/>
        <v>54770.751542344369</v>
      </c>
      <c r="AB701" s="1">
        <f t="shared" si="53"/>
        <v>6.4999176122566088E-2</v>
      </c>
      <c r="AC701" s="1" t="b">
        <f t="shared" si="54"/>
        <v>1</v>
      </c>
    </row>
    <row r="702" spans="1:29" x14ac:dyDescent="0.25">
      <c r="A702" s="1" t="s">
        <v>228</v>
      </c>
      <c r="B702">
        <v>2</v>
      </c>
      <c r="D702" s="2">
        <v>54788.1</v>
      </c>
      <c r="E702">
        <v>18241</v>
      </c>
      <c r="F702" t="s">
        <v>15</v>
      </c>
      <c r="G702" t="s">
        <v>23</v>
      </c>
      <c r="H702">
        <v>73029</v>
      </c>
      <c r="I702" t="s">
        <v>17</v>
      </c>
      <c r="J702" t="s">
        <v>16</v>
      </c>
      <c r="K702">
        <v>18241.54</v>
      </c>
      <c r="L702">
        <v>73029.899999999994</v>
      </c>
      <c r="M702">
        <v>8</v>
      </c>
      <c r="Y702" s="1">
        <f t="shared" si="50"/>
        <v>1825.2149999999999</v>
      </c>
      <c r="Z702" s="2">
        <f t="shared" si="51"/>
        <v>54788.1</v>
      </c>
      <c r="AA702" s="2">
        <f t="shared" si="52"/>
        <v>54788.06606345006</v>
      </c>
      <c r="AB702" s="1">
        <f t="shared" si="53"/>
        <v>6.5008660914864846E-2</v>
      </c>
      <c r="AC702" s="1" t="b">
        <f t="shared" si="54"/>
        <v>1</v>
      </c>
    </row>
    <row r="703" spans="1:29" x14ac:dyDescent="0.25">
      <c r="A703" s="1" t="s">
        <v>229</v>
      </c>
      <c r="B703">
        <v>3</v>
      </c>
      <c r="D703" s="2">
        <v>54825.8</v>
      </c>
      <c r="M703">
        <v>8</v>
      </c>
      <c r="Y703" s="1">
        <f t="shared" si="50"/>
        <v>1823.96</v>
      </c>
      <c r="Z703" s="2">
        <f t="shared" si="51"/>
        <v>54825.8</v>
      </c>
      <c r="AA703" s="2">
        <f t="shared" si="52"/>
        <v>54825.76372288866</v>
      </c>
      <c r="AB703" s="1">
        <f t="shared" si="53"/>
        <v>6.5029321838990073E-2</v>
      </c>
      <c r="AC703" s="1" t="b">
        <f t="shared" si="54"/>
        <v>1</v>
      </c>
    </row>
    <row r="704" spans="1:29" x14ac:dyDescent="0.25">
      <c r="A704" s="1" t="s">
        <v>230</v>
      </c>
      <c r="B704">
        <v>15</v>
      </c>
      <c r="D704" s="2">
        <v>54828.9</v>
      </c>
      <c r="E704">
        <v>35291</v>
      </c>
      <c r="F704" t="s">
        <v>15</v>
      </c>
      <c r="G704" t="s">
        <v>16</v>
      </c>
      <c r="H704">
        <v>90119</v>
      </c>
      <c r="I704" t="s">
        <v>17</v>
      </c>
      <c r="J704" t="s">
        <v>23</v>
      </c>
      <c r="K704">
        <v>35291</v>
      </c>
      <c r="L704">
        <v>90119.8</v>
      </c>
      <c r="M704">
        <v>8</v>
      </c>
      <c r="Y704" s="1">
        <f t="shared" si="50"/>
        <v>1823.855</v>
      </c>
      <c r="Z704" s="2">
        <f t="shared" si="51"/>
        <v>54828.9</v>
      </c>
      <c r="AA704" s="2">
        <f t="shared" si="52"/>
        <v>54828.920062175996</v>
      </c>
      <c r="AB704" s="1">
        <f t="shared" si="53"/>
        <v>6.5031052375922438E-2</v>
      </c>
      <c r="AC704" s="1" t="b">
        <f t="shared" si="54"/>
        <v>1</v>
      </c>
    </row>
    <row r="705" spans="1:29" x14ac:dyDescent="0.25">
      <c r="A705" s="1" t="s">
        <v>231</v>
      </c>
      <c r="B705">
        <v>60</v>
      </c>
      <c r="D705" s="2">
        <v>54833.5</v>
      </c>
      <c r="M705">
        <v>8</v>
      </c>
      <c r="Y705" s="1">
        <f t="shared" si="50"/>
        <v>1823.703</v>
      </c>
      <c r="Z705" s="2">
        <f t="shared" si="51"/>
        <v>54833.5</v>
      </c>
      <c r="AA705" s="2">
        <f t="shared" si="52"/>
        <v>54833.489882946953</v>
      </c>
      <c r="AB705" s="1">
        <f t="shared" si="53"/>
        <v>6.5033558063716232E-2</v>
      </c>
      <c r="AC705" s="1" t="b">
        <f t="shared" si="54"/>
        <v>1</v>
      </c>
    </row>
    <row r="706" spans="1:29" x14ac:dyDescent="0.25">
      <c r="A706" s="1" t="s">
        <v>232</v>
      </c>
      <c r="B706">
        <v>30</v>
      </c>
      <c r="D706" s="2">
        <v>54837.8</v>
      </c>
      <c r="M706">
        <v>8</v>
      </c>
      <c r="Y706" s="1">
        <f t="shared" si="50"/>
        <v>1823.5609999999999</v>
      </c>
      <c r="Z706" s="2">
        <f t="shared" si="51"/>
        <v>54837.8</v>
      </c>
      <c r="AA706" s="2">
        <f t="shared" si="52"/>
        <v>54837.759745903757</v>
      </c>
      <c r="AB706" s="1">
        <f t="shared" si="53"/>
        <v>6.5035899469747319E-2</v>
      </c>
      <c r="AC706" s="1" t="b">
        <f t="shared" si="54"/>
        <v>1</v>
      </c>
    </row>
    <row r="707" spans="1:29" x14ac:dyDescent="0.25">
      <c r="A707" s="1" t="s">
        <v>233</v>
      </c>
      <c r="B707">
        <v>2</v>
      </c>
      <c r="D707" s="2">
        <v>54865.5</v>
      </c>
      <c r="M707">
        <v>8</v>
      </c>
      <c r="Y707" s="1">
        <f t="shared" ref="Y707:Y770" si="55">ROUND($A707,3)+0</f>
        <v>1822.64</v>
      </c>
      <c r="Z707" s="2">
        <f t="shared" ref="Z707:Z770" si="56">ROUND($D707,1)+0</f>
        <v>54865.5</v>
      </c>
      <c r="AA707" s="2">
        <f t="shared" ref="AA707:AA770" si="57">100000000/Y707</f>
        <v>54865.469867883949</v>
      </c>
      <c r="AB707" s="1">
        <f t="shared" ref="AB707:AB770" si="58">0.0005/$Y707*AA707+0.05</f>
        <v>6.5051098919118408E-2</v>
      </c>
      <c r="AC707" s="1" t="b">
        <f t="shared" ref="AC707:AC770" si="59">ABS(Z707-AA707)&lt;AB707</f>
        <v>1</v>
      </c>
    </row>
    <row r="708" spans="1:29" x14ac:dyDescent="0.25">
      <c r="A708" s="1" t="s">
        <v>234</v>
      </c>
      <c r="B708">
        <v>20</v>
      </c>
      <c r="D708" s="2">
        <v>54869.3</v>
      </c>
      <c r="E708">
        <v>16516</v>
      </c>
      <c r="F708" t="s">
        <v>15</v>
      </c>
      <c r="G708" t="s">
        <v>18</v>
      </c>
      <c r="H708">
        <v>71385</v>
      </c>
      <c r="I708" t="s">
        <v>17</v>
      </c>
      <c r="J708" t="s">
        <v>18</v>
      </c>
      <c r="K708">
        <v>16516.150000000001</v>
      </c>
      <c r="L708">
        <v>71385.600000000006</v>
      </c>
      <c r="M708">
        <v>8</v>
      </c>
      <c r="Y708" s="1">
        <f t="shared" si="55"/>
        <v>1822.5139999999999</v>
      </c>
      <c r="Z708" s="2">
        <f t="shared" si="56"/>
        <v>54869.3</v>
      </c>
      <c r="AA708" s="2">
        <f t="shared" si="57"/>
        <v>54869.263007033143</v>
      </c>
      <c r="AB708" s="1">
        <f t="shared" si="58"/>
        <v>6.5053180114674883E-2</v>
      </c>
      <c r="AC708" s="1" t="b">
        <f t="shared" si="59"/>
        <v>1</v>
      </c>
    </row>
    <row r="709" spans="1:29" x14ac:dyDescent="0.25">
      <c r="A709" s="1" t="s">
        <v>235</v>
      </c>
      <c r="B709">
        <v>4</v>
      </c>
      <c r="D709" s="2">
        <v>54891.3</v>
      </c>
      <c r="M709">
        <v>8</v>
      </c>
      <c r="Y709" s="1">
        <f t="shared" si="55"/>
        <v>1821.7819999999999</v>
      </c>
      <c r="Z709" s="2">
        <f t="shared" si="56"/>
        <v>54891.3</v>
      </c>
      <c r="AA709" s="2">
        <f t="shared" si="57"/>
        <v>54891.30971762813</v>
      </c>
      <c r="AB709" s="1">
        <f t="shared" si="58"/>
        <v>6.5065279412582888E-2</v>
      </c>
      <c r="AC709" s="1" t="b">
        <f t="shared" si="59"/>
        <v>1</v>
      </c>
    </row>
    <row r="710" spans="1:29" x14ac:dyDescent="0.25">
      <c r="A710" s="1" t="s">
        <v>236</v>
      </c>
      <c r="B710">
        <v>8</v>
      </c>
      <c r="D710" s="2">
        <v>54901.3</v>
      </c>
      <c r="M710">
        <v>8</v>
      </c>
      <c r="Y710" s="1">
        <f t="shared" si="55"/>
        <v>1821.451</v>
      </c>
      <c r="Z710" s="2">
        <f t="shared" si="56"/>
        <v>54901.3</v>
      </c>
      <c r="AA710" s="2">
        <f t="shared" si="57"/>
        <v>54901.284744964316</v>
      </c>
      <c r="AB710" s="1">
        <f t="shared" si="58"/>
        <v>6.5070755333238264E-2</v>
      </c>
      <c r="AC710" s="1" t="b">
        <f t="shared" si="59"/>
        <v>1</v>
      </c>
    </row>
    <row r="711" spans="1:29" x14ac:dyDescent="0.25">
      <c r="A711" s="1" t="s">
        <v>237</v>
      </c>
      <c r="B711">
        <v>1</v>
      </c>
      <c r="D711" s="2">
        <v>54904.800000000003</v>
      </c>
      <c r="M711">
        <v>8</v>
      </c>
      <c r="Y711" s="1">
        <f t="shared" si="55"/>
        <v>1821.3330000000001</v>
      </c>
      <c r="Z711" s="2">
        <f t="shared" si="56"/>
        <v>54904.800000000003</v>
      </c>
      <c r="AA711" s="2">
        <f t="shared" si="57"/>
        <v>54904.841673653304</v>
      </c>
      <c r="AB711" s="1">
        <f t="shared" si="58"/>
        <v>6.5072708196044687E-2</v>
      </c>
      <c r="AC711" s="1" t="b">
        <f t="shared" si="59"/>
        <v>1</v>
      </c>
    </row>
    <row r="712" spans="1:29" x14ac:dyDescent="0.25">
      <c r="A712" s="1" t="s">
        <v>238</v>
      </c>
      <c r="B712">
        <v>50</v>
      </c>
      <c r="D712" s="2">
        <v>54919.1</v>
      </c>
      <c r="M712">
        <v>8</v>
      </c>
      <c r="Y712" s="1">
        <f t="shared" si="55"/>
        <v>1820.86</v>
      </c>
      <c r="Z712" s="2">
        <f t="shared" si="56"/>
        <v>54919.1</v>
      </c>
      <c r="AA712" s="2">
        <f t="shared" si="57"/>
        <v>54919.104159572955</v>
      </c>
      <c r="AB712" s="1">
        <f t="shared" si="58"/>
        <v>6.5080540008450122E-2</v>
      </c>
      <c r="AC712" s="1" t="b">
        <f t="shared" si="59"/>
        <v>1</v>
      </c>
    </row>
    <row r="713" spans="1:29" x14ac:dyDescent="0.25">
      <c r="A713" s="1" t="s">
        <v>239</v>
      </c>
      <c r="B713">
        <v>4</v>
      </c>
      <c r="D713" s="2">
        <v>54936.1</v>
      </c>
      <c r="M713">
        <v>8</v>
      </c>
      <c r="Y713" s="1">
        <f t="shared" si="55"/>
        <v>1820.296</v>
      </c>
      <c r="Z713" s="2">
        <f t="shared" si="56"/>
        <v>54936.1</v>
      </c>
      <c r="AA713" s="2">
        <f t="shared" si="57"/>
        <v>54936.120279339186</v>
      </c>
      <c r="AB713" s="1">
        <f t="shared" si="58"/>
        <v>6.5089886556730106E-2</v>
      </c>
      <c r="AC713" s="1" t="b">
        <f t="shared" si="59"/>
        <v>1</v>
      </c>
    </row>
    <row r="714" spans="1:29" x14ac:dyDescent="0.25">
      <c r="A714" s="1" t="s">
        <v>240</v>
      </c>
      <c r="B714">
        <v>30</v>
      </c>
      <c r="D714" s="2">
        <v>54957.3</v>
      </c>
      <c r="E714">
        <v>26446</v>
      </c>
      <c r="F714" t="s">
        <v>15</v>
      </c>
      <c r="G714" t="s">
        <v>18</v>
      </c>
      <c r="H714">
        <v>81404</v>
      </c>
      <c r="I714" t="s">
        <v>17</v>
      </c>
      <c r="J714" t="s">
        <v>28</v>
      </c>
      <c r="K714">
        <v>26446.97</v>
      </c>
      <c r="L714">
        <v>81404.52</v>
      </c>
      <c r="M714">
        <v>8</v>
      </c>
      <c r="Y714" s="1">
        <f t="shared" si="55"/>
        <v>1819.595</v>
      </c>
      <c r="Z714" s="2">
        <f t="shared" si="56"/>
        <v>54957.3</v>
      </c>
      <c r="AA714" s="2">
        <f t="shared" si="57"/>
        <v>54957.284450660722</v>
      </c>
      <c r="AB714" s="1">
        <f t="shared" si="58"/>
        <v>6.5101515570954172E-2</v>
      </c>
      <c r="AC714" s="1" t="b">
        <f t="shared" si="59"/>
        <v>1</v>
      </c>
    </row>
    <row r="715" spans="1:29" x14ac:dyDescent="0.25">
      <c r="A715" s="1" t="s">
        <v>241</v>
      </c>
      <c r="B715">
        <v>15</v>
      </c>
      <c r="D715" s="2">
        <v>54966.400000000001</v>
      </c>
      <c r="E715">
        <v>18063</v>
      </c>
      <c r="F715" t="s">
        <v>15</v>
      </c>
      <c r="G715" t="s">
        <v>16</v>
      </c>
      <c r="H715">
        <v>73029</v>
      </c>
      <c r="I715" t="s">
        <v>17</v>
      </c>
      <c r="J715" t="s">
        <v>16</v>
      </c>
      <c r="K715">
        <v>18063.36</v>
      </c>
      <c r="L715">
        <v>73029.899999999994</v>
      </c>
      <c r="M715">
        <v>8</v>
      </c>
      <c r="Y715" s="1">
        <f t="shared" si="55"/>
        <v>1819.2919999999999</v>
      </c>
      <c r="Z715" s="2">
        <f t="shared" si="56"/>
        <v>54966.400000000001</v>
      </c>
      <c r="AA715" s="2">
        <f t="shared" si="57"/>
        <v>54966.437493266611</v>
      </c>
      <c r="AB715" s="1">
        <f t="shared" si="58"/>
        <v>6.5106546253505926E-2</v>
      </c>
      <c r="AC715" s="1" t="b">
        <f t="shared" si="59"/>
        <v>1</v>
      </c>
    </row>
    <row r="716" spans="1:29" x14ac:dyDescent="0.25">
      <c r="A716" s="1" t="s">
        <v>242</v>
      </c>
      <c r="B716">
        <v>10</v>
      </c>
      <c r="D716" s="2">
        <v>54967.4</v>
      </c>
      <c r="M716">
        <v>8</v>
      </c>
      <c r="Y716" s="1">
        <f t="shared" si="55"/>
        <v>1819.259</v>
      </c>
      <c r="Z716" s="2">
        <f t="shared" si="56"/>
        <v>54967.4</v>
      </c>
      <c r="AA716" s="2">
        <f t="shared" si="57"/>
        <v>54967.434543404757</v>
      </c>
      <c r="AB716" s="1">
        <f t="shared" si="58"/>
        <v>6.5107094301417437E-2</v>
      </c>
      <c r="AC716" s="1" t="b">
        <f t="shared" si="59"/>
        <v>1</v>
      </c>
    </row>
    <row r="717" spans="1:29" x14ac:dyDescent="0.25">
      <c r="A717" s="1" t="s">
        <v>243</v>
      </c>
      <c r="B717">
        <v>10</v>
      </c>
      <c r="D717" s="2">
        <v>54977.9</v>
      </c>
      <c r="M717">
        <v>8</v>
      </c>
      <c r="Y717" s="1">
        <f t="shared" si="55"/>
        <v>1818.913</v>
      </c>
      <c r="Z717" s="2">
        <f t="shared" si="56"/>
        <v>54977.9</v>
      </c>
      <c r="AA717" s="2">
        <f t="shared" si="57"/>
        <v>54977.890641278609</v>
      </c>
      <c r="AB717" s="1">
        <f t="shared" si="58"/>
        <v>6.511284229682196E-2</v>
      </c>
      <c r="AC717" s="1" t="b">
        <f t="shared" si="59"/>
        <v>1</v>
      </c>
    </row>
    <row r="718" spans="1:29" x14ac:dyDescent="0.25">
      <c r="A718" s="1" t="s">
        <v>244</v>
      </c>
      <c r="B718">
        <v>10</v>
      </c>
      <c r="C718" t="s">
        <v>124</v>
      </c>
      <c r="D718" s="2">
        <v>55004.6</v>
      </c>
      <c r="M718">
        <v>8</v>
      </c>
      <c r="Y718" s="1">
        <f t="shared" si="55"/>
        <v>1818.0309999999999</v>
      </c>
      <c r="Z718" s="2">
        <f t="shared" si="56"/>
        <v>55004.6</v>
      </c>
      <c r="AA718" s="2">
        <f t="shared" si="57"/>
        <v>55004.562628470034</v>
      </c>
      <c r="AB718" s="1">
        <f t="shared" si="58"/>
        <v>6.5127509549746415E-2</v>
      </c>
      <c r="AC718" s="1" t="b">
        <f t="shared" si="59"/>
        <v>1</v>
      </c>
    </row>
    <row r="719" spans="1:29" x14ac:dyDescent="0.25">
      <c r="A719" s="1" t="s">
        <v>245</v>
      </c>
      <c r="B719">
        <v>3</v>
      </c>
      <c r="D719" s="2">
        <v>55023.6</v>
      </c>
      <c r="M719">
        <v>8</v>
      </c>
      <c r="Y719" s="1">
        <f t="shared" si="55"/>
        <v>1817.4010000000001</v>
      </c>
      <c r="Z719" s="2">
        <f t="shared" si="56"/>
        <v>55023.6</v>
      </c>
      <c r="AA719" s="2">
        <f t="shared" si="57"/>
        <v>55023.629897859631</v>
      </c>
      <c r="AB719" s="1">
        <f t="shared" si="58"/>
        <v>6.5137999235683169E-2</v>
      </c>
      <c r="AC719" s="1" t="b">
        <f t="shared" si="59"/>
        <v>1</v>
      </c>
    </row>
    <row r="720" spans="1:29" x14ac:dyDescent="0.25">
      <c r="A720" s="1" t="s">
        <v>246</v>
      </c>
      <c r="B720">
        <v>7</v>
      </c>
      <c r="D720" s="2">
        <v>55025.4</v>
      </c>
      <c r="M720">
        <v>8</v>
      </c>
      <c r="Y720" s="1">
        <f t="shared" si="55"/>
        <v>1817.3440000000001</v>
      </c>
      <c r="Z720" s="2">
        <f t="shared" si="56"/>
        <v>55025.4</v>
      </c>
      <c r="AA720" s="2">
        <f t="shared" si="57"/>
        <v>55025.355683899143</v>
      </c>
      <c r="AB720" s="1">
        <f t="shared" si="58"/>
        <v>6.5138948840698055E-2</v>
      </c>
      <c r="AC720" s="1" t="b">
        <f t="shared" si="59"/>
        <v>1</v>
      </c>
    </row>
    <row r="721" spans="1:29" x14ac:dyDescent="0.25">
      <c r="A721" s="1" t="s">
        <v>247</v>
      </c>
      <c r="B721">
        <v>1</v>
      </c>
      <c r="D721" s="2">
        <v>55035.1</v>
      </c>
      <c r="M721">
        <v>8</v>
      </c>
      <c r="Y721" s="1">
        <f t="shared" si="55"/>
        <v>1817.0229999999999</v>
      </c>
      <c r="Z721" s="2">
        <f t="shared" si="56"/>
        <v>55035.1</v>
      </c>
      <c r="AA721" s="2">
        <f t="shared" si="57"/>
        <v>55035.076606074887</v>
      </c>
      <c r="AB721" s="1">
        <f t="shared" si="58"/>
        <v>6.5144298285182659E-2</v>
      </c>
      <c r="AC721" s="1" t="b">
        <f t="shared" si="59"/>
        <v>1</v>
      </c>
    </row>
    <row r="722" spans="1:29" x14ac:dyDescent="0.25">
      <c r="A722" s="1" t="s">
        <v>248</v>
      </c>
      <c r="B722">
        <v>400</v>
      </c>
      <c r="D722" s="2">
        <v>55046.6</v>
      </c>
      <c r="E722">
        <v>23647</v>
      </c>
      <c r="F722" t="s">
        <v>15</v>
      </c>
      <c r="G722" t="s">
        <v>50</v>
      </c>
      <c r="H722">
        <v>78694</v>
      </c>
      <c r="I722" t="s">
        <v>17</v>
      </c>
      <c r="J722" t="s">
        <v>23</v>
      </c>
      <c r="K722">
        <v>23647.77</v>
      </c>
      <c r="L722">
        <v>78694.570000000007</v>
      </c>
      <c r="M722">
        <v>8</v>
      </c>
      <c r="Y722" s="1">
        <f t="shared" si="55"/>
        <v>1816.643</v>
      </c>
      <c r="Z722" s="2">
        <f t="shared" si="56"/>
        <v>55046.6</v>
      </c>
      <c r="AA722" s="2">
        <f t="shared" si="57"/>
        <v>55046.588680329594</v>
      </c>
      <c r="AB722" s="1">
        <f t="shared" si="58"/>
        <v>6.5150634626706949E-2</v>
      </c>
      <c r="AC722" s="1" t="b">
        <f t="shared" si="59"/>
        <v>1</v>
      </c>
    </row>
    <row r="723" spans="1:29" x14ac:dyDescent="0.25">
      <c r="A723" s="1" t="s">
        <v>249</v>
      </c>
      <c r="B723">
        <v>2</v>
      </c>
      <c r="D723" s="2">
        <v>55051.4</v>
      </c>
      <c r="M723">
        <v>8</v>
      </c>
      <c r="Y723" s="1">
        <f t="shared" si="55"/>
        <v>1816.4839999999999</v>
      </c>
      <c r="Z723" s="2">
        <f t="shared" si="56"/>
        <v>55051.4</v>
      </c>
      <c r="AA723" s="2">
        <f t="shared" si="57"/>
        <v>55051.407003860208</v>
      </c>
      <c r="AB723" s="1">
        <f t="shared" si="58"/>
        <v>6.5153287065523341E-2</v>
      </c>
      <c r="AC723" s="1" t="b">
        <f t="shared" si="59"/>
        <v>1</v>
      </c>
    </row>
    <row r="724" spans="1:29" x14ac:dyDescent="0.25">
      <c r="A724" s="1" t="s">
        <v>250</v>
      </c>
      <c r="B724">
        <v>30</v>
      </c>
      <c r="D724" s="2">
        <v>55074.5</v>
      </c>
      <c r="M724">
        <v>8</v>
      </c>
      <c r="Y724" s="1">
        <f t="shared" si="55"/>
        <v>1815.721</v>
      </c>
      <c r="Z724" s="2">
        <f t="shared" si="56"/>
        <v>55074.5</v>
      </c>
      <c r="AA724" s="2">
        <f t="shared" si="57"/>
        <v>55074.54063702518</v>
      </c>
      <c r="AB724" s="1">
        <f t="shared" si="58"/>
        <v>6.516602513189669E-2</v>
      </c>
      <c r="AC724" s="1" t="b">
        <f t="shared" si="59"/>
        <v>1</v>
      </c>
    </row>
    <row r="725" spans="1:29" x14ac:dyDescent="0.25">
      <c r="A725" s="1" t="s">
        <v>251</v>
      </c>
      <c r="B725">
        <v>4</v>
      </c>
      <c r="D725" s="2">
        <v>55095.7</v>
      </c>
      <c r="M725">
        <v>8</v>
      </c>
      <c r="Y725" s="1">
        <f t="shared" si="55"/>
        <v>1815.0250000000001</v>
      </c>
      <c r="Z725" s="2">
        <f t="shared" si="56"/>
        <v>55095.7</v>
      </c>
      <c r="AA725" s="2">
        <f t="shared" si="57"/>
        <v>55095.659839396147</v>
      </c>
      <c r="AB725" s="1">
        <f t="shared" si="58"/>
        <v>6.5177658665692251E-2</v>
      </c>
      <c r="AC725" s="1" t="b">
        <f t="shared" si="59"/>
        <v>1</v>
      </c>
    </row>
    <row r="726" spans="1:29" x14ac:dyDescent="0.25">
      <c r="A726" s="1" t="s">
        <v>252</v>
      </c>
      <c r="B726">
        <v>40</v>
      </c>
      <c r="D726" s="2">
        <v>55117.8</v>
      </c>
      <c r="E726">
        <v>14859</v>
      </c>
      <c r="F726" t="s">
        <v>15</v>
      </c>
      <c r="G726" t="s">
        <v>23</v>
      </c>
      <c r="H726">
        <v>69978</v>
      </c>
      <c r="I726" t="s">
        <v>17</v>
      </c>
      <c r="J726" t="s">
        <v>23</v>
      </c>
      <c r="K726">
        <v>14859.96</v>
      </c>
      <c r="L726">
        <v>69978.080000000002</v>
      </c>
      <c r="M726">
        <v>8</v>
      </c>
      <c r="Y726" s="1">
        <f t="shared" si="55"/>
        <v>1814.2950000000001</v>
      </c>
      <c r="Z726" s="2">
        <f t="shared" si="56"/>
        <v>55117.8</v>
      </c>
      <c r="AA726" s="2">
        <f t="shared" si="57"/>
        <v>55117.828137100085</v>
      </c>
      <c r="AB726" s="1">
        <f t="shared" si="58"/>
        <v>6.5189874892754518E-2</v>
      </c>
      <c r="AC726" s="1" t="b">
        <f t="shared" si="59"/>
        <v>1</v>
      </c>
    </row>
    <row r="727" spans="1:29" x14ac:dyDescent="0.25">
      <c r="A727" s="1" t="s">
        <v>253</v>
      </c>
      <c r="B727">
        <v>20</v>
      </c>
      <c r="D727" s="2">
        <v>55176.2</v>
      </c>
      <c r="M727">
        <v>8</v>
      </c>
      <c r="Y727" s="1">
        <f t="shared" si="55"/>
        <v>1812.375</v>
      </c>
      <c r="Z727" s="2">
        <f t="shared" si="56"/>
        <v>55176.2</v>
      </c>
      <c r="AA727" s="2">
        <f t="shared" si="57"/>
        <v>55176.219049589628</v>
      </c>
      <c r="AB727" s="1">
        <f t="shared" si="58"/>
        <v>6.5222075743041494E-2</v>
      </c>
      <c r="AC727" s="1" t="b">
        <f t="shared" si="59"/>
        <v>1</v>
      </c>
    </row>
    <row r="728" spans="1:29" x14ac:dyDescent="0.25">
      <c r="A728" s="1" t="s">
        <v>254</v>
      </c>
      <c r="B728">
        <v>200</v>
      </c>
      <c r="C728" t="s">
        <v>125</v>
      </c>
      <c r="D728" s="2">
        <v>55190.9</v>
      </c>
      <c r="M728">
        <v>8</v>
      </c>
      <c r="Y728" s="1">
        <f t="shared" si="55"/>
        <v>1811.894</v>
      </c>
      <c r="Z728" s="2">
        <f t="shared" si="56"/>
        <v>55190.9</v>
      </c>
      <c r="AA728" s="2">
        <f t="shared" si="57"/>
        <v>55190.866573872423</v>
      </c>
      <c r="AB728" s="1">
        <f t="shared" si="58"/>
        <v>6.5230158765874943E-2</v>
      </c>
      <c r="AC728" s="1" t="b">
        <f t="shared" si="59"/>
        <v>1</v>
      </c>
    </row>
    <row r="729" spans="1:29" x14ac:dyDescent="0.25">
      <c r="A729" s="1" t="s">
        <v>255</v>
      </c>
      <c r="B729">
        <v>50</v>
      </c>
      <c r="D729" s="2">
        <v>55225</v>
      </c>
      <c r="M729">
        <v>8</v>
      </c>
      <c r="Y729" s="1">
        <f t="shared" si="55"/>
        <v>1810.7750000000001</v>
      </c>
      <c r="Z729" s="2">
        <f t="shared" si="56"/>
        <v>55225</v>
      </c>
      <c r="AA729" s="2">
        <f t="shared" si="57"/>
        <v>55224.97273266971</v>
      </c>
      <c r="AB729" s="1">
        <f t="shared" si="58"/>
        <v>6.5248988066620564E-2</v>
      </c>
      <c r="AC729" s="1" t="b">
        <f t="shared" si="59"/>
        <v>1</v>
      </c>
    </row>
    <row r="730" spans="1:29" x14ac:dyDescent="0.25">
      <c r="A730" s="1" t="s">
        <v>256</v>
      </c>
      <c r="B730">
        <v>3</v>
      </c>
      <c r="D730" s="2">
        <v>55230</v>
      </c>
      <c r="M730">
        <v>8</v>
      </c>
      <c r="Y730" s="1">
        <f t="shared" si="55"/>
        <v>1810.6110000000001</v>
      </c>
      <c r="Z730" s="2">
        <f t="shared" si="56"/>
        <v>55230</v>
      </c>
      <c r="AA730" s="2">
        <f t="shared" si="57"/>
        <v>55229.974853792446</v>
      </c>
      <c r="AB730" s="1">
        <f t="shared" si="58"/>
        <v>6.5251750611752729E-2</v>
      </c>
      <c r="AC730" s="1" t="b">
        <f t="shared" si="59"/>
        <v>1</v>
      </c>
    </row>
    <row r="731" spans="1:29" x14ac:dyDescent="0.25">
      <c r="A731" s="1" t="s">
        <v>257</v>
      </c>
      <c r="B731">
        <v>4</v>
      </c>
      <c r="D731" s="2">
        <v>55262.2</v>
      </c>
      <c r="E731">
        <v>23050</v>
      </c>
      <c r="F731" t="s">
        <v>15</v>
      </c>
      <c r="G731" t="s">
        <v>29</v>
      </c>
      <c r="H731">
        <v>78312</v>
      </c>
      <c r="I731" t="s">
        <v>17</v>
      </c>
      <c r="J731" t="s">
        <v>258</v>
      </c>
      <c r="K731">
        <v>23050.61</v>
      </c>
      <c r="L731">
        <v>78312.91</v>
      </c>
      <c r="M731">
        <v>8</v>
      </c>
      <c r="Y731" s="1">
        <f t="shared" si="55"/>
        <v>1809.556</v>
      </c>
      <c r="Z731" s="2">
        <f t="shared" si="56"/>
        <v>55262.2</v>
      </c>
      <c r="AA731" s="2">
        <f t="shared" si="57"/>
        <v>55262.174809732329</v>
      </c>
      <c r="AB731" s="1">
        <f t="shared" si="58"/>
        <v>6.5269539823507083E-2</v>
      </c>
      <c r="AC731" s="1" t="b">
        <f t="shared" si="59"/>
        <v>1</v>
      </c>
    </row>
    <row r="732" spans="1:29" x14ac:dyDescent="0.25">
      <c r="A732" s="1" t="s">
        <v>259</v>
      </c>
      <c r="B732">
        <v>15</v>
      </c>
      <c r="D732" s="2">
        <v>55293.9</v>
      </c>
      <c r="E732">
        <v>22527</v>
      </c>
      <c r="F732" t="s">
        <v>15</v>
      </c>
      <c r="G732" t="s">
        <v>18</v>
      </c>
      <c r="H732">
        <v>77822</v>
      </c>
      <c r="I732" t="s">
        <v>17</v>
      </c>
      <c r="J732" t="s">
        <v>28</v>
      </c>
      <c r="K732">
        <v>22527.7</v>
      </c>
      <c r="L732">
        <v>77822</v>
      </c>
      <c r="M732">
        <v>8</v>
      </c>
      <c r="Y732" s="1">
        <f t="shared" si="55"/>
        <v>1808.5160000000001</v>
      </c>
      <c r="Z732" s="2">
        <f t="shared" si="56"/>
        <v>55293.9</v>
      </c>
      <c r="AA732" s="2">
        <f t="shared" si="57"/>
        <v>55293.953716748976</v>
      </c>
      <c r="AB732" s="1">
        <f t="shared" si="58"/>
        <v>6.5287106588149901E-2</v>
      </c>
      <c r="AC732" s="1" t="b">
        <f t="shared" si="59"/>
        <v>1</v>
      </c>
    </row>
    <row r="733" spans="1:29" x14ac:dyDescent="0.25">
      <c r="A733" s="1" t="s">
        <v>260</v>
      </c>
      <c r="B733">
        <v>30</v>
      </c>
      <c r="D733" s="2">
        <v>55306.5</v>
      </c>
      <c r="M733">
        <v>8</v>
      </c>
      <c r="Y733" s="1">
        <f t="shared" si="55"/>
        <v>1808.106</v>
      </c>
      <c r="Z733" s="2">
        <f t="shared" si="56"/>
        <v>55306.5</v>
      </c>
      <c r="AA733" s="2">
        <f t="shared" si="57"/>
        <v>55306.491986642373</v>
      </c>
      <c r="AB733" s="1">
        <f t="shared" si="58"/>
        <v>6.5294040279342686E-2</v>
      </c>
      <c r="AC733" s="1" t="b">
        <f t="shared" si="59"/>
        <v>1</v>
      </c>
    </row>
    <row r="734" spans="1:29" x14ac:dyDescent="0.25">
      <c r="A734" s="1" t="s">
        <v>261</v>
      </c>
      <c r="B734">
        <v>4</v>
      </c>
      <c r="D734" s="2">
        <v>55312.4</v>
      </c>
      <c r="M734">
        <v>8</v>
      </c>
      <c r="Y734" s="1">
        <f t="shared" si="55"/>
        <v>1807.913</v>
      </c>
      <c r="Z734" s="2">
        <f t="shared" si="56"/>
        <v>55312.4</v>
      </c>
      <c r="AA734" s="2">
        <f t="shared" si="57"/>
        <v>55312.396116406046</v>
      </c>
      <c r="AB734" s="1">
        <f t="shared" si="58"/>
        <v>6.5297305820691057E-2</v>
      </c>
      <c r="AC734" s="1" t="b">
        <f t="shared" si="59"/>
        <v>1</v>
      </c>
    </row>
    <row r="735" spans="1:29" x14ac:dyDescent="0.25">
      <c r="A735" s="1" t="s">
        <v>262</v>
      </c>
      <c r="B735">
        <v>1</v>
      </c>
      <c r="D735" s="2">
        <v>55316.6</v>
      </c>
      <c r="M735">
        <v>8</v>
      </c>
      <c r="Y735" s="1">
        <f t="shared" si="55"/>
        <v>1807.7760000000001</v>
      </c>
      <c r="Z735" s="2">
        <f t="shared" si="56"/>
        <v>55316.6</v>
      </c>
      <c r="AA735" s="2">
        <f t="shared" si="57"/>
        <v>55316.5878958455</v>
      </c>
      <c r="AB735" s="1">
        <f t="shared" si="58"/>
        <v>6.5299624482194008E-2</v>
      </c>
      <c r="AC735" s="1" t="b">
        <f t="shared" si="59"/>
        <v>1</v>
      </c>
    </row>
    <row r="736" spans="1:29" x14ac:dyDescent="0.25">
      <c r="A736" s="1" t="s">
        <v>263</v>
      </c>
      <c r="B736">
        <v>5</v>
      </c>
      <c r="D736" s="2">
        <v>55386.9</v>
      </c>
      <c r="M736">
        <v>8</v>
      </c>
      <c r="Y736" s="1">
        <f t="shared" si="55"/>
        <v>1805.481</v>
      </c>
      <c r="Z736" s="2">
        <f t="shared" si="56"/>
        <v>55386.9</v>
      </c>
      <c r="AA736" s="2">
        <f t="shared" si="57"/>
        <v>55386.902437632962</v>
      </c>
      <c r="AB736" s="1">
        <f t="shared" si="58"/>
        <v>6.5338544808179369E-2</v>
      </c>
      <c r="AC736" s="1" t="b">
        <f t="shared" si="59"/>
        <v>1</v>
      </c>
    </row>
    <row r="737" spans="1:29" x14ac:dyDescent="0.25">
      <c r="A737" s="1" t="s">
        <v>264</v>
      </c>
      <c r="B737">
        <v>40</v>
      </c>
      <c r="D737" s="2">
        <v>55408.6</v>
      </c>
      <c r="M737">
        <v>8</v>
      </c>
      <c r="Y737" s="1">
        <f t="shared" si="55"/>
        <v>1804.7750000000001</v>
      </c>
      <c r="Z737" s="2">
        <f t="shared" si="56"/>
        <v>55408.6</v>
      </c>
      <c r="AA737" s="2">
        <f t="shared" si="57"/>
        <v>55408.568935185824</v>
      </c>
      <c r="AB737" s="1">
        <f t="shared" si="58"/>
        <v>6.5350547557226205E-2</v>
      </c>
      <c r="AC737" s="1" t="b">
        <f t="shared" si="59"/>
        <v>1</v>
      </c>
    </row>
    <row r="738" spans="1:29" x14ac:dyDescent="0.25">
      <c r="A738" s="1" t="s">
        <v>265</v>
      </c>
      <c r="B738">
        <v>10</v>
      </c>
      <c r="D738" s="2">
        <v>55421.5</v>
      </c>
      <c r="E738">
        <v>19872</v>
      </c>
      <c r="F738" t="s">
        <v>15</v>
      </c>
      <c r="G738" t="s">
        <v>18</v>
      </c>
      <c r="H738">
        <v>75294</v>
      </c>
      <c r="I738" t="s">
        <v>17</v>
      </c>
      <c r="J738" t="s">
        <v>18</v>
      </c>
      <c r="K738">
        <v>19872.43</v>
      </c>
      <c r="L738">
        <v>75294</v>
      </c>
      <c r="M738">
        <v>8</v>
      </c>
      <c r="Y738" s="1">
        <f t="shared" si="55"/>
        <v>1804.354</v>
      </c>
      <c r="Z738" s="2">
        <f t="shared" si="56"/>
        <v>55421.5</v>
      </c>
      <c r="AA738" s="2">
        <f t="shared" si="57"/>
        <v>55421.497111985787</v>
      </c>
      <c r="AB738" s="1">
        <f t="shared" si="58"/>
        <v>6.5357711710669245E-2</v>
      </c>
      <c r="AC738" s="1" t="b">
        <f t="shared" si="59"/>
        <v>1</v>
      </c>
    </row>
    <row r="739" spans="1:29" x14ac:dyDescent="0.25">
      <c r="A739" s="1" t="s">
        <v>266</v>
      </c>
      <c r="B739">
        <v>2</v>
      </c>
      <c r="D739" s="2">
        <v>55450.8</v>
      </c>
      <c r="M739">
        <v>8</v>
      </c>
      <c r="Y739" s="1">
        <f t="shared" si="55"/>
        <v>1803.3989999999999</v>
      </c>
      <c r="Z739" s="2">
        <f t="shared" si="56"/>
        <v>55450.8</v>
      </c>
      <c r="AA739" s="2">
        <f t="shared" si="57"/>
        <v>55450.845874928404</v>
      </c>
      <c r="AB739" s="1">
        <f t="shared" si="58"/>
        <v>6.5373981541225326E-2</v>
      </c>
      <c r="AC739" s="1" t="b">
        <f t="shared" si="59"/>
        <v>1</v>
      </c>
    </row>
    <row r="740" spans="1:29" x14ac:dyDescent="0.25">
      <c r="A740" s="1" t="s">
        <v>267</v>
      </c>
      <c r="B740">
        <v>3</v>
      </c>
      <c r="C740" t="s">
        <v>124</v>
      </c>
      <c r="D740" s="2">
        <v>55456</v>
      </c>
      <c r="M740">
        <v>8</v>
      </c>
      <c r="Y740" s="1">
        <f t="shared" si="55"/>
        <v>1803.231</v>
      </c>
      <c r="Z740" s="2">
        <f t="shared" si="56"/>
        <v>55456</v>
      </c>
      <c r="AA740" s="2">
        <f t="shared" si="57"/>
        <v>55456.012013990439</v>
      </c>
      <c r="AB740" s="1">
        <f t="shared" si="58"/>
        <v>6.537684634247927E-2</v>
      </c>
      <c r="AC740" s="1" t="b">
        <f t="shared" si="59"/>
        <v>1</v>
      </c>
    </row>
    <row r="741" spans="1:29" x14ac:dyDescent="0.25">
      <c r="A741" s="1" t="s">
        <v>268</v>
      </c>
      <c r="B741">
        <v>3</v>
      </c>
      <c r="C741" t="s">
        <v>124</v>
      </c>
      <c r="D741" s="2">
        <v>55460</v>
      </c>
      <c r="M741">
        <v>8</v>
      </c>
      <c r="Y741" s="1">
        <f t="shared" si="55"/>
        <v>1803.1</v>
      </c>
      <c r="Z741" s="2">
        <f t="shared" si="56"/>
        <v>55460</v>
      </c>
      <c r="AA741" s="2">
        <f t="shared" si="57"/>
        <v>55460.041040430369</v>
      </c>
      <c r="AB741" s="1">
        <f t="shared" si="58"/>
        <v>6.5379080761031105E-2</v>
      </c>
      <c r="AC741" s="1" t="b">
        <f t="shared" si="59"/>
        <v>1</v>
      </c>
    </row>
    <row r="742" spans="1:29" x14ac:dyDescent="0.25">
      <c r="A742" s="1" t="s">
        <v>269</v>
      </c>
      <c r="B742">
        <v>20</v>
      </c>
      <c r="C742" t="s">
        <v>124</v>
      </c>
      <c r="D742" s="2">
        <v>55480.6</v>
      </c>
      <c r="M742">
        <v>8</v>
      </c>
      <c r="Y742" s="1">
        <f t="shared" si="55"/>
        <v>1802.43</v>
      </c>
      <c r="Z742" s="2">
        <f t="shared" si="56"/>
        <v>55480.6</v>
      </c>
      <c r="AA742" s="2">
        <f t="shared" si="57"/>
        <v>55480.656669052332</v>
      </c>
      <c r="AB742" s="1">
        <f t="shared" si="58"/>
        <v>6.5390516322146305E-2</v>
      </c>
      <c r="AC742" s="1" t="b">
        <f t="shared" si="59"/>
        <v>1</v>
      </c>
    </row>
    <row r="743" spans="1:29" x14ac:dyDescent="0.25">
      <c r="A743" s="1" t="s">
        <v>270</v>
      </c>
      <c r="B743">
        <v>20</v>
      </c>
      <c r="D743" s="2">
        <v>55484.9</v>
      </c>
      <c r="E743">
        <v>12846</v>
      </c>
      <c r="F743" t="s">
        <v>15</v>
      </c>
      <c r="G743" t="s">
        <v>16</v>
      </c>
      <c r="H743">
        <v>68331</v>
      </c>
      <c r="I743" t="s">
        <v>17</v>
      </c>
      <c r="J743" t="s">
        <v>18</v>
      </c>
      <c r="K743">
        <v>12846.66</v>
      </c>
      <c r="L743">
        <v>68331.73</v>
      </c>
      <c r="M743">
        <v>8</v>
      </c>
      <c r="Y743" s="1">
        <f t="shared" si="55"/>
        <v>1802.2919999999999</v>
      </c>
      <c r="Z743" s="2">
        <f t="shared" si="56"/>
        <v>55484.9</v>
      </c>
      <c r="AA743" s="2">
        <f t="shared" si="57"/>
        <v>55484.904776806427</v>
      </c>
      <c r="AB743" s="1">
        <f t="shared" si="58"/>
        <v>6.5392873290456385E-2</v>
      </c>
      <c r="AC743" s="1" t="b">
        <f t="shared" si="59"/>
        <v>1</v>
      </c>
    </row>
    <row r="744" spans="1:29" x14ac:dyDescent="0.25">
      <c r="A744" s="1" t="s">
        <v>271</v>
      </c>
      <c r="B744">
        <v>5</v>
      </c>
      <c r="D744" s="2">
        <v>55488.2</v>
      </c>
      <c r="E744">
        <v>23647</v>
      </c>
      <c r="F744" t="s">
        <v>15</v>
      </c>
      <c r="G744" t="s">
        <v>50</v>
      </c>
      <c r="H744">
        <v>79136</v>
      </c>
      <c r="I744" t="s">
        <v>17</v>
      </c>
      <c r="J744" t="s">
        <v>50</v>
      </c>
      <c r="K744">
        <v>23647.77</v>
      </c>
      <c r="L744">
        <v>79136.23</v>
      </c>
      <c r="M744">
        <v>8</v>
      </c>
      <c r="Y744" s="1">
        <f t="shared" si="55"/>
        <v>1802.1859999999999</v>
      </c>
      <c r="Z744" s="2">
        <f t="shared" si="56"/>
        <v>55488.2</v>
      </c>
      <c r="AA744" s="2">
        <f t="shared" si="57"/>
        <v>55488.168257882375</v>
      </c>
      <c r="AB744" s="1">
        <f t="shared" si="58"/>
        <v>6.5394684083075333E-2</v>
      </c>
      <c r="AC744" s="1" t="b">
        <f t="shared" si="59"/>
        <v>1</v>
      </c>
    </row>
    <row r="745" spans="1:29" x14ac:dyDescent="0.25">
      <c r="A745" s="1" t="s">
        <v>272</v>
      </c>
      <c r="B745">
        <v>1</v>
      </c>
      <c r="D745" s="2">
        <v>55495</v>
      </c>
      <c r="M745">
        <v>8</v>
      </c>
      <c r="Y745" s="1">
        <f t="shared" si="55"/>
        <v>1801.9639999999999</v>
      </c>
      <c r="Z745" s="2">
        <f t="shared" si="56"/>
        <v>55495</v>
      </c>
      <c r="AA745" s="2">
        <f t="shared" si="57"/>
        <v>55495.00433970934</v>
      </c>
      <c r="AB745" s="1">
        <f t="shared" si="58"/>
        <v>6.53984775333218E-2</v>
      </c>
      <c r="AC745" s="1" t="b">
        <f t="shared" si="59"/>
        <v>1</v>
      </c>
    </row>
    <row r="746" spans="1:29" x14ac:dyDescent="0.25">
      <c r="A746" s="1" t="s">
        <v>273</v>
      </c>
      <c r="B746">
        <v>100</v>
      </c>
      <c r="C746" t="s">
        <v>27</v>
      </c>
      <c r="D746" s="2">
        <v>55519.4</v>
      </c>
      <c r="E746">
        <v>23175</v>
      </c>
      <c r="F746" t="s">
        <v>15</v>
      </c>
      <c r="G746" t="s">
        <v>50</v>
      </c>
      <c r="H746">
        <v>78694</v>
      </c>
      <c r="I746" t="s">
        <v>17</v>
      </c>
      <c r="J746" t="s">
        <v>23</v>
      </c>
      <c r="K746">
        <v>23175.09</v>
      </c>
      <c r="L746">
        <v>78694.570000000007</v>
      </c>
      <c r="M746">
        <v>8</v>
      </c>
      <c r="Y746" s="1">
        <f t="shared" si="55"/>
        <v>1801.172</v>
      </c>
      <c r="Z746" s="2">
        <f t="shared" si="56"/>
        <v>55519.4</v>
      </c>
      <c r="AA746" s="2">
        <f t="shared" si="57"/>
        <v>55519.406253261761</v>
      </c>
      <c r="AB746" s="1">
        <f t="shared" si="58"/>
        <v>6.5412022353573615E-2</v>
      </c>
      <c r="AC746" s="1" t="b">
        <f t="shared" si="59"/>
        <v>1</v>
      </c>
    </row>
    <row r="747" spans="1:29" x14ac:dyDescent="0.25">
      <c r="A747" s="1" t="s">
        <v>273</v>
      </c>
      <c r="B747">
        <v>100</v>
      </c>
      <c r="C747" t="s">
        <v>27</v>
      </c>
      <c r="D747" s="2">
        <v>55519.4</v>
      </c>
      <c r="E747">
        <v>38448</v>
      </c>
      <c r="F747" t="s">
        <v>15</v>
      </c>
      <c r="G747" t="s">
        <v>16</v>
      </c>
      <c r="H747">
        <v>93967</v>
      </c>
      <c r="I747" t="s">
        <v>17</v>
      </c>
      <c r="J747" t="s">
        <v>18</v>
      </c>
      <c r="K747">
        <v>38448.379999999997</v>
      </c>
      <c r="L747">
        <v>93967.4</v>
      </c>
      <c r="M747">
        <v>8</v>
      </c>
      <c r="Y747" s="1">
        <f t="shared" si="55"/>
        <v>1801.172</v>
      </c>
      <c r="Z747" s="2">
        <f t="shared" si="56"/>
        <v>55519.4</v>
      </c>
      <c r="AA747" s="2">
        <f t="shared" si="57"/>
        <v>55519.406253261761</v>
      </c>
      <c r="AB747" s="1">
        <f t="shared" si="58"/>
        <v>6.5412022353573615E-2</v>
      </c>
      <c r="AC747" s="1" t="b">
        <f t="shared" si="59"/>
        <v>1</v>
      </c>
    </row>
    <row r="748" spans="1:29" x14ac:dyDescent="0.25">
      <c r="A748" s="1" t="s">
        <v>274</v>
      </c>
      <c r="B748">
        <v>20</v>
      </c>
      <c r="D748" s="2">
        <v>55527.7</v>
      </c>
      <c r="E748">
        <v>12846</v>
      </c>
      <c r="F748" t="s">
        <v>15</v>
      </c>
      <c r="G748" t="s">
        <v>16</v>
      </c>
      <c r="H748">
        <v>68374</v>
      </c>
      <c r="I748" t="s">
        <v>17</v>
      </c>
      <c r="J748" t="s">
        <v>16</v>
      </c>
      <c r="K748">
        <v>12846.66</v>
      </c>
      <c r="L748">
        <v>68374.539999999994</v>
      </c>
      <c r="M748">
        <v>8</v>
      </c>
      <c r="Y748" s="1">
        <f t="shared" si="55"/>
        <v>1800.902</v>
      </c>
      <c r="Z748" s="2">
        <f t="shared" si="56"/>
        <v>55527.7</v>
      </c>
      <c r="AA748" s="2">
        <f t="shared" si="57"/>
        <v>55527.729993081244</v>
      </c>
      <c r="AB748" s="1">
        <f t="shared" si="58"/>
        <v>6.5416643990922674E-2</v>
      </c>
      <c r="AC748" s="1" t="b">
        <f t="shared" si="59"/>
        <v>1</v>
      </c>
    </row>
    <row r="749" spans="1:29" x14ac:dyDescent="0.25">
      <c r="A749" s="1" t="s">
        <v>275</v>
      </c>
      <c r="B749">
        <v>10</v>
      </c>
      <c r="D749" s="2">
        <v>55529.7</v>
      </c>
      <c r="M749">
        <v>8</v>
      </c>
      <c r="Y749" s="1">
        <f t="shared" si="55"/>
        <v>1800.8389999999999</v>
      </c>
      <c r="Z749" s="2">
        <f t="shared" si="56"/>
        <v>55529.7</v>
      </c>
      <c r="AA749" s="2">
        <f t="shared" si="57"/>
        <v>55529.672558179831</v>
      </c>
      <c r="AB749" s="1">
        <f t="shared" si="58"/>
        <v>6.5417722672093351E-2</v>
      </c>
      <c r="AC749" s="1" t="b">
        <f t="shared" si="59"/>
        <v>1</v>
      </c>
    </row>
    <row r="750" spans="1:29" x14ac:dyDescent="0.25">
      <c r="A750" s="1" t="s">
        <v>276</v>
      </c>
      <c r="B750">
        <v>1</v>
      </c>
      <c r="D750" s="2">
        <v>55572.4</v>
      </c>
      <c r="M750">
        <v>8</v>
      </c>
      <c r="Y750" s="1">
        <f t="shared" si="55"/>
        <v>1799.453</v>
      </c>
      <c r="Z750" s="2">
        <f t="shared" si="56"/>
        <v>55572.4</v>
      </c>
      <c r="AA750" s="2">
        <f t="shared" si="57"/>
        <v>55572.44340363433</v>
      </c>
      <c r="AB750" s="1">
        <f t="shared" si="58"/>
        <v>6.5441482329250705E-2</v>
      </c>
      <c r="AC750" s="1" t="b">
        <f t="shared" si="59"/>
        <v>1</v>
      </c>
    </row>
    <row r="751" spans="1:29" x14ac:dyDescent="0.25">
      <c r="A751" s="1" t="s">
        <v>277</v>
      </c>
      <c r="B751">
        <v>20</v>
      </c>
      <c r="D751" s="2">
        <v>55606.6</v>
      </c>
      <c r="M751">
        <v>8</v>
      </c>
      <c r="Y751" s="1">
        <f t="shared" si="55"/>
        <v>1798.347</v>
      </c>
      <c r="Z751" s="2">
        <f t="shared" si="56"/>
        <v>55606.6</v>
      </c>
      <c r="AA751" s="2">
        <f t="shared" si="57"/>
        <v>55606.620969145551</v>
      </c>
      <c r="AB751" s="1">
        <f t="shared" si="58"/>
        <v>6.5460481478031088E-2</v>
      </c>
      <c r="AC751" s="1" t="b">
        <f t="shared" si="59"/>
        <v>1</v>
      </c>
    </row>
    <row r="752" spans="1:29" x14ac:dyDescent="0.25">
      <c r="A752" s="1" t="s">
        <v>278</v>
      </c>
      <c r="B752">
        <v>20</v>
      </c>
      <c r="D752" s="2">
        <v>55639.8</v>
      </c>
      <c r="M752">
        <v>8</v>
      </c>
      <c r="Y752" s="1">
        <f t="shared" si="55"/>
        <v>1797.2729999999999</v>
      </c>
      <c r="Z752" s="2">
        <f t="shared" si="56"/>
        <v>55639.8</v>
      </c>
      <c r="AA752" s="2">
        <f t="shared" si="57"/>
        <v>55639.849928196774</v>
      </c>
      <c r="AB752" s="1">
        <f t="shared" si="58"/>
        <v>6.5478964500161302E-2</v>
      </c>
      <c r="AC752" s="1" t="b">
        <f t="shared" si="59"/>
        <v>1</v>
      </c>
    </row>
    <row r="753" spans="1:29" x14ac:dyDescent="0.25">
      <c r="A753" s="1" t="s">
        <v>279</v>
      </c>
      <c r="B753">
        <v>20</v>
      </c>
      <c r="D753" s="2">
        <v>55645.7</v>
      </c>
      <c r="E753">
        <v>12846</v>
      </c>
      <c r="F753" t="s">
        <v>15</v>
      </c>
      <c r="G753" t="s">
        <v>16</v>
      </c>
      <c r="H753">
        <v>68492</v>
      </c>
      <c r="I753" t="s">
        <v>17</v>
      </c>
      <c r="J753" t="s">
        <v>18</v>
      </c>
      <c r="K753">
        <v>12846.66</v>
      </c>
      <c r="L753">
        <v>68492.429999999993</v>
      </c>
      <c r="M753">
        <v>8</v>
      </c>
      <c r="Y753" s="1">
        <f t="shared" si="55"/>
        <v>1797.085</v>
      </c>
      <c r="Z753" s="2">
        <f t="shared" si="56"/>
        <v>55645.7</v>
      </c>
      <c r="AA753" s="2">
        <f t="shared" si="57"/>
        <v>55645.670627710984</v>
      </c>
      <c r="AB753" s="1">
        <f t="shared" si="58"/>
        <v>6.5482203298038485E-2</v>
      </c>
      <c r="AC753" s="1" t="b">
        <f t="shared" si="59"/>
        <v>1</v>
      </c>
    </row>
    <row r="754" spans="1:29" x14ac:dyDescent="0.25">
      <c r="A754" s="1" t="s">
        <v>280</v>
      </c>
      <c r="B754">
        <v>1</v>
      </c>
      <c r="D754" s="2">
        <v>55648</v>
      </c>
      <c r="M754">
        <v>8</v>
      </c>
      <c r="Y754" s="1">
        <f t="shared" si="55"/>
        <v>1797.011</v>
      </c>
      <c r="Z754" s="2">
        <f t="shared" si="56"/>
        <v>55648</v>
      </c>
      <c r="AA754" s="2">
        <f t="shared" si="57"/>
        <v>55647.96208815639</v>
      </c>
      <c r="AB754" s="1">
        <f t="shared" si="58"/>
        <v>6.5483478422824454E-2</v>
      </c>
      <c r="AC754" s="1" t="b">
        <f t="shared" si="59"/>
        <v>1</v>
      </c>
    </row>
    <row r="755" spans="1:29" x14ac:dyDescent="0.25">
      <c r="A755" s="1" t="s">
        <v>281</v>
      </c>
      <c r="B755">
        <v>2</v>
      </c>
      <c r="D755" s="2">
        <v>55687.9</v>
      </c>
      <c r="M755">
        <v>8</v>
      </c>
      <c r="Y755" s="1">
        <f t="shared" si="55"/>
        <v>1795.721</v>
      </c>
      <c r="Z755" s="2">
        <f t="shared" si="56"/>
        <v>55687.9</v>
      </c>
      <c r="AA755" s="2">
        <f t="shared" si="57"/>
        <v>55687.938159658435</v>
      </c>
      <c r="AB755" s="1">
        <f t="shared" si="58"/>
        <v>6.5505732282369708E-2</v>
      </c>
      <c r="AC755" s="1" t="b">
        <f t="shared" si="59"/>
        <v>1</v>
      </c>
    </row>
    <row r="756" spans="1:29" x14ac:dyDescent="0.25">
      <c r="A756" s="1" t="s">
        <v>282</v>
      </c>
      <c r="B756">
        <v>10</v>
      </c>
      <c r="D756" s="2">
        <v>55689.8</v>
      </c>
      <c r="E756">
        <v>28720</v>
      </c>
      <c r="F756" t="s">
        <v>15</v>
      </c>
      <c r="G756" t="s">
        <v>16</v>
      </c>
      <c r="H756">
        <v>84410</v>
      </c>
      <c r="I756" t="s">
        <v>17</v>
      </c>
      <c r="J756" t="s">
        <v>16</v>
      </c>
      <c r="K756">
        <v>28720.71</v>
      </c>
      <c r="L756">
        <v>84410.63</v>
      </c>
      <c r="M756">
        <v>8</v>
      </c>
      <c r="Y756" s="1">
        <f t="shared" si="55"/>
        <v>1795.662</v>
      </c>
      <c r="Z756" s="2">
        <f t="shared" si="56"/>
        <v>55689.8</v>
      </c>
      <c r="AA756" s="2">
        <f t="shared" si="57"/>
        <v>55689.76789618536</v>
      </c>
      <c r="AB756" s="1">
        <f t="shared" si="58"/>
        <v>6.550675124165499E-2</v>
      </c>
      <c r="AC756" s="1" t="b">
        <f t="shared" si="59"/>
        <v>1</v>
      </c>
    </row>
    <row r="757" spans="1:29" x14ac:dyDescent="0.25">
      <c r="A757" s="1" t="s">
        <v>283</v>
      </c>
      <c r="B757">
        <v>10</v>
      </c>
      <c r="D757" s="2">
        <v>55715.8</v>
      </c>
      <c r="E757">
        <v>22747</v>
      </c>
      <c r="F757" t="s">
        <v>15</v>
      </c>
      <c r="G757" t="s">
        <v>16</v>
      </c>
      <c r="H757">
        <v>78463</v>
      </c>
      <c r="I757" t="s">
        <v>17</v>
      </c>
      <c r="J757" t="s">
        <v>18</v>
      </c>
      <c r="K757">
        <v>22747.69</v>
      </c>
      <c r="L757">
        <v>78463.600000000006</v>
      </c>
      <c r="M757">
        <v>8</v>
      </c>
      <c r="Y757" s="1">
        <f t="shared" si="55"/>
        <v>1794.8219999999999</v>
      </c>
      <c r="Z757" s="2">
        <f t="shared" si="56"/>
        <v>55715.8</v>
      </c>
      <c r="AA757" s="2">
        <f t="shared" si="57"/>
        <v>55715.831430637692</v>
      </c>
      <c r="AB757" s="1">
        <f t="shared" si="58"/>
        <v>6.5521269360036175E-2</v>
      </c>
      <c r="AC757" s="1" t="b">
        <f t="shared" si="59"/>
        <v>1</v>
      </c>
    </row>
    <row r="758" spans="1:29" x14ac:dyDescent="0.25">
      <c r="A758" s="1" t="s">
        <v>284</v>
      </c>
      <c r="B758">
        <v>40</v>
      </c>
      <c r="C758" t="s">
        <v>123</v>
      </c>
      <c r="D758" s="2">
        <v>55722.3</v>
      </c>
      <c r="M758">
        <v>8</v>
      </c>
      <c r="Y758" s="1">
        <f t="shared" si="55"/>
        <v>1794.614</v>
      </c>
      <c r="Z758" s="2">
        <f t="shared" si="56"/>
        <v>55722.3</v>
      </c>
      <c r="AA758" s="2">
        <f t="shared" si="57"/>
        <v>55722.289027055398</v>
      </c>
      <c r="AB758" s="1">
        <f t="shared" si="58"/>
        <v>6.5524867472073492E-2</v>
      </c>
      <c r="AC758" s="1" t="b">
        <f t="shared" si="59"/>
        <v>1</v>
      </c>
    </row>
    <row r="759" spans="1:29" x14ac:dyDescent="0.25">
      <c r="A759" s="1" t="s">
        <v>285</v>
      </c>
      <c r="B759">
        <v>1</v>
      </c>
      <c r="D759" s="2">
        <v>55736.3</v>
      </c>
      <c r="M759">
        <v>8</v>
      </c>
      <c r="Y759" s="1">
        <f t="shared" si="55"/>
        <v>1794.164</v>
      </c>
      <c r="Z759" s="2">
        <f t="shared" si="56"/>
        <v>55736.3</v>
      </c>
      <c r="AA759" s="2">
        <f t="shared" si="57"/>
        <v>55736.264912237675</v>
      </c>
      <c r="AB759" s="1">
        <f t="shared" si="58"/>
        <v>6.553265613183569E-2</v>
      </c>
      <c r="AC759" s="1" t="b">
        <f t="shared" si="59"/>
        <v>1</v>
      </c>
    </row>
    <row r="760" spans="1:29" x14ac:dyDescent="0.25">
      <c r="A760" s="1" t="s">
        <v>286</v>
      </c>
      <c r="B760">
        <v>40</v>
      </c>
      <c r="D760" s="2">
        <v>55742.2</v>
      </c>
      <c r="E760">
        <v>19872</v>
      </c>
      <c r="F760" t="s">
        <v>15</v>
      </c>
      <c r="G760" t="s">
        <v>18</v>
      </c>
      <c r="H760">
        <v>75614</v>
      </c>
      <c r="I760" t="s">
        <v>17</v>
      </c>
      <c r="J760" t="s">
        <v>28</v>
      </c>
      <c r="K760">
        <v>19872.43</v>
      </c>
      <c r="L760">
        <v>75614.81</v>
      </c>
      <c r="M760">
        <v>8</v>
      </c>
      <c r="Y760" s="1">
        <f t="shared" si="55"/>
        <v>1793.973</v>
      </c>
      <c r="Z760" s="2">
        <f t="shared" si="56"/>
        <v>55742.2</v>
      </c>
      <c r="AA760" s="2">
        <f t="shared" si="57"/>
        <v>55742.199018602849</v>
      </c>
      <c r="AB760" s="1">
        <f t="shared" si="58"/>
        <v>6.5535963757147639E-2</v>
      </c>
      <c r="AC760" s="1" t="b">
        <f t="shared" si="59"/>
        <v>1</v>
      </c>
    </row>
    <row r="761" spans="1:29" x14ac:dyDescent="0.25">
      <c r="A761" s="1" t="s">
        <v>287</v>
      </c>
      <c r="B761">
        <v>100</v>
      </c>
      <c r="D761" s="2">
        <v>55750.8</v>
      </c>
      <c r="M761">
        <v>8</v>
      </c>
      <c r="Y761" s="1">
        <f t="shared" si="55"/>
        <v>1793.6949999999999</v>
      </c>
      <c r="Z761" s="2">
        <f t="shared" si="56"/>
        <v>55750.8</v>
      </c>
      <c r="AA761" s="2">
        <f t="shared" si="57"/>
        <v>55750.838353231738</v>
      </c>
      <c r="AB761" s="1">
        <f t="shared" si="58"/>
        <v>6.5540779885440881E-2</v>
      </c>
      <c r="AC761" s="1" t="b">
        <f t="shared" si="59"/>
        <v>1</v>
      </c>
    </row>
    <row r="762" spans="1:29" x14ac:dyDescent="0.25">
      <c r="A762" s="1" t="s">
        <v>288</v>
      </c>
      <c r="B762">
        <v>40</v>
      </c>
      <c r="D762" s="2">
        <v>55756.800000000003</v>
      </c>
      <c r="M762">
        <v>8</v>
      </c>
      <c r="Y762" s="1">
        <f t="shared" si="55"/>
        <v>1793.502</v>
      </c>
      <c r="Z762" s="2">
        <f t="shared" si="56"/>
        <v>55756.800000000003</v>
      </c>
      <c r="AA762" s="2">
        <f t="shared" si="57"/>
        <v>55756.837739796225</v>
      </c>
      <c r="AB762" s="1">
        <f t="shared" si="58"/>
        <v>6.5544124773709828E-2</v>
      </c>
      <c r="AC762" s="1" t="b">
        <f t="shared" si="59"/>
        <v>1</v>
      </c>
    </row>
    <row r="763" spans="1:29" x14ac:dyDescent="0.25">
      <c r="A763" s="1" t="s">
        <v>289</v>
      </c>
      <c r="B763">
        <v>10</v>
      </c>
      <c r="D763" s="2">
        <v>55773</v>
      </c>
      <c r="M763">
        <v>8</v>
      </c>
      <c r="Y763" s="1">
        <f t="shared" si="55"/>
        <v>1792.9829999999999</v>
      </c>
      <c r="Z763" s="2">
        <f t="shared" si="56"/>
        <v>55773</v>
      </c>
      <c r="AA763" s="2">
        <f t="shared" si="57"/>
        <v>55772.977211719241</v>
      </c>
      <c r="AB763" s="1">
        <f t="shared" si="58"/>
        <v>6.5553124935294776E-2</v>
      </c>
      <c r="AC763" s="1" t="b">
        <f t="shared" si="59"/>
        <v>1</v>
      </c>
    </row>
    <row r="764" spans="1:29" x14ac:dyDescent="0.25">
      <c r="A764" s="1" t="s">
        <v>290</v>
      </c>
      <c r="B764">
        <v>3</v>
      </c>
      <c r="D764" s="2">
        <v>55778.8</v>
      </c>
      <c r="M764">
        <v>8</v>
      </c>
      <c r="Y764" s="1">
        <f t="shared" si="55"/>
        <v>1792.7940000000001</v>
      </c>
      <c r="Z764" s="2">
        <f t="shared" si="56"/>
        <v>55778.8</v>
      </c>
      <c r="AA764" s="2">
        <f t="shared" si="57"/>
        <v>55778.856912729512</v>
      </c>
      <c r="AB764" s="1">
        <f t="shared" si="58"/>
        <v>6.5556404392453763E-2</v>
      </c>
      <c r="AC764" s="1" t="b">
        <f t="shared" si="59"/>
        <v>1</v>
      </c>
    </row>
    <row r="765" spans="1:29" x14ac:dyDescent="0.25">
      <c r="A765" s="1" t="s">
        <v>291</v>
      </c>
      <c r="B765">
        <v>1</v>
      </c>
      <c r="D765" s="2">
        <v>55785.9</v>
      </c>
      <c r="E765">
        <v>13352</v>
      </c>
      <c r="F765" t="s">
        <v>15</v>
      </c>
      <c r="G765" t="s">
        <v>23</v>
      </c>
      <c r="H765">
        <v>69138</v>
      </c>
      <c r="I765" t="s">
        <v>17</v>
      </c>
      <c r="J765" t="s">
        <v>16</v>
      </c>
      <c r="K765">
        <v>13352.1</v>
      </c>
      <c r="L765">
        <v>69138.28</v>
      </c>
      <c r="M765">
        <v>8</v>
      </c>
      <c r="N765" t="s">
        <v>1079</v>
      </c>
      <c r="O765" t="s">
        <v>1102</v>
      </c>
      <c r="Y765" s="1">
        <f t="shared" si="55"/>
        <v>1792.569</v>
      </c>
      <c r="Z765" s="2">
        <f t="shared" si="56"/>
        <v>55785.9</v>
      </c>
      <c r="AA765" s="2">
        <f t="shared" si="57"/>
        <v>55785.858173381333</v>
      </c>
      <c r="AB765" s="1">
        <f t="shared" si="58"/>
        <v>6.5560309860703089E-2</v>
      </c>
      <c r="AC765" s="1" t="b">
        <f t="shared" si="59"/>
        <v>1</v>
      </c>
    </row>
    <row r="766" spans="1:29" x14ac:dyDescent="0.25">
      <c r="A766" s="1" t="s">
        <v>292</v>
      </c>
      <c r="B766">
        <v>1</v>
      </c>
      <c r="D766" s="2">
        <v>55800.4</v>
      </c>
      <c r="M766">
        <v>8</v>
      </c>
      <c r="Y766" s="1">
        <f t="shared" si="55"/>
        <v>1792.1010000000001</v>
      </c>
      <c r="Z766" s="2">
        <f t="shared" si="56"/>
        <v>55800.4</v>
      </c>
      <c r="AA766" s="2">
        <f t="shared" si="57"/>
        <v>55800.42642685875</v>
      </c>
      <c r="AB766" s="1">
        <f t="shared" si="58"/>
        <v>6.5568437947096381E-2</v>
      </c>
      <c r="AC766" s="1" t="b">
        <f t="shared" si="59"/>
        <v>1</v>
      </c>
    </row>
    <row r="767" spans="1:29" x14ac:dyDescent="0.25">
      <c r="A767" s="1" t="s">
        <v>293</v>
      </c>
      <c r="B767">
        <v>30</v>
      </c>
      <c r="D767" s="2">
        <v>55805.5</v>
      </c>
      <c r="M767">
        <v>8</v>
      </c>
      <c r="Y767" s="1">
        <f t="shared" si="55"/>
        <v>1791.9380000000001</v>
      </c>
      <c r="Z767" s="2">
        <f t="shared" si="56"/>
        <v>55805.5</v>
      </c>
      <c r="AA767" s="2">
        <f t="shared" si="57"/>
        <v>55805.502199294839</v>
      </c>
      <c r="AB767" s="1">
        <f t="shared" si="58"/>
        <v>6.5571270378577504E-2</v>
      </c>
      <c r="AC767" s="1" t="b">
        <f t="shared" si="59"/>
        <v>1</v>
      </c>
    </row>
    <row r="768" spans="1:29" x14ac:dyDescent="0.25">
      <c r="A768" s="1" t="s">
        <v>294</v>
      </c>
      <c r="B768">
        <v>80</v>
      </c>
      <c r="D768" s="2">
        <v>55813.2</v>
      </c>
      <c r="M768">
        <v>8</v>
      </c>
      <c r="Y768" s="1">
        <f t="shared" si="55"/>
        <v>1791.69</v>
      </c>
      <c r="Z768" s="2">
        <f t="shared" si="56"/>
        <v>55813.2</v>
      </c>
      <c r="AA768" s="2">
        <f t="shared" si="57"/>
        <v>55813.226618444038</v>
      </c>
      <c r="AB768" s="1">
        <f t="shared" si="58"/>
        <v>6.5575581327808954E-2</v>
      </c>
      <c r="AC768" s="1" t="b">
        <f t="shared" si="59"/>
        <v>1</v>
      </c>
    </row>
    <row r="769" spans="1:29" x14ac:dyDescent="0.25">
      <c r="A769" s="1" t="s">
        <v>295</v>
      </c>
      <c r="B769">
        <v>2</v>
      </c>
      <c r="D769" s="2">
        <v>55826.2</v>
      </c>
      <c r="M769">
        <v>8</v>
      </c>
      <c r="Y769" s="1">
        <f t="shared" si="55"/>
        <v>1791.2739999999999</v>
      </c>
      <c r="Z769" s="2">
        <f t="shared" si="56"/>
        <v>55826.2</v>
      </c>
      <c r="AA769" s="2">
        <f t="shared" si="57"/>
        <v>55826.188511640321</v>
      </c>
      <c r="AB769" s="1">
        <f t="shared" si="58"/>
        <v>6.5582816618686007E-2</v>
      </c>
      <c r="AC769" s="1" t="b">
        <f t="shared" si="59"/>
        <v>1</v>
      </c>
    </row>
    <row r="770" spans="1:29" x14ac:dyDescent="0.25">
      <c r="A770" s="1" t="s">
        <v>296</v>
      </c>
      <c r="B770">
        <v>2</v>
      </c>
      <c r="D770" s="2">
        <v>55863.7</v>
      </c>
      <c r="M770">
        <v>8</v>
      </c>
      <c r="Y770" s="1">
        <f t="shared" si="55"/>
        <v>1790.0709999999999</v>
      </c>
      <c r="Z770" s="2">
        <f t="shared" si="56"/>
        <v>55863.7</v>
      </c>
      <c r="AA770" s="2">
        <f t="shared" si="57"/>
        <v>55863.705964735476</v>
      </c>
      <c r="AB770" s="1">
        <f t="shared" si="58"/>
        <v>6.5603768220572109E-2</v>
      </c>
      <c r="AC770" s="1" t="b">
        <f t="shared" si="59"/>
        <v>1</v>
      </c>
    </row>
    <row r="771" spans="1:29" x14ac:dyDescent="0.25">
      <c r="A771" s="1" t="s">
        <v>297</v>
      </c>
      <c r="B771">
        <v>3</v>
      </c>
      <c r="D771" s="2">
        <v>55865.1</v>
      </c>
      <c r="M771">
        <v>8</v>
      </c>
      <c r="Y771" s="1">
        <f t="shared" ref="Y771:Y834" si="60">ROUND($A771,3)+0</f>
        <v>1790.027</v>
      </c>
      <c r="Z771" s="2">
        <f t="shared" ref="Z771:Z834" si="61">ROUND($D771,1)+0</f>
        <v>55865.1</v>
      </c>
      <c r="AA771" s="2">
        <f t="shared" ref="AA771:AA834" si="62">100000000/Y771</f>
        <v>55865.079130091333</v>
      </c>
      <c r="AB771" s="1">
        <f t="shared" ref="AB771:AB834" si="63">0.0005/$Y771*AA771+0.05</f>
        <v>6.560453533105684E-2</v>
      </c>
      <c r="AC771" s="1" t="b">
        <f t="shared" ref="AC771:AC834" si="64">ABS(Z771-AA771)&lt;AB771</f>
        <v>1</v>
      </c>
    </row>
    <row r="772" spans="1:29" x14ac:dyDescent="0.25">
      <c r="A772" s="1" t="s">
        <v>298</v>
      </c>
      <c r="B772">
        <v>1</v>
      </c>
      <c r="D772" s="2">
        <v>55867.3</v>
      </c>
      <c r="M772">
        <v>8</v>
      </c>
      <c r="Y772" s="1">
        <f t="shared" si="60"/>
        <v>1789.9549999999999</v>
      </c>
      <c r="Z772" s="2">
        <f t="shared" si="61"/>
        <v>55867.3</v>
      </c>
      <c r="AA772" s="2">
        <f t="shared" si="62"/>
        <v>55867.326273565537</v>
      </c>
      <c r="AB772" s="1">
        <f t="shared" si="63"/>
        <v>6.5605790724785132E-2</v>
      </c>
      <c r="AC772" s="1" t="b">
        <f t="shared" si="64"/>
        <v>1</v>
      </c>
    </row>
    <row r="773" spans="1:29" x14ac:dyDescent="0.25">
      <c r="A773" s="1" t="s">
        <v>299</v>
      </c>
      <c r="B773">
        <v>5</v>
      </c>
      <c r="D773" s="2">
        <v>55876.7</v>
      </c>
      <c r="M773">
        <v>8</v>
      </c>
      <c r="Y773" s="1">
        <f t="shared" si="60"/>
        <v>1789.6559999999999</v>
      </c>
      <c r="Z773" s="2">
        <f t="shared" si="61"/>
        <v>55876.7</v>
      </c>
      <c r="AA773" s="2">
        <f t="shared" si="62"/>
        <v>55876.660095571438</v>
      </c>
      <c r="AB773" s="1">
        <f t="shared" si="63"/>
        <v>6.5611005717180135E-2</v>
      </c>
      <c r="AC773" s="1" t="b">
        <f t="shared" si="64"/>
        <v>1</v>
      </c>
    </row>
    <row r="774" spans="1:29" x14ac:dyDescent="0.25">
      <c r="A774" s="1" t="s">
        <v>300</v>
      </c>
      <c r="B774">
        <v>1</v>
      </c>
      <c r="D774" s="2">
        <v>55889.4</v>
      </c>
      <c r="E774">
        <v>19872</v>
      </c>
      <c r="F774" t="s">
        <v>15</v>
      </c>
      <c r="G774" t="s">
        <v>18</v>
      </c>
      <c r="H774">
        <v>75762</v>
      </c>
      <c r="I774" t="s">
        <v>17</v>
      </c>
      <c r="J774" t="s">
        <v>16</v>
      </c>
      <c r="K774">
        <v>19872.43</v>
      </c>
      <c r="L774">
        <v>75762.23</v>
      </c>
      <c r="M774">
        <v>8</v>
      </c>
      <c r="Y774" s="1">
        <f t="shared" si="60"/>
        <v>1789.2470000000001</v>
      </c>
      <c r="Z774" s="2">
        <f t="shared" si="61"/>
        <v>55889.4</v>
      </c>
      <c r="AA774" s="2">
        <f t="shared" si="62"/>
        <v>55889.432817268935</v>
      </c>
      <c r="AB774" s="1">
        <f t="shared" si="63"/>
        <v>6.5618143503180099E-2</v>
      </c>
      <c r="AC774" s="1" t="b">
        <f t="shared" si="64"/>
        <v>1</v>
      </c>
    </row>
    <row r="775" spans="1:29" x14ac:dyDescent="0.25">
      <c r="A775" s="1" t="s">
        <v>301</v>
      </c>
      <c r="B775">
        <v>1</v>
      </c>
      <c r="D775" s="2">
        <v>55893.1</v>
      </c>
      <c r="E775">
        <v>18211</v>
      </c>
      <c r="F775" t="s">
        <v>15</v>
      </c>
      <c r="G775" t="s">
        <v>28</v>
      </c>
      <c r="H775">
        <v>74105</v>
      </c>
      <c r="I775" t="s">
        <v>17</v>
      </c>
      <c r="J775" t="s">
        <v>28</v>
      </c>
      <c r="K775">
        <v>18211.759999999998</v>
      </c>
      <c r="L775">
        <v>74105.2</v>
      </c>
      <c r="M775">
        <v>8</v>
      </c>
      <c r="Y775" s="1">
        <f t="shared" si="60"/>
        <v>1789.1289999999999</v>
      </c>
      <c r="Z775" s="2">
        <f t="shared" si="61"/>
        <v>55893.1</v>
      </c>
      <c r="AA775" s="2">
        <f t="shared" si="62"/>
        <v>55893.118942233908</v>
      </c>
      <c r="AB775" s="1">
        <f t="shared" si="63"/>
        <v>6.5620203725453533E-2</v>
      </c>
      <c r="AC775" s="1" t="b">
        <f t="shared" si="64"/>
        <v>1</v>
      </c>
    </row>
    <row r="776" spans="1:29" x14ac:dyDescent="0.25">
      <c r="A776" s="1" t="s">
        <v>302</v>
      </c>
      <c r="B776">
        <v>2</v>
      </c>
      <c r="D776" s="2">
        <v>55914</v>
      </c>
      <c r="E776">
        <v>36640</v>
      </c>
      <c r="F776" t="s">
        <v>15</v>
      </c>
      <c r="G776" t="s">
        <v>18</v>
      </c>
      <c r="H776">
        <v>92554</v>
      </c>
      <c r="I776" t="s">
        <v>17</v>
      </c>
      <c r="J776" t="s">
        <v>28</v>
      </c>
      <c r="K776">
        <v>36640.379999999997</v>
      </c>
      <c r="L776">
        <v>92554.8</v>
      </c>
      <c r="M776">
        <v>8</v>
      </c>
      <c r="Y776" s="1">
        <f t="shared" si="60"/>
        <v>1788.462</v>
      </c>
      <c r="Z776" s="2">
        <f t="shared" si="61"/>
        <v>55914</v>
      </c>
      <c r="AA776" s="2">
        <f t="shared" si="62"/>
        <v>55913.964065213571</v>
      </c>
      <c r="AB776" s="1">
        <f t="shared" si="63"/>
        <v>6.5631856887429979E-2</v>
      </c>
      <c r="AC776" s="1" t="b">
        <f t="shared" si="64"/>
        <v>1</v>
      </c>
    </row>
    <row r="777" spans="1:29" x14ac:dyDescent="0.25">
      <c r="A777" s="1" t="s">
        <v>303</v>
      </c>
      <c r="B777">
        <v>3</v>
      </c>
      <c r="D777" s="2">
        <v>55935.6</v>
      </c>
      <c r="E777">
        <v>22527</v>
      </c>
      <c r="F777" t="s">
        <v>15</v>
      </c>
      <c r="G777" t="s">
        <v>18</v>
      </c>
      <c r="H777">
        <v>78463</v>
      </c>
      <c r="I777" t="s">
        <v>17</v>
      </c>
      <c r="J777" t="s">
        <v>18</v>
      </c>
      <c r="K777">
        <v>22527.7</v>
      </c>
      <c r="L777">
        <v>78463.600000000006</v>
      </c>
      <c r="M777">
        <v>8</v>
      </c>
      <c r="Y777" s="1">
        <f t="shared" si="60"/>
        <v>1787.77</v>
      </c>
      <c r="Z777" s="2">
        <f t="shared" si="61"/>
        <v>55935.6</v>
      </c>
      <c r="AA777" s="2">
        <f t="shared" si="62"/>
        <v>55935.606929302987</v>
      </c>
      <c r="AB777" s="1">
        <f t="shared" si="63"/>
        <v>6.5643960612747437E-2</v>
      </c>
      <c r="AC777" s="1" t="b">
        <f t="shared" si="64"/>
        <v>1</v>
      </c>
    </row>
    <row r="778" spans="1:29" x14ac:dyDescent="0.25">
      <c r="A778" s="1" t="s">
        <v>304</v>
      </c>
      <c r="B778">
        <v>1</v>
      </c>
      <c r="D778" s="2">
        <v>55939.8</v>
      </c>
      <c r="M778">
        <v>8</v>
      </c>
      <c r="Y778" s="1">
        <f t="shared" si="60"/>
        <v>1787.635</v>
      </c>
      <c r="Z778" s="2">
        <f t="shared" si="61"/>
        <v>55939.8</v>
      </c>
      <c r="AA778" s="2">
        <f t="shared" si="62"/>
        <v>55939.831117649854</v>
      </c>
      <c r="AB778" s="1">
        <f t="shared" si="63"/>
        <v>6.5646323527355943E-2</v>
      </c>
      <c r="AC778" s="1" t="b">
        <f t="shared" si="64"/>
        <v>1</v>
      </c>
    </row>
    <row r="779" spans="1:29" x14ac:dyDescent="0.25">
      <c r="A779" s="1" t="s">
        <v>305</v>
      </c>
      <c r="B779">
        <v>15</v>
      </c>
      <c r="D779" s="2">
        <v>55954.9</v>
      </c>
      <c r="E779">
        <v>12846</v>
      </c>
      <c r="F779" t="s">
        <v>15</v>
      </c>
      <c r="G779" t="s">
        <v>16</v>
      </c>
      <c r="H779">
        <v>68801</v>
      </c>
      <c r="I779" t="s">
        <v>17</v>
      </c>
      <c r="J779" t="s">
        <v>18</v>
      </c>
      <c r="K779">
        <v>12846.66</v>
      </c>
      <c r="L779">
        <v>68801.67</v>
      </c>
      <c r="M779">
        <v>8</v>
      </c>
      <c r="Y779" s="1">
        <f t="shared" si="60"/>
        <v>1787.154</v>
      </c>
      <c r="Z779" s="2">
        <f t="shared" si="61"/>
        <v>55954.9</v>
      </c>
      <c r="AA779" s="2">
        <f t="shared" si="62"/>
        <v>55954.886931959976</v>
      </c>
      <c r="AB779" s="1">
        <f t="shared" si="63"/>
        <v>6.5654746857842131E-2</v>
      </c>
      <c r="AC779" s="1" t="b">
        <f t="shared" si="64"/>
        <v>1</v>
      </c>
    </row>
    <row r="780" spans="1:29" x14ac:dyDescent="0.25">
      <c r="A780" s="1" t="s">
        <v>306</v>
      </c>
      <c r="B780">
        <v>4</v>
      </c>
      <c r="D780" s="2">
        <v>55960.800000000003</v>
      </c>
      <c r="E780">
        <v>23175</v>
      </c>
      <c r="F780" t="s">
        <v>15</v>
      </c>
      <c r="G780" t="s">
        <v>50</v>
      </c>
      <c r="H780">
        <v>79136</v>
      </c>
      <c r="I780" t="s">
        <v>17</v>
      </c>
      <c r="J780" t="s">
        <v>50</v>
      </c>
      <c r="K780">
        <v>23175.09</v>
      </c>
      <c r="L780">
        <v>79136.23</v>
      </c>
      <c r="M780">
        <v>8</v>
      </c>
      <c r="Y780" s="1">
        <f t="shared" si="60"/>
        <v>1786.9639999999999</v>
      </c>
      <c r="Z780" s="2">
        <f t="shared" si="61"/>
        <v>55960.800000000003</v>
      </c>
      <c r="AA780" s="2">
        <f t="shared" si="62"/>
        <v>55960.836368276025</v>
      </c>
      <c r="AB780" s="1">
        <f t="shared" si="63"/>
        <v>6.5658076035184823E-2</v>
      </c>
      <c r="AC780" s="1" t="b">
        <f t="shared" si="64"/>
        <v>1</v>
      </c>
    </row>
    <row r="781" spans="1:29" x14ac:dyDescent="0.25">
      <c r="A781" s="1" t="s">
        <v>307</v>
      </c>
      <c r="B781">
        <v>10</v>
      </c>
      <c r="C781" t="s">
        <v>123</v>
      </c>
      <c r="D781" s="2">
        <v>55969.4</v>
      </c>
      <c r="M781">
        <v>8</v>
      </c>
      <c r="Y781" s="1">
        <f t="shared" si="60"/>
        <v>1786.691</v>
      </c>
      <c r="Z781" s="2">
        <f t="shared" si="61"/>
        <v>55969.4</v>
      </c>
      <c r="AA781" s="2">
        <f t="shared" si="62"/>
        <v>55969.386984095181</v>
      </c>
      <c r="AB781" s="1">
        <f t="shared" si="63"/>
        <v>6.566286139687702E-2</v>
      </c>
      <c r="AC781" s="1" t="b">
        <f t="shared" si="64"/>
        <v>1</v>
      </c>
    </row>
    <row r="782" spans="1:29" x14ac:dyDescent="0.25">
      <c r="A782" s="1" t="s">
        <v>308</v>
      </c>
      <c r="B782">
        <v>70</v>
      </c>
      <c r="D782" s="2">
        <v>55986.6</v>
      </c>
      <c r="M782">
        <v>8</v>
      </c>
      <c r="Y782" s="1">
        <f t="shared" si="60"/>
        <v>1786.1410000000001</v>
      </c>
      <c r="Z782" s="2">
        <f t="shared" si="61"/>
        <v>55986.6</v>
      </c>
      <c r="AA782" s="2">
        <f t="shared" si="62"/>
        <v>55986.621436941423</v>
      </c>
      <c r="AB782" s="1">
        <f t="shared" si="63"/>
        <v>6.5672508899616955E-2</v>
      </c>
      <c r="AC782" s="1" t="b">
        <f t="shared" si="64"/>
        <v>1</v>
      </c>
    </row>
    <row r="783" spans="1:29" x14ac:dyDescent="0.25">
      <c r="A783" s="1" t="s">
        <v>309</v>
      </c>
      <c r="B783">
        <v>10</v>
      </c>
      <c r="D783" s="2">
        <v>55994.6</v>
      </c>
      <c r="E783">
        <v>25409</v>
      </c>
      <c r="F783" t="s">
        <v>15</v>
      </c>
      <c r="G783" t="s">
        <v>18</v>
      </c>
      <c r="H783">
        <v>81404</v>
      </c>
      <c r="I783" t="s">
        <v>17</v>
      </c>
      <c r="J783" t="s">
        <v>28</v>
      </c>
      <c r="K783">
        <v>25409.74</v>
      </c>
      <c r="L783">
        <v>81404.52</v>
      </c>
      <c r="M783">
        <v>8</v>
      </c>
      <c r="Y783" s="1">
        <f t="shared" si="60"/>
        <v>1785.885</v>
      </c>
      <c r="Z783" s="2">
        <f t="shared" si="61"/>
        <v>55994.6</v>
      </c>
      <c r="AA783" s="2">
        <f t="shared" si="62"/>
        <v>55994.646911755233</v>
      </c>
      <c r="AB783" s="1">
        <f t="shared" si="63"/>
        <v>6.5677002413860708E-2</v>
      </c>
      <c r="AC783" s="1" t="b">
        <f t="shared" si="64"/>
        <v>1</v>
      </c>
    </row>
    <row r="784" spans="1:29" x14ac:dyDescent="0.25">
      <c r="A784" s="1" t="s">
        <v>310</v>
      </c>
      <c r="B784">
        <v>1</v>
      </c>
      <c r="D784" s="2">
        <v>56012</v>
      </c>
      <c r="M784">
        <v>8</v>
      </c>
      <c r="Y784" s="1">
        <f t="shared" si="60"/>
        <v>1785.33</v>
      </c>
      <c r="Z784" s="2">
        <f t="shared" si="61"/>
        <v>56012</v>
      </c>
      <c r="AA784" s="2">
        <f t="shared" si="62"/>
        <v>56012.053793976469</v>
      </c>
      <c r="AB784" s="1">
        <f t="shared" si="63"/>
        <v>6.568675085109657E-2</v>
      </c>
      <c r="AC784" s="1" t="b">
        <f t="shared" si="64"/>
        <v>1</v>
      </c>
    </row>
    <row r="785" spans="1:29" x14ac:dyDescent="0.25">
      <c r="A785" s="1" t="s">
        <v>311</v>
      </c>
      <c r="B785">
        <v>10</v>
      </c>
      <c r="C785" t="s">
        <v>124</v>
      </c>
      <c r="D785" s="2">
        <v>56149.4</v>
      </c>
      <c r="M785">
        <v>8</v>
      </c>
      <c r="Y785" s="1">
        <f t="shared" si="60"/>
        <v>1780.963</v>
      </c>
      <c r="Z785" s="2">
        <f t="shared" si="61"/>
        <v>56149.4</v>
      </c>
      <c r="AA785" s="2">
        <f t="shared" si="62"/>
        <v>56149.397825783017</v>
      </c>
      <c r="AB785" s="1">
        <f t="shared" si="63"/>
        <v>6.5763774380990236E-2</v>
      </c>
      <c r="AC785" s="1" t="b">
        <f t="shared" si="64"/>
        <v>1</v>
      </c>
    </row>
    <row r="786" spans="1:29" x14ac:dyDescent="0.25">
      <c r="A786" s="1" t="s">
        <v>312</v>
      </c>
      <c r="B786">
        <v>5</v>
      </c>
      <c r="D786" s="2">
        <v>56161</v>
      </c>
      <c r="E786">
        <v>14859</v>
      </c>
      <c r="F786" t="s">
        <v>15</v>
      </c>
      <c r="G786" t="s">
        <v>23</v>
      </c>
      <c r="H786">
        <v>71021</v>
      </c>
      <c r="I786" t="s">
        <v>17</v>
      </c>
      <c r="J786" t="s">
        <v>16</v>
      </c>
      <c r="K786">
        <v>14859.96</v>
      </c>
      <c r="L786">
        <v>71021.100000000006</v>
      </c>
      <c r="M786">
        <v>8</v>
      </c>
      <c r="Y786" s="1">
        <f t="shared" si="60"/>
        <v>1780.596</v>
      </c>
      <c r="Z786" s="2">
        <f t="shared" si="61"/>
        <v>56161</v>
      </c>
      <c r="AA786" s="2">
        <f t="shared" si="62"/>
        <v>56160.970821005998</v>
      </c>
      <c r="AB786" s="1">
        <f t="shared" si="63"/>
        <v>6.5770273217789443E-2</v>
      </c>
      <c r="AC786" s="1" t="b">
        <f t="shared" si="64"/>
        <v>1</v>
      </c>
    </row>
    <row r="787" spans="1:29" x14ac:dyDescent="0.25">
      <c r="A787" s="1" t="s">
        <v>313</v>
      </c>
      <c r="B787">
        <v>10</v>
      </c>
      <c r="D787" s="2">
        <v>56173.1</v>
      </c>
      <c r="M787">
        <v>8</v>
      </c>
      <c r="Y787" s="1">
        <f t="shared" si="60"/>
        <v>1780.21</v>
      </c>
      <c r="Z787" s="2">
        <f t="shared" si="61"/>
        <v>56173.1</v>
      </c>
      <c r="AA787" s="2">
        <f t="shared" si="62"/>
        <v>56173.148111739625</v>
      </c>
      <c r="AB787" s="1">
        <f t="shared" si="63"/>
        <v>6.5777112843917185E-2</v>
      </c>
      <c r="AC787" s="1" t="b">
        <f t="shared" si="64"/>
        <v>1</v>
      </c>
    </row>
    <row r="788" spans="1:29" x14ac:dyDescent="0.25">
      <c r="A788" s="1" t="s">
        <v>314</v>
      </c>
      <c r="B788">
        <v>4</v>
      </c>
      <c r="D788" s="2">
        <v>56196.800000000003</v>
      </c>
      <c r="M788">
        <v>8</v>
      </c>
      <c r="Y788" s="1">
        <f t="shared" si="60"/>
        <v>1779.46</v>
      </c>
      <c r="Z788" s="2">
        <f t="shared" si="61"/>
        <v>56196.800000000003</v>
      </c>
      <c r="AA788" s="2">
        <f t="shared" si="62"/>
        <v>56196.823755521335</v>
      </c>
      <c r="AB788" s="1">
        <f t="shared" si="63"/>
        <v>6.5790415001045641E-2</v>
      </c>
      <c r="AC788" s="1" t="b">
        <f t="shared" si="64"/>
        <v>1</v>
      </c>
    </row>
    <row r="789" spans="1:29" x14ac:dyDescent="0.25">
      <c r="A789" s="1" t="s">
        <v>315</v>
      </c>
      <c r="B789">
        <v>2</v>
      </c>
      <c r="D789" s="2">
        <v>56210.6</v>
      </c>
      <c r="E789">
        <v>21611</v>
      </c>
      <c r="F789" t="s">
        <v>15</v>
      </c>
      <c r="G789" t="s">
        <v>28</v>
      </c>
      <c r="H789">
        <v>77822</v>
      </c>
      <c r="I789" t="s">
        <v>17</v>
      </c>
      <c r="J789" t="s">
        <v>28</v>
      </c>
      <c r="K789">
        <v>21611.19</v>
      </c>
      <c r="L789">
        <v>77822</v>
      </c>
      <c r="M789">
        <v>8</v>
      </c>
      <c r="Y789" s="1">
        <f t="shared" si="60"/>
        <v>1779.0250000000001</v>
      </c>
      <c r="Z789" s="2">
        <f t="shared" si="61"/>
        <v>56210.6</v>
      </c>
      <c r="AA789" s="2">
        <f t="shared" si="62"/>
        <v>56210.564775649582</v>
      </c>
      <c r="AB789" s="1">
        <f t="shared" si="63"/>
        <v>6.5798137961987496E-2</v>
      </c>
      <c r="AC789" s="1" t="b">
        <f t="shared" si="64"/>
        <v>1</v>
      </c>
    </row>
    <row r="790" spans="1:29" x14ac:dyDescent="0.25">
      <c r="A790" s="1" t="s">
        <v>316</v>
      </c>
      <c r="B790">
        <v>1</v>
      </c>
      <c r="D790" s="2">
        <v>56219.8</v>
      </c>
      <c r="M790">
        <v>8</v>
      </c>
      <c r="Y790" s="1">
        <f t="shared" si="60"/>
        <v>1778.732</v>
      </c>
      <c r="Z790" s="2">
        <f t="shared" si="61"/>
        <v>56219.8</v>
      </c>
      <c r="AA790" s="2">
        <f t="shared" si="62"/>
        <v>56219.824009462922</v>
      </c>
      <c r="AB790" s="1">
        <f t="shared" si="63"/>
        <v>6.5803343058274927E-2</v>
      </c>
      <c r="AC790" s="1" t="b">
        <f t="shared" si="64"/>
        <v>1</v>
      </c>
    </row>
    <row r="791" spans="1:29" x14ac:dyDescent="0.25">
      <c r="A791" s="1" t="s">
        <v>317</v>
      </c>
      <c r="B791">
        <v>1</v>
      </c>
      <c r="D791" s="2">
        <v>56229.599999999999</v>
      </c>
      <c r="M791">
        <v>8</v>
      </c>
      <c r="Y791" s="1">
        <f t="shared" si="60"/>
        <v>1778.422</v>
      </c>
      <c r="Z791" s="2">
        <f t="shared" si="61"/>
        <v>56229.599999999999</v>
      </c>
      <c r="AA791" s="2">
        <f t="shared" si="62"/>
        <v>56229.623790079066</v>
      </c>
      <c r="AB791" s="1">
        <f t="shared" si="63"/>
        <v>6.5808852957869132E-2</v>
      </c>
      <c r="AC791" s="1" t="b">
        <f t="shared" si="64"/>
        <v>1</v>
      </c>
    </row>
    <row r="792" spans="1:29" x14ac:dyDescent="0.25">
      <c r="A792" s="1" t="s">
        <v>318</v>
      </c>
      <c r="B792">
        <v>4</v>
      </c>
      <c r="D792" s="2">
        <v>56251.9</v>
      </c>
      <c r="E792">
        <v>18211</v>
      </c>
      <c r="F792" t="s">
        <v>15</v>
      </c>
      <c r="G792" t="s">
        <v>28</v>
      </c>
      <c r="H792">
        <v>74463</v>
      </c>
      <c r="I792" t="s">
        <v>17</v>
      </c>
      <c r="J792" t="s">
        <v>29</v>
      </c>
      <c r="K792">
        <v>18211.759999999998</v>
      </c>
      <c r="L792">
        <v>74463.7</v>
      </c>
      <c r="M792">
        <v>8</v>
      </c>
      <c r="Y792" s="1">
        <f t="shared" si="60"/>
        <v>1777.7159999999999</v>
      </c>
      <c r="Z792" s="2">
        <f t="shared" si="61"/>
        <v>56251.9</v>
      </c>
      <c r="AA792" s="2">
        <f t="shared" si="62"/>
        <v>56251.954755427752</v>
      </c>
      <c r="AB792" s="1">
        <f t="shared" si="63"/>
        <v>6.5821412069033455E-2</v>
      </c>
      <c r="AC792" s="1" t="b">
        <f t="shared" si="64"/>
        <v>1</v>
      </c>
    </row>
    <row r="793" spans="1:29" x14ac:dyDescent="0.25">
      <c r="A793" s="1" t="s">
        <v>319</v>
      </c>
      <c r="B793">
        <v>2</v>
      </c>
      <c r="D793" s="2">
        <v>56260.3</v>
      </c>
      <c r="M793">
        <v>8</v>
      </c>
      <c r="Y793" s="1">
        <f t="shared" si="60"/>
        <v>1777.452</v>
      </c>
      <c r="Z793" s="2">
        <f t="shared" si="61"/>
        <v>56260.3</v>
      </c>
      <c r="AA793" s="2">
        <f t="shared" si="62"/>
        <v>56260.309701752849</v>
      </c>
      <c r="AB793" s="1">
        <f t="shared" si="63"/>
        <v>6.582611223868573E-2</v>
      </c>
      <c r="AC793" s="1" t="b">
        <f t="shared" si="64"/>
        <v>1</v>
      </c>
    </row>
    <row r="794" spans="1:29" x14ac:dyDescent="0.25">
      <c r="A794" s="1" t="s">
        <v>320</v>
      </c>
      <c r="B794">
        <v>20</v>
      </c>
      <c r="D794" s="2">
        <v>56278.400000000001</v>
      </c>
      <c r="M794">
        <v>8</v>
      </c>
      <c r="Y794" s="1">
        <f t="shared" si="60"/>
        <v>1776.8789999999999</v>
      </c>
      <c r="Z794" s="2">
        <f t="shared" si="61"/>
        <v>56278.400000000001</v>
      </c>
      <c r="AA794" s="2">
        <f t="shared" si="62"/>
        <v>56278.452275028299</v>
      </c>
      <c r="AB794" s="1">
        <f t="shared" si="63"/>
        <v>6.5836320952363192E-2</v>
      </c>
      <c r="AC794" s="1" t="b">
        <f t="shared" si="64"/>
        <v>1</v>
      </c>
    </row>
    <row r="795" spans="1:29" x14ac:dyDescent="0.25">
      <c r="A795" s="1" t="s">
        <v>321</v>
      </c>
      <c r="B795">
        <v>15</v>
      </c>
      <c r="C795" t="s">
        <v>123</v>
      </c>
      <c r="D795" s="2">
        <v>56290</v>
      </c>
      <c r="M795">
        <v>8</v>
      </c>
      <c r="Y795" s="1">
        <f t="shared" si="60"/>
        <v>1776.5150000000001</v>
      </c>
      <c r="Z795" s="2">
        <f t="shared" si="61"/>
        <v>56290</v>
      </c>
      <c r="AA795" s="2">
        <f t="shared" si="62"/>
        <v>56289.983478889844</v>
      </c>
      <c r="AB795" s="1">
        <f t="shared" si="63"/>
        <v>6.584281120026847E-2</v>
      </c>
      <c r="AC795" s="1" t="b">
        <f t="shared" si="64"/>
        <v>1</v>
      </c>
    </row>
    <row r="796" spans="1:29" x14ac:dyDescent="0.25">
      <c r="A796" s="1" t="s">
        <v>322</v>
      </c>
      <c r="B796">
        <v>5</v>
      </c>
      <c r="D796" s="2">
        <v>56354.2</v>
      </c>
      <c r="M796">
        <v>8</v>
      </c>
      <c r="Y796" s="1">
        <f t="shared" si="60"/>
        <v>1774.491</v>
      </c>
      <c r="Z796" s="2">
        <f t="shared" si="61"/>
        <v>56354.2</v>
      </c>
      <c r="AA796" s="2">
        <f t="shared" si="62"/>
        <v>56354.188327807802</v>
      </c>
      <c r="AB796" s="1">
        <f t="shared" si="63"/>
        <v>6.5878972710430153E-2</v>
      </c>
      <c r="AC796" s="1" t="b">
        <f t="shared" si="64"/>
        <v>1</v>
      </c>
    </row>
    <row r="797" spans="1:29" x14ac:dyDescent="0.25">
      <c r="A797" s="1" t="s">
        <v>323</v>
      </c>
      <c r="B797">
        <v>1</v>
      </c>
      <c r="D797" s="2">
        <v>56361.599999999999</v>
      </c>
      <c r="M797">
        <v>8</v>
      </c>
      <c r="Y797" s="1">
        <f t="shared" si="60"/>
        <v>1774.2570000000001</v>
      </c>
      <c r="Z797" s="2">
        <f t="shared" si="61"/>
        <v>56361.599999999999</v>
      </c>
      <c r="AA797" s="2">
        <f t="shared" si="62"/>
        <v>56361.620667129959</v>
      </c>
      <c r="AB797" s="1">
        <f t="shared" si="63"/>
        <v>6.5883161421127254E-2</v>
      </c>
      <c r="AC797" s="1" t="b">
        <f t="shared" si="64"/>
        <v>1</v>
      </c>
    </row>
    <row r="798" spans="1:29" x14ac:dyDescent="0.25">
      <c r="A798" s="1" t="s">
        <v>324</v>
      </c>
      <c r="B798">
        <v>7</v>
      </c>
      <c r="D798" s="2">
        <v>56400.800000000003</v>
      </c>
      <c r="M798">
        <v>8</v>
      </c>
      <c r="Y798" s="1">
        <f t="shared" si="60"/>
        <v>1773.0229999999999</v>
      </c>
      <c r="Z798" s="2">
        <f t="shared" si="61"/>
        <v>56400.800000000003</v>
      </c>
      <c r="AA798" s="2">
        <f t="shared" si="62"/>
        <v>56400.847591937614</v>
      </c>
      <c r="AB798" s="1">
        <f t="shared" si="63"/>
        <v>6.5905278045444882E-2</v>
      </c>
      <c r="AC798" s="1" t="b">
        <f t="shared" si="64"/>
        <v>1</v>
      </c>
    </row>
    <row r="799" spans="1:29" x14ac:dyDescent="0.25">
      <c r="A799" s="1" t="s">
        <v>325</v>
      </c>
      <c r="B799">
        <v>1</v>
      </c>
      <c r="D799" s="2">
        <v>56421</v>
      </c>
      <c r="E799">
        <v>38726</v>
      </c>
      <c r="F799" t="s">
        <v>15</v>
      </c>
      <c r="G799" t="s">
        <v>18</v>
      </c>
      <c r="H799">
        <v>95147</v>
      </c>
      <c r="I799" t="s">
        <v>17</v>
      </c>
      <c r="J799" t="s">
        <v>16</v>
      </c>
      <c r="K799">
        <v>38726.5</v>
      </c>
      <c r="L799">
        <v>95147.9</v>
      </c>
      <c r="M799">
        <v>8</v>
      </c>
      <c r="Y799" s="1">
        <f t="shared" si="60"/>
        <v>1772.39</v>
      </c>
      <c r="Z799" s="2">
        <f t="shared" si="61"/>
        <v>56421</v>
      </c>
      <c r="AA799" s="2">
        <f t="shared" si="62"/>
        <v>56420.990865441578</v>
      </c>
      <c r="AB799" s="1">
        <f t="shared" si="63"/>
        <v>6.5916641051191216E-2</v>
      </c>
      <c r="AC799" s="1" t="b">
        <f t="shared" si="64"/>
        <v>1</v>
      </c>
    </row>
    <row r="800" spans="1:29" x14ac:dyDescent="0.25">
      <c r="A800" s="1" t="s">
        <v>326</v>
      </c>
      <c r="B800">
        <v>3</v>
      </c>
      <c r="D800" s="2">
        <v>56429.3</v>
      </c>
      <c r="M800">
        <v>8</v>
      </c>
      <c r="Y800" s="1">
        <f t="shared" si="60"/>
        <v>1772.1289999999999</v>
      </c>
      <c r="Z800" s="2">
        <f t="shared" si="61"/>
        <v>56429.3</v>
      </c>
      <c r="AA800" s="2">
        <f t="shared" si="62"/>
        <v>56429.300575748159</v>
      </c>
      <c r="AB800" s="1">
        <f t="shared" si="63"/>
        <v>6.5921329817340654E-2</v>
      </c>
      <c r="AC800" s="1" t="b">
        <f t="shared" si="64"/>
        <v>1</v>
      </c>
    </row>
    <row r="801" spans="1:29" x14ac:dyDescent="0.25">
      <c r="A801" s="1">
        <v>1771.9580000000001</v>
      </c>
      <c r="B801">
        <v>4</v>
      </c>
      <c r="D801" s="2">
        <v>56434.7</v>
      </c>
      <c r="M801">
        <v>9</v>
      </c>
      <c r="Y801" s="1">
        <f t="shared" si="60"/>
        <v>1771.9580000000001</v>
      </c>
      <c r="Z801" s="2">
        <f t="shared" si="61"/>
        <v>56434.7</v>
      </c>
      <c r="AA801" s="2">
        <f t="shared" si="62"/>
        <v>56434.746196015927</v>
      </c>
      <c r="AB801" s="1">
        <f t="shared" si="63"/>
        <v>6.5924402891043676E-2</v>
      </c>
      <c r="AC801" s="1" t="b">
        <f t="shared" si="64"/>
        <v>1</v>
      </c>
    </row>
    <row r="802" spans="1:29" x14ac:dyDescent="0.25">
      <c r="A802" s="1">
        <v>1771.68</v>
      </c>
      <c r="B802">
        <v>1</v>
      </c>
      <c r="D802" s="2">
        <v>56443.6</v>
      </c>
      <c r="M802">
        <v>9</v>
      </c>
      <c r="Y802" s="1">
        <f t="shared" si="60"/>
        <v>1771.68</v>
      </c>
      <c r="Z802" s="2">
        <f t="shared" si="61"/>
        <v>56443.6</v>
      </c>
      <c r="AA802" s="2">
        <f t="shared" si="62"/>
        <v>56443.601553327913</v>
      </c>
      <c r="AB802" s="1">
        <f t="shared" si="63"/>
        <v>6.5929400781554209E-2</v>
      </c>
      <c r="AC802" s="1" t="b">
        <f t="shared" si="64"/>
        <v>1</v>
      </c>
    </row>
    <row r="803" spans="1:29" x14ac:dyDescent="0.25">
      <c r="A803" s="1">
        <v>1771.5450000000001</v>
      </c>
      <c r="B803">
        <v>15</v>
      </c>
      <c r="D803" s="2">
        <v>56447.9</v>
      </c>
      <c r="M803">
        <v>9</v>
      </c>
      <c r="Y803" s="1">
        <f t="shared" si="60"/>
        <v>1771.5450000000001</v>
      </c>
      <c r="Z803" s="2">
        <f t="shared" si="61"/>
        <v>56447.9</v>
      </c>
      <c r="AA803" s="2">
        <f t="shared" si="62"/>
        <v>56447.902819290503</v>
      </c>
      <c r="AB803" s="1">
        <f t="shared" si="63"/>
        <v>6.5931828663480324E-2</v>
      </c>
      <c r="AC803" s="1" t="b">
        <f t="shared" si="64"/>
        <v>1</v>
      </c>
    </row>
    <row r="804" spans="1:29" x14ac:dyDescent="0.25">
      <c r="A804" s="1">
        <v>1771.4829999999999</v>
      </c>
      <c r="B804">
        <v>10</v>
      </c>
      <c r="D804" s="2">
        <v>56449.9</v>
      </c>
      <c r="M804">
        <v>9</v>
      </c>
      <c r="Y804" s="1">
        <f t="shared" si="60"/>
        <v>1771.4829999999999</v>
      </c>
      <c r="Z804" s="2">
        <f t="shared" si="61"/>
        <v>56449.9</v>
      </c>
      <c r="AA804" s="2">
        <f t="shared" si="62"/>
        <v>56449.878435186794</v>
      </c>
      <c r="AB804" s="1">
        <f t="shared" si="63"/>
        <v>6.5932943876736844E-2</v>
      </c>
      <c r="AC804" s="1" t="b">
        <f t="shared" si="64"/>
        <v>1</v>
      </c>
    </row>
    <row r="805" spans="1:29" x14ac:dyDescent="0.25">
      <c r="A805" s="1">
        <v>1771.328</v>
      </c>
      <c r="B805">
        <v>4</v>
      </c>
      <c r="D805" s="2">
        <v>56454.8</v>
      </c>
      <c r="M805">
        <v>9</v>
      </c>
      <c r="Y805" s="1">
        <f t="shared" si="60"/>
        <v>1771.328</v>
      </c>
      <c r="Z805" s="2">
        <f t="shared" si="61"/>
        <v>56454.8</v>
      </c>
      <c r="AA805" s="2">
        <f t="shared" si="62"/>
        <v>56454.81807999422</v>
      </c>
      <c r="AB805" s="1">
        <f t="shared" si="63"/>
        <v>6.5935732422226209E-2</v>
      </c>
      <c r="AC805" s="1" t="b">
        <f t="shared" si="64"/>
        <v>1</v>
      </c>
    </row>
    <row r="806" spans="1:29" x14ac:dyDescent="0.25">
      <c r="A806" s="1">
        <v>1769.3979999999999</v>
      </c>
      <c r="B806">
        <v>100</v>
      </c>
      <c r="D806" s="2">
        <v>56516.4</v>
      </c>
      <c r="E806">
        <v>23844</v>
      </c>
      <c r="F806" t="s">
        <v>15</v>
      </c>
      <c r="G806" t="s">
        <v>16</v>
      </c>
      <c r="H806">
        <v>80360</v>
      </c>
      <c r="I806" t="s">
        <v>17</v>
      </c>
      <c r="J806" t="s">
        <v>23</v>
      </c>
      <c r="K806">
        <v>23844.58</v>
      </c>
      <c r="L806">
        <v>80360.820000000007</v>
      </c>
      <c r="M806">
        <v>9</v>
      </c>
      <c r="Y806" s="1">
        <f t="shared" si="60"/>
        <v>1769.3979999999999</v>
      </c>
      <c r="Z806" s="2">
        <f t="shared" si="61"/>
        <v>56516.4</v>
      </c>
      <c r="AA806" s="2">
        <f t="shared" si="62"/>
        <v>56516.397102291288</v>
      </c>
      <c r="AB806" s="1">
        <f t="shared" si="63"/>
        <v>6.5970515707119398E-2</v>
      </c>
      <c r="AC806" s="1" t="b">
        <f t="shared" si="64"/>
        <v>1</v>
      </c>
    </row>
    <row r="807" spans="1:29" x14ac:dyDescent="0.25">
      <c r="A807" s="1">
        <v>1769.0640000000001</v>
      </c>
      <c r="B807">
        <v>20</v>
      </c>
      <c r="D807" s="2">
        <v>56527.1</v>
      </c>
      <c r="E807">
        <v>21294</v>
      </c>
      <c r="F807" t="s">
        <v>15</v>
      </c>
      <c r="G807" t="s">
        <v>18</v>
      </c>
      <c r="H807">
        <v>77822</v>
      </c>
      <c r="I807" t="s">
        <v>17</v>
      </c>
      <c r="J807" t="s">
        <v>28</v>
      </c>
      <c r="K807">
        <v>21294.89</v>
      </c>
      <c r="L807">
        <v>77822</v>
      </c>
      <c r="M807">
        <v>9</v>
      </c>
      <c r="Y807" s="1">
        <f t="shared" si="60"/>
        <v>1769.0640000000001</v>
      </c>
      <c r="Z807" s="2">
        <f t="shared" si="61"/>
        <v>56527.1</v>
      </c>
      <c r="AA807" s="2">
        <f t="shared" si="62"/>
        <v>56527.067420963853</v>
      </c>
      <c r="AB807" s="1">
        <f t="shared" si="63"/>
        <v>6.5976546756070967E-2</v>
      </c>
      <c r="AC807" s="1" t="b">
        <f t="shared" si="64"/>
        <v>1</v>
      </c>
    </row>
    <row r="808" spans="1:29" x14ac:dyDescent="0.25">
      <c r="A808" s="1">
        <v>1768.6179999999999</v>
      </c>
      <c r="B808">
        <v>7</v>
      </c>
      <c r="D808" s="2">
        <v>56541.3</v>
      </c>
      <c r="M808">
        <v>9</v>
      </c>
      <c r="Y808" s="1">
        <f t="shared" si="60"/>
        <v>1768.6179999999999</v>
      </c>
      <c r="Z808" s="2">
        <f t="shared" si="61"/>
        <v>56541.3</v>
      </c>
      <c r="AA808" s="2">
        <f t="shared" si="62"/>
        <v>56541.322094426272</v>
      </c>
      <c r="AB808" s="1">
        <f t="shared" si="63"/>
        <v>6.5984605520928288E-2</v>
      </c>
      <c r="AC808" s="1" t="b">
        <f t="shared" si="64"/>
        <v>1</v>
      </c>
    </row>
    <row r="809" spans="1:29" x14ac:dyDescent="0.25">
      <c r="A809" s="1">
        <v>1768.479</v>
      </c>
      <c r="B809">
        <v>10</v>
      </c>
      <c r="D809" s="2">
        <v>56545.8</v>
      </c>
      <c r="M809">
        <v>9</v>
      </c>
      <c r="Y809" s="1">
        <f t="shared" si="60"/>
        <v>1768.479</v>
      </c>
      <c r="Z809" s="2">
        <f t="shared" si="61"/>
        <v>56545.8</v>
      </c>
      <c r="AA809" s="2">
        <f t="shared" si="62"/>
        <v>56545.766164031353</v>
      </c>
      <c r="AB809" s="1">
        <f t="shared" si="63"/>
        <v>6.5987118355386565E-2</v>
      </c>
      <c r="AC809" s="1" t="b">
        <f t="shared" si="64"/>
        <v>1</v>
      </c>
    </row>
    <row r="810" spans="1:29" x14ac:dyDescent="0.25">
      <c r="A810" s="1">
        <v>1768.114</v>
      </c>
      <c r="B810">
        <v>5</v>
      </c>
      <c r="D810" s="2">
        <v>56557.4</v>
      </c>
      <c r="M810">
        <v>9</v>
      </c>
      <c r="Y810" s="1">
        <f t="shared" si="60"/>
        <v>1768.114</v>
      </c>
      <c r="Z810" s="2">
        <f t="shared" si="61"/>
        <v>56557.4</v>
      </c>
      <c r="AA810" s="2">
        <f t="shared" si="62"/>
        <v>56557.439169646299</v>
      </c>
      <c r="AB810" s="1">
        <f t="shared" si="63"/>
        <v>6.5993719627141206E-2</v>
      </c>
      <c r="AC810" s="1" t="b">
        <f t="shared" si="64"/>
        <v>1</v>
      </c>
    </row>
    <row r="811" spans="1:29" x14ac:dyDescent="0.25">
      <c r="A811" s="1">
        <v>1766.432</v>
      </c>
      <c r="B811">
        <v>3</v>
      </c>
      <c r="D811" s="2">
        <v>56611.3</v>
      </c>
      <c r="E811">
        <v>22277</v>
      </c>
      <c r="F811" t="s">
        <v>15</v>
      </c>
      <c r="G811" t="s">
        <v>29</v>
      </c>
      <c r="H811">
        <v>78889</v>
      </c>
      <c r="I811" t="s">
        <v>17</v>
      </c>
      <c r="J811" t="s">
        <v>29</v>
      </c>
      <c r="K811">
        <v>22277.66</v>
      </c>
      <c r="L811">
        <v>78889.14</v>
      </c>
      <c r="M811">
        <v>9</v>
      </c>
      <c r="Y811" s="1">
        <f t="shared" si="60"/>
        <v>1766.432</v>
      </c>
      <c r="Z811" s="2">
        <f t="shared" si="61"/>
        <v>56611.3</v>
      </c>
      <c r="AA811" s="2">
        <f t="shared" si="62"/>
        <v>56611.293273672578</v>
      </c>
      <c r="AB811" s="1">
        <f t="shared" si="63"/>
        <v>6.602419263058884E-2</v>
      </c>
      <c r="AC811" s="1" t="b">
        <f t="shared" si="64"/>
        <v>1</v>
      </c>
    </row>
    <row r="812" spans="1:29" x14ac:dyDescent="0.25">
      <c r="A812" s="1">
        <v>1765.5429999999999</v>
      </c>
      <c r="B812">
        <v>2</v>
      </c>
      <c r="D812" s="2">
        <v>56639.8</v>
      </c>
      <c r="M812">
        <v>9</v>
      </c>
      <c r="Y812" s="1">
        <f t="shared" si="60"/>
        <v>1765.5429999999999</v>
      </c>
      <c r="Z812" s="2">
        <f t="shared" si="61"/>
        <v>56639.8</v>
      </c>
      <c r="AA812" s="2">
        <f t="shared" si="62"/>
        <v>56639.7986341879</v>
      </c>
      <c r="AB812" s="1">
        <f t="shared" si="63"/>
        <v>6.6040333946606772E-2</v>
      </c>
      <c r="AC812" s="1" t="b">
        <f t="shared" si="64"/>
        <v>1</v>
      </c>
    </row>
    <row r="813" spans="1:29" x14ac:dyDescent="0.25">
      <c r="A813" s="1">
        <v>1765.299</v>
      </c>
      <c r="B813">
        <v>1</v>
      </c>
      <c r="D813" s="2">
        <v>56647.6</v>
      </c>
      <c r="E813">
        <v>22747</v>
      </c>
      <c r="F813" t="s">
        <v>15</v>
      </c>
      <c r="G813" t="s">
        <v>16</v>
      </c>
      <c r="H813">
        <v>79395</v>
      </c>
      <c r="I813" t="s">
        <v>17</v>
      </c>
      <c r="J813" t="s">
        <v>18</v>
      </c>
      <c r="K813">
        <v>22747.69</v>
      </c>
      <c r="L813">
        <v>79395.55</v>
      </c>
      <c r="M813">
        <v>9</v>
      </c>
      <c r="Y813" s="1">
        <f t="shared" si="60"/>
        <v>1765.299</v>
      </c>
      <c r="Z813" s="2">
        <f t="shared" si="61"/>
        <v>56647.6</v>
      </c>
      <c r="AA813" s="2">
        <f t="shared" si="62"/>
        <v>56647.62739909783</v>
      </c>
      <c r="AB813" s="1">
        <f t="shared" si="63"/>
        <v>6.60447684497351E-2</v>
      </c>
      <c r="AC813" s="1" t="b">
        <f t="shared" si="64"/>
        <v>1</v>
      </c>
    </row>
    <row r="814" spans="1:29" x14ac:dyDescent="0.25">
      <c r="A814" s="1">
        <v>1765.087</v>
      </c>
      <c r="B814">
        <v>4</v>
      </c>
      <c r="D814" s="2">
        <v>56654.400000000001</v>
      </c>
      <c r="E814">
        <v>36642</v>
      </c>
      <c r="F814" t="s">
        <v>15</v>
      </c>
      <c r="G814" t="s">
        <v>50</v>
      </c>
      <c r="H814">
        <v>93296</v>
      </c>
      <c r="I814" t="s">
        <v>17</v>
      </c>
      <c r="J814" t="s">
        <v>23</v>
      </c>
      <c r="K814">
        <v>36642.129999999997</v>
      </c>
      <c r="L814">
        <v>93296.5</v>
      </c>
      <c r="M814">
        <v>9</v>
      </c>
      <c r="Y814" s="1">
        <f t="shared" si="60"/>
        <v>1765.087</v>
      </c>
      <c r="Z814" s="2">
        <f t="shared" si="61"/>
        <v>56654.400000000001</v>
      </c>
      <c r="AA814" s="2">
        <f t="shared" si="62"/>
        <v>56654.431198008941</v>
      </c>
      <c r="AB814" s="1">
        <f t="shared" si="63"/>
        <v>6.6048622871849649E-2</v>
      </c>
      <c r="AC814" s="1" t="b">
        <f t="shared" si="64"/>
        <v>1</v>
      </c>
    </row>
    <row r="815" spans="1:29" x14ac:dyDescent="0.25">
      <c r="A815" s="1">
        <v>1764.8589999999999</v>
      </c>
      <c r="B815">
        <v>10</v>
      </c>
      <c r="C815" t="s">
        <v>123</v>
      </c>
      <c r="D815" s="2">
        <v>56661.7</v>
      </c>
      <c r="M815">
        <v>9</v>
      </c>
      <c r="Y815" s="1">
        <f t="shared" si="60"/>
        <v>1764.8589999999999</v>
      </c>
      <c r="Z815" s="2">
        <f t="shared" si="61"/>
        <v>56661.7</v>
      </c>
      <c r="AA815" s="2">
        <f t="shared" si="62"/>
        <v>56661.750315464298</v>
      </c>
      <c r="AB815" s="1">
        <f t="shared" si="63"/>
        <v>6.6052769744060102E-2</v>
      </c>
      <c r="AC815" s="1" t="b">
        <f t="shared" si="64"/>
        <v>1</v>
      </c>
    </row>
    <row r="816" spans="1:29" x14ac:dyDescent="0.25">
      <c r="A816" s="1">
        <v>1763.1220000000001</v>
      </c>
      <c r="B816">
        <v>20</v>
      </c>
      <c r="D816" s="2">
        <v>56717.599999999999</v>
      </c>
      <c r="M816">
        <v>9</v>
      </c>
      <c r="Y816" s="1">
        <f t="shared" si="60"/>
        <v>1763.1220000000001</v>
      </c>
      <c r="Z816" s="2">
        <f t="shared" si="61"/>
        <v>56717.599999999999</v>
      </c>
      <c r="AA816" s="2">
        <f t="shared" si="62"/>
        <v>56717.572578641746</v>
      </c>
      <c r="AB816" s="1">
        <f t="shared" si="63"/>
        <v>6.6084415196067475E-2</v>
      </c>
      <c r="AC816" s="1" t="b">
        <f t="shared" si="64"/>
        <v>1</v>
      </c>
    </row>
    <row r="817" spans="1:29" x14ac:dyDescent="0.25">
      <c r="A817" s="1">
        <v>1763.0050000000001</v>
      </c>
      <c r="B817">
        <v>1</v>
      </c>
      <c r="D817" s="2">
        <v>56721.3</v>
      </c>
      <c r="M817">
        <v>9</v>
      </c>
      <c r="Y817" s="1">
        <f t="shared" si="60"/>
        <v>1763.0050000000001</v>
      </c>
      <c r="Z817" s="2">
        <f t="shared" si="61"/>
        <v>56721.3</v>
      </c>
      <c r="AA817" s="2">
        <f t="shared" si="62"/>
        <v>56721.336581575204</v>
      </c>
      <c r="AB817" s="1">
        <f t="shared" si="63"/>
        <v>6.6086550118001713E-2</v>
      </c>
      <c r="AC817" s="1" t="b">
        <f t="shared" si="64"/>
        <v>1</v>
      </c>
    </row>
    <row r="818" spans="1:29" x14ac:dyDescent="0.25">
      <c r="A818" s="1">
        <v>1762.665</v>
      </c>
      <c r="B818">
        <v>7</v>
      </c>
      <c r="D818" s="2">
        <v>56732.3</v>
      </c>
      <c r="E818">
        <v>14859</v>
      </c>
      <c r="F818" t="s">
        <v>15</v>
      </c>
      <c r="G818" t="s">
        <v>23</v>
      </c>
      <c r="H818">
        <v>71592</v>
      </c>
      <c r="I818" t="s">
        <v>17</v>
      </c>
      <c r="J818" t="s">
        <v>16</v>
      </c>
      <c r="K818">
        <v>14859.96</v>
      </c>
      <c r="L818">
        <v>71592.34</v>
      </c>
      <c r="M818">
        <v>9</v>
      </c>
      <c r="Y818" s="1">
        <f t="shared" si="60"/>
        <v>1762.665</v>
      </c>
      <c r="Z818" s="2">
        <f t="shared" si="61"/>
        <v>56732.3</v>
      </c>
      <c r="AA818" s="2">
        <f t="shared" si="62"/>
        <v>56732.277545648212</v>
      </c>
      <c r="AB818" s="1">
        <f t="shared" si="63"/>
        <v>6.6092756577582304E-2</v>
      </c>
      <c r="AC818" s="1" t="b">
        <f t="shared" si="64"/>
        <v>1</v>
      </c>
    </row>
    <row r="819" spans="1:29" x14ac:dyDescent="0.25">
      <c r="A819" s="1">
        <v>1761.6679999999999</v>
      </c>
      <c r="B819">
        <v>20</v>
      </c>
      <c r="D819" s="2">
        <v>56764.4</v>
      </c>
      <c r="M819">
        <v>9</v>
      </c>
      <c r="Y819" s="1">
        <f t="shared" si="60"/>
        <v>1761.6679999999999</v>
      </c>
      <c r="Z819" s="2">
        <f t="shared" si="61"/>
        <v>56764.4</v>
      </c>
      <c r="AA819" s="2">
        <f t="shared" si="62"/>
        <v>56764.384662717384</v>
      </c>
      <c r="AB819" s="1">
        <f t="shared" si="63"/>
        <v>6.6110976830684731E-2</v>
      </c>
      <c r="AC819" s="1" t="b">
        <f t="shared" si="64"/>
        <v>1</v>
      </c>
    </row>
    <row r="820" spans="1:29" x14ac:dyDescent="0.25">
      <c r="A820" s="1">
        <v>1761.0519999999999</v>
      </c>
      <c r="B820">
        <v>2</v>
      </c>
      <c r="D820" s="2">
        <v>56784.2</v>
      </c>
      <c r="M820">
        <v>9</v>
      </c>
      <c r="Y820" s="1">
        <f t="shared" si="60"/>
        <v>1761.0519999999999</v>
      </c>
      <c r="Z820" s="2">
        <f t="shared" si="61"/>
        <v>56784.2</v>
      </c>
      <c r="AA820" s="2">
        <f t="shared" si="62"/>
        <v>56784.240329076034</v>
      </c>
      <c r="AB820" s="1">
        <f t="shared" si="63"/>
        <v>6.6122249748751333E-2</v>
      </c>
      <c r="AC820" s="1" t="b">
        <f t="shared" si="64"/>
        <v>1</v>
      </c>
    </row>
    <row r="821" spans="1:29" x14ac:dyDescent="0.25">
      <c r="A821" s="1">
        <v>1760.8589999999999</v>
      </c>
      <c r="B821">
        <v>10</v>
      </c>
      <c r="D821" s="2">
        <v>56790.5</v>
      </c>
      <c r="M821">
        <v>9</v>
      </c>
      <c r="Y821" s="1">
        <f t="shared" si="60"/>
        <v>1760.8589999999999</v>
      </c>
      <c r="Z821" s="2">
        <f t="shared" si="61"/>
        <v>56790.5</v>
      </c>
      <c r="AA821" s="2">
        <f t="shared" si="62"/>
        <v>56790.464199575326</v>
      </c>
      <c r="AB821" s="1">
        <f t="shared" si="63"/>
        <v>6.612578412001624E-2</v>
      </c>
      <c r="AC821" s="1" t="b">
        <f t="shared" si="64"/>
        <v>1</v>
      </c>
    </row>
    <row r="822" spans="1:29" x14ac:dyDescent="0.25">
      <c r="A822" s="1">
        <v>1760.518</v>
      </c>
      <c r="B822">
        <v>10</v>
      </c>
      <c r="C822" t="s">
        <v>123</v>
      </c>
      <c r="D822" s="2">
        <v>56801.5</v>
      </c>
      <c r="M822">
        <v>9</v>
      </c>
      <c r="Y822" s="1">
        <f t="shared" si="60"/>
        <v>1760.518</v>
      </c>
      <c r="Z822" s="2">
        <f t="shared" si="61"/>
        <v>56801.5</v>
      </c>
      <c r="AA822" s="2">
        <f t="shared" si="62"/>
        <v>56801.464114539012</v>
      </c>
      <c r="AB822" s="1">
        <f t="shared" si="63"/>
        <v>6.6132031627776325E-2</v>
      </c>
      <c r="AC822" s="1" t="b">
        <f t="shared" si="64"/>
        <v>1</v>
      </c>
    </row>
    <row r="823" spans="1:29" x14ac:dyDescent="0.25">
      <c r="A823" s="1">
        <v>1759.9159999999999</v>
      </c>
      <c r="B823">
        <v>1</v>
      </c>
      <c r="D823" s="2">
        <v>56820.9</v>
      </c>
      <c r="M823">
        <v>9</v>
      </c>
      <c r="Y823" s="1">
        <f t="shared" si="60"/>
        <v>1759.9159999999999</v>
      </c>
      <c r="Z823" s="2">
        <f t="shared" si="61"/>
        <v>56820.9</v>
      </c>
      <c r="AA823" s="2">
        <f t="shared" si="62"/>
        <v>56820.893724473215</v>
      </c>
      <c r="AB823" s="1">
        <f t="shared" si="63"/>
        <v>6.6143069818239406E-2</v>
      </c>
      <c r="AC823" s="1" t="b">
        <f t="shared" si="64"/>
        <v>1</v>
      </c>
    </row>
    <row r="824" spans="1:29" x14ac:dyDescent="0.25">
      <c r="A824" s="1">
        <v>1759.318</v>
      </c>
      <c r="B824">
        <v>30</v>
      </c>
      <c r="D824" s="2">
        <v>56840.2</v>
      </c>
      <c r="M824">
        <v>9</v>
      </c>
      <c r="Y824" s="1">
        <f t="shared" si="60"/>
        <v>1759.318</v>
      </c>
      <c r="Z824" s="2">
        <f t="shared" si="61"/>
        <v>56840.2</v>
      </c>
      <c r="AA824" s="2">
        <f t="shared" si="62"/>
        <v>56840.207398548759</v>
      </c>
      <c r="AB824" s="1">
        <f t="shared" si="63"/>
        <v>6.6154045885550183E-2</v>
      </c>
      <c r="AC824" s="1" t="b">
        <f t="shared" si="64"/>
        <v>1</v>
      </c>
    </row>
    <row r="825" spans="1:29" x14ac:dyDescent="0.25">
      <c r="A825" s="1">
        <v>1759.278</v>
      </c>
      <c r="B825">
        <v>10</v>
      </c>
      <c r="C825" t="s">
        <v>122</v>
      </c>
      <c r="D825" s="2">
        <v>56841.5</v>
      </c>
      <c r="M825">
        <v>9</v>
      </c>
      <c r="Y825" s="1">
        <f t="shared" si="60"/>
        <v>1759.278</v>
      </c>
      <c r="Z825" s="2">
        <f t="shared" si="61"/>
        <v>56841.5</v>
      </c>
      <c r="AA825" s="2">
        <f t="shared" si="62"/>
        <v>56841.499751602649</v>
      </c>
      <c r="AB825" s="1">
        <f t="shared" si="63"/>
        <v>6.6154780470057226E-2</v>
      </c>
      <c r="AC825" s="1" t="b">
        <f t="shared" si="64"/>
        <v>1</v>
      </c>
    </row>
    <row r="826" spans="1:29" x14ac:dyDescent="0.25">
      <c r="A826" s="1">
        <v>1758.3510000000001</v>
      </c>
      <c r="B826">
        <v>5</v>
      </c>
      <c r="D826" s="2">
        <v>56871.5</v>
      </c>
      <c r="M826">
        <v>9</v>
      </c>
      <c r="Y826" s="1">
        <f t="shared" si="60"/>
        <v>1758.3510000000001</v>
      </c>
      <c r="Z826" s="2">
        <f t="shared" si="61"/>
        <v>56871.5</v>
      </c>
      <c r="AA826" s="2">
        <f t="shared" si="62"/>
        <v>56871.466504696727</v>
      </c>
      <c r="AB826" s="1">
        <f t="shared" si="63"/>
        <v>6.6171818511974206E-2</v>
      </c>
      <c r="AC826" s="1" t="b">
        <f t="shared" si="64"/>
        <v>1</v>
      </c>
    </row>
    <row r="827" spans="1:29" x14ac:dyDescent="0.25">
      <c r="A827" s="1">
        <v>1758.277</v>
      </c>
      <c r="B827">
        <v>1</v>
      </c>
      <c r="D827" s="2">
        <v>56873.9</v>
      </c>
      <c r="M827">
        <v>9</v>
      </c>
      <c r="Y827" s="1">
        <f t="shared" si="60"/>
        <v>1758.277</v>
      </c>
      <c r="Z827" s="2">
        <f t="shared" si="61"/>
        <v>56873.9</v>
      </c>
      <c r="AA827" s="2">
        <f t="shared" si="62"/>
        <v>56873.86003456793</v>
      </c>
      <c r="AB827" s="1">
        <f t="shared" si="63"/>
        <v>6.6173179776158123E-2</v>
      </c>
      <c r="AC827" s="1" t="b">
        <f t="shared" si="64"/>
        <v>1</v>
      </c>
    </row>
    <row r="828" spans="1:29" x14ac:dyDescent="0.25">
      <c r="A828" s="1">
        <v>1758.1959999999999</v>
      </c>
      <c r="B828">
        <v>7</v>
      </c>
      <c r="D828" s="2">
        <v>56876.5</v>
      </c>
      <c r="E828">
        <v>14859</v>
      </c>
      <c r="F828" t="s">
        <v>15</v>
      </c>
      <c r="G828" t="s">
        <v>23</v>
      </c>
      <c r="H828">
        <v>71736</v>
      </c>
      <c r="I828" t="s">
        <v>17</v>
      </c>
      <c r="J828" t="s">
        <v>23</v>
      </c>
      <c r="K828">
        <v>14859.96</v>
      </c>
      <c r="L828">
        <v>71736.45</v>
      </c>
      <c r="M828">
        <v>9</v>
      </c>
      <c r="Y828" s="1">
        <f t="shared" si="60"/>
        <v>1758.1959999999999</v>
      </c>
      <c r="Z828" s="2">
        <f t="shared" si="61"/>
        <v>56876.5</v>
      </c>
      <c r="AA828" s="2">
        <f t="shared" si="62"/>
        <v>56876.48021039748</v>
      </c>
      <c r="AB828" s="1">
        <f t="shared" si="63"/>
        <v>6.6174670005618677E-2</v>
      </c>
      <c r="AC828" s="1" t="b">
        <f t="shared" si="64"/>
        <v>1</v>
      </c>
    </row>
    <row r="829" spans="1:29" x14ac:dyDescent="0.25">
      <c r="A829" s="1">
        <v>1755.5219999999999</v>
      </c>
      <c r="B829">
        <v>20</v>
      </c>
      <c r="D829" s="2">
        <v>56963.1</v>
      </c>
      <c r="M829">
        <v>9</v>
      </c>
      <c r="Y829" s="1">
        <f t="shared" si="60"/>
        <v>1755.5219999999999</v>
      </c>
      <c r="Z829" s="2">
        <f t="shared" si="61"/>
        <v>56963.1</v>
      </c>
      <c r="AA829" s="2">
        <f t="shared" si="62"/>
        <v>56963.114105092391</v>
      </c>
      <c r="AB829" s="1">
        <f t="shared" si="63"/>
        <v>6.6223981842748886E-2</v>
      </c>
      <c r="AC829" s="1" t="b">
        <f t="shared" si="64"/>
        <v>1</v>
      </c>
    </row>
    <row r="830" spans="1:29" x14ac:dyDescent="0.25">
      <c r="A830" s="1">
        <v>1755.4449999999999</v>
      </c>
      <c r="B830">
        <v>4</v>
      </c>
      <c r="D830" s="2">
        <v>56965.599999999999</v>
      </c>
      <c r="E830">
        <v>31254</v>
      </c>
      <c r="F830" t="s">
        <v>15</v>
      </c>
      <c r="G830" t="s">
        <v>18</v>
      </c>
      <c r="H830">
        <v>88220</v>
      </c>
      <c r="I830" t="s">
        <v>17</v>
      </c>
      <c r="J830" t="s">
        <v>16</v>
      </c>
      <c r="K830">
        <v>31254.71</v>
      </c>
      <c r="L830">
        <v>88220.2</v>
      </c>
      <c r="M830">
        <v>9</v>
      </c>
      <c r="Y830" s="1">
        <f t="shared" si="60"/>
        <v>1755.4449999999999</v>
      </c>
      <c r="Z830" s="2">
        <f t="shared" si="61"/>
        <v>56965.599999999999</v>
      </c>
      <c r="AA830" s="2">
        <f t="shared" si="62"/>
        <v>56965.612707888882</v>
      </c>
      <c r="AB830" s="1">
        <f t="shared" si="63"/>
        <v>6.6225405155925954E-2</v>
      </c>
      <c r="AC830" s="1" t="b">
        <f t="shared" si="64"/>
        <v>1</v>
      </c>
    </row>
    <row r="831" spans="1:29" x14ac:dyDescent="0.25">
      <c r="A831" s="1">
        <v>1754.934</v>
      </c>
      <c r="B831">
        <v>10</v>
      </c>
      <c r="C831" t="s">
        <v>123</v>
      </c>
      <c r="D831" s="2">
        <v>56982.2</v>
      </c>
      <c r="M831">
        <v>9</v>
      </c>
      <c r="Y831" s="1">
        <f t="shared" si="60"/>
        <v>1754.934</v>
      </c>
      <c r="Z831" s="2">
        <f t="shared" si="61"/>
        <v>56982.2</v>
      </c>
      <c r="AA831" s="2">
        <f t="shared" si="62"/>
        <v>56982.199900395113</v>
      </c>
      <c r="AB831" s="1">
        <f t="shared" si="63"/>
        <v>6.6234855527442946E-2</v>
      </c>
      <c r="AC831" s="1" t="b">
        <f t="shared" si="64"/>
        <v>1</v>
      </c>
    </row>
    <row r="832" spans="1:29" x14ac:dyDescent="0.25">
      <c r="A832" s="1">
        <v>1754.5830000000001</v>
      </c>
      <c r="B832">
        <v>200</v>
      </c>
      <c r="D832" s="2">
        <v>56993.599999999999</v>
      </c>
      <c r="M832">
        <v>9</v>
      </c>
      <c r="Y832" s="1">
        <f t="shared" si="60"/>
        <v>1754.5830000000001</v>
      </c>
      <c r="Z832" s="2">
        <f t="shared" si="61"/>
        <v>56993.599999999999</v>
      </c>
      <c r="AA832" s="2">
        <f t="shared" si="62"/>
        <v>56993.599048890814</v>
      </c>
      <c r="AB832" s="1">
        <f t="shared" si="63"/>
        <v>6.624135166272864E-2</v>
      </c>
      <c r="AC832" s="1" t="b">
        <f t="shared" si="64"/>
        <v>1</v>
      </c>
    </row>
    <row r="833" spans="1:29" x14ac:dyDescent="0.25">
      <c r="A833" s="1">
        <v>1753.297</v>
      </c>
      <c r="B833">
        <v>10</v>
      </c>
      <c r="D833" s="2">
        <v>57035.4</v>
      </c>
      <c r="M833">
        <v>9</v>
      </c>
      <c r="Y833" s="1">
        <f t="shared" si="60"/>
        <v>1753.297</v>
      </c>
      <c r="Z833" s="2">
        <f t="shared" si="61"/>
        <v>57035.4</v>
      </c>
      <c r="AA833" s="2">
        <f t="shared" si="62"/>
        <v>57035.402444651416</v>
      </c>
      <c r="AB833" s="1">
        <f t="shared" si="63"/>
        <v>6.6265185660116743E-2</v>
      </c>
      <c r="AC833" s="1" t="b">
        <f t="shared" si="64"/>
        <v>1</v>
      </c>
    </row>
    <row r="834" spans="1:29" x14ac:dyDescent="0.25">
      <c r="A834" s="1">
        <v>1750.4860000000001</v>
      </c>
      <c r="B834">
        <v>5</v>
      </c>
      <c r="C834" t="s">
        <v>122</v>
      </c>
      <c r="D834" s="2">
        <v>57127</v>
      </c>
      <c r="M834">
        <v>9</v>
      </c>
      <c r="Y834" s="1">
        <f t="shared" si="60"/>
        <v>1750.4860000000001</v>
      </c>
      <c r="Z834" s="2">
        <f t="shared" si="61"/>
        <v>57127</v>
      </c>
      <c r="AA834" s="2">
        <f t="shared" si="62"/>
        <v>57126.992161034133</v>
      </c>
      <c r="AB834" s="1">
        <f t="shared" si="63"/>
        <v>6.6317466166834274E-2</v>
      </c>
      <c r="AC834" s="1" t="b">
        <f t="shared" si="64"/>
        <v>1</v>
      </c>
    </row>
    <row r="835" spans="1:29" x14ac:dyDescent="0.25">
      <c r="A835" s="1">
        <v>1750.462</v>
      </c>
      <c r="B835">
        <v>5</v>
      </c>
      <c r="C835" t="s">
        <v>122</v>
      </c>
      <c r="D835" s="2">
        <v>57127.8</v>
      </c>
      <c r="E835">
        <v>71978</v>
      </c>
      <c r="F835" t="s">
        <v>17</v>
      </c>
      <c r="G835" t="s">
        <v>18</v>
      </c>
      <c r="H835">
        <v>129106</v>
      </c>
      <c r="I835" t="s">
        <v>15</v>
      </c>
      <c r="J835" t="s">
        <v>16</v>
      </c>
      <c r="K835">
        <v>71978.52</v>
      </c>
      <c r="L835">
        <v>129106.1</v>
      </c>
      <c r="M835">
        <v>9</v>
      </c>
      <c r="N835" t="s">
        <v>1091</v>
      </c>
      <c r="Y835" s="1">
        <f t="shared" ref="Y835:Y898" si="65">ROUND($A835,3)+0</f>
        <v>1750.462</v>
      </c>
      <c r="Z835" s="2">
        <f t="shared" ref="Z835:Z898" si="66">ROUND($D835,1)+0</f>
        <v>57127.8</v>
      </c>
      <c r="AA835" s="2">
        <f t="shared" ref="AA835:AA898" si="67">100000000/Y835</f>
        <v>57127.775410148861</v>
      </c>
      <c r="AB835" s="1">
        <f t="shared" ref="AB835:AB898" si="68">0.0005/$Y835*AA835+0.05</f>
        <v>6.6317913616562044E-2</v>
      </c>
      <c r="AC835" s="1" t="b">
        <f t="shared" ref="AC835:AC898" si="69">ABS(Z835-AA835)&lt;AB835</f>
        <v>1</v>
      </c>
    </row>
    <row r="836" spans="1:29" x14ac:dyDescent="0.25">
      <c r="A836" s="1">
        <v>1749.16</v>
      </c>
      <c r="B836">
        <v>2</v>
      </c>
      <c r="D836" s="2">
        <v>57170.3</v>
      </c>
      <c r="E836">
        <v>35384</v>
      </c>
      <c r="F836" t="s">
        <v>15</v>
      </c>
      <c r="G836" t="s">
        <v>28</v>
      </c>
      <c r="H836">
        <v>92554</v>
      </c>
      <c r="I836" t="s">
        <v>17</v>
      </c>
      <c r="J836" t="s">
        <v>28</v>
      </c>
      <c r="K836">
        <v>35384.17</v>
      </c>
      <c r="L836">
        <v>92554.8</v>
      </c>
      <c r="M836">
        <v>9</v>
      </c>
      <c r="Y836" s="1">
        <f t="shared" si="65"/>
        <v>1749.16</v>
      </c>
      <c r="Z836" s="2">
        <f t="shared" si="66"/>
        <v>57170.3</v>
      </c>
      <c r="AA836" s="2">
        <f t="shared" si="67"/>
        <v>57170.298886322576</v>
      </c>
      <c r="AB836" s="1">
        <f t="shared" si="68"/>
        <v>6.6342215373757285E-2</v>
      </c>
      <c r="AC836" s="1" t="b">
        <f t="shared" si="69"/>
        <v>1</v>
      </c>
    </row>
    <row r="837" spans="1:29" x14ac:dyDescent="0.25">
      <c r="A837" s="1">
        <v>1748.33</v>
      </c>
      <c r="B837">
        <v>5</v>
      </c>
      <c r="D837" s="2">
        <v>57197.4</v>
      </c>
      <c r="M837">
        <v>9</v>
      </c>
      <c r="Y837" s="1">
        <f t="shared" si="65"/>
        <v>1748.33</v>
      </c>
      <c r="Z837" s="2">
        <f t="shared" si="66"/>
        <v>57197.4</v>
      </c>
      <c r="AA837" s="2">
        <f t="shared" si="67"/>
        <v>57197.439842592648</v>
      </c>
      <c r="AB837" s="1">
        <f t="shared" si="68"/>
        <v>6.6357735622735031E-2</v>
      </c>
      <c r="AC837" s="1" t="b">
        <f t="shared" si="69"/>
        <v>1</v>
      </c>
    </row>
    <row r="838" spans="1:29" x14ac:dyDescent="0.25">
      <c r="A838" s="1">
        <v>1747.9490000000001</v>
      </c>
      <c r="B838">
        <v>100</v>
      </c>
      <c r="D838" s="2">
        <v>57209.9</v>
      </c>
      <c r="M838">
        <v>9</v>
      </c>
      <c r="Y838" s="1">
        <f t="shared" si="65"/>
        <v>1747.9490000000001</v>
      </c>
      <c r="Z838" s="2">
        <f t="shared" si="66"/>
        <v>57209.9</v>
      </c>
      <c r="AA838" s="2">
        <f t="shared" si="67"/>
        <v>57209.907154041677</v>
      </c>
      <c r="AB838" s="1">
        <f t="shared" si="68"/>
        <v>6.6364867382870341E-2</v>
      </c>
      <c r="AC838" s="1" t="b">
        <f t="shared" si="69"/>
        <v>1</v>
      </c>
    </row>
    <row r="839" spans="1:29" x14ac:dyDescent="0.25">
      <c r="A839" s="1">
        <v>1746.2249999999999</v>
      </c>
      <c r="B839">
        <v>1</v>
      </c>
      <c r="D839" s="2">
        <v>57266.400000000001</v>
      </c>
      <c r="M839">
        <v>9</v>
      </c>
      <c r="Y839" s="1">
        <f t="shared" si="65"/>
        <v>1746.2249999999999</v>
      </c>
      <c r="Z839" s="2">
        <f t="shared" si="66"/>
        <v>57266.400000000001</v>
      </c>
      <c r="AA839" s="2">
        <f t="shared" si="67"/>
        <v>57266.388924680388</v>
      </c>
      <c r="AB839" s="1">
        <f t="shared" si="68"/>
        <v>6.6397196502363781E-2</v>
      </c>
      <c r="AC839" s="1" t="b">
        <f t="shared" si="69"/>
        <v>1</v>
      </c>
    </row>
    <row r="840" spans="1:29" x14ac:dyDescent="0.25">
      <c r="A840" s="1">
        <v>1745.8789999999999</v>
      </c>
      <c r="B840">
        <v>3</v>
      </c>
      <c r="D840" s="2">
        <v>57277.7</v>
      </c>
      <c r="E840">
        <v>21611</v>
      </c>
      <c r="F840" t="s">
        <v>15</v>
      </c>
      <c r="G840" t="s">
        <v>28</v>
      </c>
      <c r="H840">
        <v>78889</v>
      </c>
      <c r="I840" t="s">
        <v>17</v>
      </c>
      <c r="J840" t="s">
        <v>29</v>
      </c>
      <c r="K840">
        <v>21611.19</v>
      </c>
      <c r="L840">
        <v>78889.14</v>
      </c>
      <c r="M840">
        <v>9</v>
      </c>
      <c r="Y840" s="1">
        <f t="shared" si="65"/>
        <v>1745.8789999999999</v>
      </c>
      <c r="Z840" s="2">
        <f t="shared" si="66"/>
        <v>57277.7</v>
      </c>
      <c r="AA840" s="2">
        <f t="shared" si="67"/>
        <v>57277.738033391775</v>
      </c>
      <c r="AB840" s="1">
        <f t="shared" si="68"/>
        <v>6.640369637110928E-2</v>
      </c>
      <c r="AC840" s="1" t="b">
        <f t="shared" si="69"/>
        <v>1</v>
      </c>
    </row>
    <row r="841" spans="1:29" x14ac:dyDescent="0.25">
      <c r="A841" s="1">
        <v>1745.4739999999999</v>
      </c>
      <c r="B841">
        <v>10</v>
      </c>
      <c r="C841" t="s">
        <v>123</v>
      </c>
      <c r="D841" s="2">
        <v>57291</v>
      </c>
      <c r="M841">
        <v>9</v>
      </c>
      <c r="Y841" s="1">
        <f t="shared" si="65"/>
        <v>1745.4739999999999</v>
      </c>
      <c r="Z841" s="2">
        <f t="shared" si="66"/>
        <v>57291</v>
      </c>
      <c r="AA841" s="2">
        <f t="shared" si="67"/>
        <v>57291.028110415857</v>
      </c>
      <c r="AB841" s="1">
        <f t="shared" si="68"/>
        <v>6.6411309509742306E-2</v>
      </c>
      <c r="AC841" s="1" t="b">
        <f t="shared" si="69"/>
        <v>1</v>
      </c>
    </row>
    <row r="842" spans="1:29" x14ac:dyDescent="0.25">
      <c r="A842" s="1">
        <v>1745.329</v>
      </c>
      <c r="B842">
        <v>2</v>
      </c>
      <c r="D842" s="2">
        <v>57295.8</v>
      </c>
      <c r="M842">
        <v>9</v>
      </c>
      <c r="Y842" s="1">
        <f t="shared" si="65"/>
        <v>1745.329</v>
      </c>
      <c r="Z842" s="2">
        <f t="shared" si="66"/>
        <v>57295.8</v>
      </c>
      <c r="AA842" s="2">
        <f t="shared" si="67"/>
        <v>57295.787785569373</v>
      </c>
      <c r="AB842" s="1">
        <f t="shared" si="68"/>
        <v>6.6414036489845008E-2</v>
      </c>
      <c r="AC842" s="1" t="b">
        <f t="shared" si="69"/>
        <v>1</v>
      </c>
    </row>
    <row r="843" spans="1:29" x14ac:dyDescent="0.25">
      <c r="A843" s="1">
        <v>1744.5709999999999</v>
      </c>
      <c r="B843">
        <v>4</v>
      </c>
      <c r="D843" s="2">
        <v>57320.7</v>
      </c>
      <c r="M843">
        <v>9</v>
      </c>
      <c r="Y843" s="1">
        <f t="shared" si="65"/>
        <v>1744.5709999999999</v>
      </c>
      <c r="Z843" s="2">
        <f t="shared" si="66"/>
        <v>57320.7</v>
      </c>
      <c r="AA843" s="2">
        <f t="shared" si="67"/>
        <v>57320.682276617008</v>
      </c>
      <c r="AB843" s="1">
        <f t="shared" si="68"/>
        <v>6.6428303083284373E-2</v>
      </c>
      <c r="AC843" s="1" t="b">
        <f t="shared" si="69"/>
        <v>1</v>
      </c>
    </row>
    <row r="844" spans="1:29" x14ac:dyDescent="0.25">
      <c r="A844" s="1">
        <v>1743.9570000000001</v>
      </c>
      <c r="B844">
        <v>3</v>
      </c>
      <c r="D844" s="2">
        <v>57340.9</v>
      </c>
      <c r="E844">
        <v>23647</v>
      </c>
      <c r="F844" t="s">
        <v>15</v>
      </c>
      <c r="G844" t="s">
        <v>50</v>
      </c>
      <c r="H844">
        <v>80988</v>
      </c>
      <c r="I844" t="s">
        <v>17</v>
      </c>
      <c r="J844" t="s">
        <v>50</v>
      </c>
      <c r="K844">
        <v>23647.77</v>
      </c>
      <c r="L844">
        <v>80988.759999999995</v>
      </c>
      <c r="M844">
        <v>9</v>
      </c>
      <c r="Y844" s="1">
        <f t="shared" si="65"/>
        <v>1743.9570000000001</v>
      </c>
      <c r="Z844" s="2">
        <f t="shared" si="66"/>
        <v>57340.9</v>
      </c>
      <c r="AA844" s="2">
        <f t="shared" si="67"/>
        <v>57340.863335506547</v>
      </c>
      <c r="AB844" s="1">
        <f t="shared" si="68"/>
        <v>6.6439873040306199E-2</v>
      </c>
      <c r="AC844" s="1" t="b">
        <f t="shared" si="69"/>
        <v>1</v>
      </c>
    </row>
    <row r="845" spans="1:29" x14ac:dyDescent="0.25">
      <c r="A845" s="1">
        <v>1743.758</v>
      </c>
      <c r="B845">
        <v>1</v>
      </c>
      <c r="D845" s="2">
        <v>57347.4</v>
      </c>
      <c r="M845">
        <v>9</v>
      </c>
      <c r="Y845" s="1">
        <f t="shared" si="65"/>
        <v>1743.758</v>
      </c>
      <c r="Z845" s="2">
        <f t="shared" si="66"/>
        <v>57347.4</v>
      </c>
      <c r="AA845" s="2">
        <f t="shared" si="67"/>
        <v>57347.407151680447</v>
      </c>
      <c r="AB845" s="1">
        <f t="shared" si="68"/>
        <v>6.6443625535103051E-2</v>
      </c>
      <c r="AC845" s="1" t="b">
        <f t="shared" si="69"/>
        <v>1</v>
      </c>
    </row>
    <row r="846" spans="1:29" x14ac:dyDescent="0.25">
      <c r="A846" s="1">
        <v>1743.377</v>
      </c>
      <c r="B846">
        <v>400</v>
      </c>
      <c r="D846" s="2">
        <v>57359.9</v>
      </c>
      <c r="E846">
        <v>32760</v>
      </c>
      <c r="F846" t="s">
        <v>15</v>
      </c>
      <c r="G846" t="s">
        <v>50</v>
      </c>
      <c r="H846">
        <v>90119</v>
      </c>
      <c r="I846" t="s">
        <v>17</v>
      </c>
      <c r="J846" t="s">
        <v>23</v>
      </c>
      <c r="K846">
        <v>32760.11</v>
      </c>
      <c r="L846">
        <v>90119.8</v>
      </c>
      <c r="M846">
        <v>9</v>
      </c>
      <c r="Y846" s="1">
        <f t="shared" si="65"/>
        <v>1743.377</v>
      </c>
      <c r="Z846" s="2">
        <f t="shared" si="66"/>
        <v>57359.9</v>
      </c>
      <c r="AA846" s="2">
        <f t="shared" si="67"/>
        <v>57359.939932670903</v>
      </c>
      <c r="AB846" s="1">
        <f t="shared" si="68"/>
        <v>6.6450813545398071E-2</v>
      </c>
      <c r="AC846" s="1" t="b">
        <f t="shared" si="69"/>
        <v>1</v>
      </c>
    </row>
    <row r="847" spans="1:29" x14ac:dyDescent="0.25">
      <c r="A847" s="1">
        <v>1742.5740000000001</v>
      </c>
      <c r="B847">
        <v>2</v>
      </c>
      <c r="D847" s="2">
        <v>57386.400000000001</v>
      </c>
      <c r="M847">
        <v>9</v>
      </c>
      <c r="Y847" s="1">
        <f t="shared" si="65"/>
        <v>1742.5740000000001</v>
      </c>
      <c r="Z847" s="2">
        <f t="shared" si="66"/>
        <v>57386.400000000001</v>
      </c>
      <c r="AA847" s="2">
        <f t="shared" si="67"/>
        <v>57386.372113895879</v>
      </c>
      <c r="AB847" s="1">
        <f t="shared" si="68"/>
        <v>6.6465978521972641E-2</v>
      </c>
      <c r="AC847" s="1" t="b">
        <f t="shared" si="69"/>
        <v>1</v>
      </c>
    </row>
    <row r="848" spans="1:29" x14ac:dyDescent="0.25">
      <c r="A848" s="1">
        <v>1742.0730000000001</v>
      </c>
      <c r="B848">
        <v>10</v>
      </c>
      <c r="D848" s="2">
        <v>57402.9</v>
      </c>
      <c r="E848">
        <v>18211</v>
      </c>
      <c r="F848" t="s">
        <v>15</v>
      </c>
      <c r="G848" t="s">
        <v>28</v>
      </c>
      <c r="H848">
        <v>75614</v>
      </c>
      <c r="I848" t="s">
        <v>17</v>
      </c>
      <c r="J848" t="s">
        <v>28</v>
      </c>
      <c r="K848">
        <v>18211.759999999998</v>
      </c>
      <c r="L848">
        <v>75614.81</v>
      </c>
      <c r="M848">
        <v>9</v>
      </c>
      <c r="Y848" s="1">
        <f t="shared" si="65"/>
        <v>1742.0730000000001</v>
      </c>
      <c r="Z848" s="2">
        <f t="shared" si="66"/>
        <v>57402.9</v>
      </c>
      <c r="AA848" s="2">
        <f t="shared" si="67"/>
        <v>57402.875769270286</v>
      </c>
      <c r="AB848" s="1">
        <f t="shared" si="68"/>
        <v>6.647545073291139E-2</v>
      </c>
      <c r="AC848" s="1" t="b">
        <f t="shared" si="69"/>
        <v>1</v>
      </c>
    </row>
    <row r="849" spans="1:29" x14ac:dyDescent="0.25">
      <c r="A849" s="1">
        <v>1741.5630000000001</v>
      </c>
      <c r="B849">
        <v>1</v>
      </c>
      <c r="D849" s="2">
        <v>57419.7</v>
      </c>
      <c r="E849">
        <v>14558</v>
      </c>
      <c r="F849" t="s">
        <v>15</v>
      </c>
      <c r="G849" t="s">
        <v>16</v>
      </c>
      <c r="H849">
        <v>71978</v>
      </c>
      <c r="I849" t="s">
        <v>17</v>
      </c>
      <c r="J849" t="s">
        <v>18</v>
      </c>
      <c r="K849">
        <v>14558.82</v>
      </c>
      <c r="L849">
        <v>71978.52</v>
      </c>
      <c r="M849">
        <v>9</v>
      </c>
      <c r="Y849" s="1">
        <f t="shared" si="65"/>
        <v>1741.5630000000001</v>
      </c>
      <c r="Z849" s="2">
        <f t="shared" si="66"/>
        <v>57419.7</v>
      </c>
      <c r="AA849" s="2">
        <f t="shared" si="67"/>
        <v>57419.685650188934</v>
      </c>
      <c r="AB849" s="1">
        <f t="shared" si="68"/>
        <v>6.6485101500832561E-2</v>
      </c>
      <c r="AC849" s="1" t="b">
        <f t="shared" si="69"/>
        <v>1</v>
      </c>
    </row>
    <row r="850" spans="1:29" x14ac:dyDescent="0.25">
      <c r="A850" s="1">
        <v>1740.471</v>
      </c>
      <c r="B850">
        <v>1</v>
      </c>
      <c r="D850" s="2">
        <v>57455.7</v>
      </c>
      <c r="E850">
        <v>21238</v>
      </c>
      <c r="F850" t="s">
        <v>15</v>
      </c>
      <c r="G850" t="s">
        <v>50</v>
      </c>
      <c r="H850">
        <v>78694</v>
      </c>
      <c r="I850" t="s">
        <v>17</v>
      </c>
      <c r="J850" t="s">
        <v>23</v>
      </c>
      <c r="K850">
        <v>21238.78</v>
      </c>
      <c r="L850">
        <v>78694.570000000007</v>
      </c>
      <c r="M850">
        <v>9</v>
      </c>
      <c r="Y850" s="1">
        <f t="shared" si="65"/>
        <v>1740.471</v>
      </c>
      <c r="Z850" s="2">
        <f t="shared" si="66"/>
        <v>57455.7</v>
      </c>
      <c r="AA850" s="2">
        <f t="shared" si="67"/>
        <v>57455.711701028056</v>
      </c>
      <c r="AB850" s="1">
        <f t="shared" si="68"/>
        <v>6.6505794035358265E-2</v>
      </c>
      <c r="AC850" s="1" t="b">
        <f t="shared" si="69"/>
        <v>1</v>
      </c>
    </row>
    <row r="851" spans="1:29" x14ac:dyDescent="0.25">
      <c r="A851" s="1">
        <v>1740.056</v>
      </c>
      <c r="B851">
        <v>1</v>
      </c>
      <c r="D851" s="2">
        <v>57469.4</v>
      </c>
      <c r="M851">
        <v>9</v>
      </c>
      <c r="Y851" s="1">
        <f t="shared" si="65"/>
        <v>1740.056</v>
      </c>
      <c r="Z851" s="2">
        <f t="shared" si="66"/>
        <v>57469.4</v>
      </c>
      <c r="AA851" s="2">
        <f t="shared" si="67"/>
        <v>57469.414777455437</v>
      </c>
      <c r="AB851" s="1">
        <f t="shared" si="68"/>
        <v>6.6513668174316073E-2</v>
      </c>
      <c r="AC851" s="1" t="b">
        <f t="shared" si="69"/>
        <v>1</v>
      </c>
    </row>
    <row r="852" spans="1:29" x14ac:dyDescent="0.25">
      <c r="A852" s="1">
        <v>1739.84</v>
      </c>
      <c r="B852">
        <v>200</v>
      </c>
      <c r="D852" s="2">
        <v>57476.6</v>
      </c>
      <c r="M852">
        <v>9</v>
      </c>
      <c r="Y852" s="1">
        <f t="shared" si="65"/>
        <v>1739.84</v>
      </c>
      <c r="Z852" s="2">
        <f t="shared" si="66"/>
        <v>57476.6</v>
      </c>
      <c r="AA852" s="2">
        <f t="shared" si="67"/>
        <v>57476.549567776347</v>
      </c>
      <c r="AB852" s="1">
        <f t="shared" si="68"/>
        <v>6.6517768751085254E-2</v>
      </c>
      <c r="AC852" s="1" t="b">
        <f t="shared" si="69"/>
        <v>1</v>
      </c>
    </row>
    <row r="853" spans="1:29" x14ac:dyDescent="0.25">
      <c r="A853" s="1">
        <v>1738.971</v>
      </c>
      <c r="B853">
        <v>30</v>
      </c>
      <c r="D853" s="2">
        <v>57505.3</v>
      </c>
      <c r="M853">
        <v>9</v>
      </c>
      <c r="Y853" s="1">
        <f t="shared" si="65"/>
        <v>1738.971</v>
      </c>
      <c r="Z853" s="2">
        <f t="shared" si="66"/>
        <v>57505.3</v>
      </c>
      <c r="AA853" s="2">
        <f t="shared" si="67"/>
        <v>57505.271795791879</v>
      </c>
      <c r="AB853" s="1">
        <f t="shared" si="68"/>
        <v>6.6534281421539485E-2</v>
      </c>
      <c r="AC853" s="1" t="b">
        <f t="shared" si="69"/>
        <v>1</v>
      </c>
    </row>
    <row r="854" spans="1:29" x14ac:dyDescent="0.25">
      <c r="A854" s="1">
        <v>1737.972</v>
      </c>
      <c r="B854">
        <v>5</v>
      </c>
      <c r="C854" t="s">
        <v>123</v>
      </c>
      <c r="D854" s="2">
        <v>57538.3</v>
      </c>
      <c r="M854">
        <v>9</v>
      </c>
      <c r="Y854" s="1">
        <f t="shared" si="65"/>
        <v>1737.972</v>
      </c>
      <c r="Z854" s="2">
        <f t="shared" si="66"/>
        <v>57538.3</v>
      </c>
      <c r="AA854" s="2">
        <f t="shared" si="67"/>
        <v>57538.326279134533</v>
      </c>
      <c r="AB854" s="1">
        <f t="shared" si="68"/>
        <v>6.6553294955020714E-2</v>
      </c>
      <c r="AC854" s="1" t="b">
        <f t="shared" si="69"/>
        <v>1</v>
      </c>
    </row>
    <row r="855" spans="1:29" x14ac:dyDescent="0.25">
      <c r="A855" s="1">
        <v>1736.9960000000001</v>
      </c>
      <c r="B855">
        <v>10</v>
      </c>
      <c r="D855" s="2">
        <v>57570.6</v>
      </c>
      <c r="M855">
        <v>9</v>
      </c>
      <c r="Y855" s="1">
        <f t="shared" si="65"/>
        <v>1736.9960000000001</v>
      </c>
      <c r="Z855" s="2">
        <f t="shared" si="66"/>
        <v>57570.6</v>
      </c>
      <c r="AA855" s="2">
        <f t="shared" si="67"/>
        <v>57570.656466681554</v>
      </c>
      <c r="AB855" s="1">
        <f t="shared" si="68"/>
        <v>6.6571902430023311E-2</v>
      </c>
      <c r="AC855" s="1" t="b">
        <f t="shared" si="69"/>
        <v>1</v>
      </c>
    </row>
    <row r="856" spans="1:29" x14ac:dyDescent="0.25">
      <c r="A856" s="1">
        <v>1736.7470000000001</v>
      </c>
      <c r="B856">
        <v>5</v>
      </c>
      <c r="D856" s="2">
        <v>57578.9</v>
      </c>
      <c r="M856">
        <v>9</v>
      </c>
      <c r="Y856" s="1">
        <f t="shared" si="65"/>
        <v>1736.7470000000001</v>
      </c>
      <c r="Z856" s="2">
        <f t="shared" si="66"/>
        <v>57578.9</v>
      </c>
      <c r="AA856" s="2">
        <f t="shared" si="67"/>
        <v>57578.910457308979</v>
      </c>
      <c r="AB856" s="1">
        <f t="shared" si="68"/>
        <v>6.6576654647254027E-2</v>
      </c>
      <c r="AC856" s="1" t="b">
        <f t="shared" si="69"/>
        <v>1</v>
      </c>
    </row>
    <row r="857" spans="1:29" x14ac:dyDescent="0.25">
      <c r="A857" s="1">
        <v>1736.646</v>
      </c>
      <c r="B857">
        <v>200</v>
      </c>
      <c r="D857" s="2">
        <v>57582.2</v>
      </c>
      <c r="M857">
        <v>9</v>
      </c>
      <c r="Y857" s="1">
        <f t="shared" si="65"/>
        <v>1736.646</v>
      </c>
      <c r="Z857" s="2">
        <f t="shared" si="66"/>
        <v>57582.2</v>
      </c>
      <c r="AA857" s="2">
        <f t="shared" si="67"/>
        <v>57582.259136289147</v>
      </c>
      <c r="AB857" s="1">
        <f t="shared" si="68"/>
        <v>6.6578582836193778E-2</v>
      </c>
      <c r="AC857" s="1" t="b">
        <f t="shared" si="69"/>
        <v>1</v>
      </c>
    </row>
    <row r="858" spans="1:29" x14ac:dyDescent="0.25">
      <c r="A858" s="1">
        <v>1735.8009999999999</v>
      </c>
      <c r="B858">
        <v>4</v>
      </c>
      <c r="D858" s="2">
        <v>57610.3</v>
      </c>
      <c r="M858">
        <v>9</v>
      </c>
      <c r="Y858" s="1">
        <f t="shared" si="65"/>
        <v>1735.8009999999999</v>
      </c>
      <c r="Z858" s="2">
        <f t="shared" si="66"/>
        <v>57610.3</v>
      </c>
      <c r="AA858" s="2">
        <f t="shared" si="67"/>
        <v>57610.290580544664</v>
      </c>
      <c r="AB858" s="1">
        <f t="shared" si="68"/>
        <v>6.6594727903873968E-2</v>
      </c>
      <c r="AC858" s="1" t="b">
        <f t="shared" si="69"/>
        <v>1</v>
      </c>
    </row>
    <row r="859" spans="1:29" x14ac:dyDescent="0.25">
      <c r="A859" s="1">
        <v>1735.7570000000001</v>
      </c>
      <c r="B859">
        <v>1</v>
      </c>
      <c r="D859" s="2">
        <v>57611.8</v>
      </c>
      <c r="M859">
        <v>9</v>
      </c>
      <c r="Y859" s="1">
        <f t="shared" si="65"/>
        <v>1735.7570000000001</v>
      </c>
      <c r="Z859" s="2">
        <f t="shared" si="66"/>
        <v>57611.8</v>
      </c>
      <c r="AA859" s="2">
        <f t="shared" si="67"/>
        <v>57611.750953618503</v>
      </c>
      <c r="AB859" s="1">
        <f t="shared" si="68"/>
        <v>6.6595569239708816E-2</v>
      </c>
      <c r="AC859" s="1" t="b">
        <f t="shared" si="69"/>
        <v>1</v>
      </c>
    </row>
    <row r="860" spans="1:29" x14ac:dyDescent="0.25">
      <c r="A860" s="1">
        <v>1734.029</v>
      </c>
      <c r="B860">
        <v>2</v>
      </c>
      <c r="D860" s="2">
        <v>57669.2</v>
      </c>
      <c r="E860">
        <v>13352</v>
      </c>
      <c r="F860" t="s">
        <v>15</v>
      </c>
      <c r="G860" t="s">
        <v>23</v>
      </c>
      <c r="H860">
        <v>71021</v>
      </c>
      <c r="I860" t="s">
        <v>17</v>
      </c>
      <c r="J860" t="s">
        <v>16</v>
      </c>
      <c r="K860">
        <v>13352.1</v>
      </c>
      <c r="L860">
        <v>71021.100000000006</v>
      </c>
      <c r="M860">
        <v>9</v>
      </c>
      <c r="Y860" s="1">
        <f t="shared" si="65"/>
        <v>1734.029</v>
      </c>
      <c r="Z860" s="2">
        <f t="shared" si="66"/>
        <v>57669.2</v>
      </c>
      <c r="AA860" s="2">
        <f t="shared" si="67"/>
        <v>57669.162395784617</v>
      </c>
      <c r="AB860" s="1">
        <f t="shared" si="68"/>
        <v>6.6628661457156901E-2</v>
      </c>
      <c r="AC860" s="1" t="b">
        <f t="shared" si="69"/>
        <v>1</v>
      </c>
    </row>
    <row r="861" spans="1:29" x14ac:dyDescent="0.25">
      <c r="A861" s="1">
        <v>1732.3820000000001</v>
      </c>
      <c r="B861">
        <v>20</v>
      </c>
      <c r="D861" s="2">
        <v>57724</v>
      </c>
      <c r="E861">
        <v>25979</v>
      </c>
      <c r="F861" t="s">
        <v>15</v>
      </c>
      <c r="G861" t="s">
        <v>57</v>
      </c>
      <c r="H861">
        <v>83703</v>
      </c>
      <c r="I861" t="s">
        <v>17</v>
      </c>
      <c r="J861" t="s">
        <v>50</v>
      </c>
      <c r="K861">
        <v>25979.34</v>
      </c>
      <c r="L861">
        <v>83703.429999999993</v>
      </c>
      <c r="M861">
        <v>9</v>
      </c>
      <c r="Y861" s="1">
        <f t="shared" si="65"/>
        <v>1732.3820000000001</v>
      </c>
      <c r="Z861" s="2">
        <f t="shared" si="66"/>
        <v>57724</v>
      </c>
      <c r="AA861" s="2">
        <f t="shared" si="67"/>
        <v>57723.989281809671</v>
      </c>
      <c r="AB861" s="1">
        <f t="shared" si="68"/>
        <v>6.666029469303239E-2</v>
      </c>
      <c r="AC861" s="1" t="b">
        <f t="shared" si="69"/>
        <v>1</v>
      </c>
    </row>
    <row r="862" spans="1:29" x14ac:dyDescent="0.25">
      <c r="A862" s="1">
        <v>1731.5260000000001</v>
      </c>
      <c r="B862">
        <v>2</v>
      </c>
      <c r="D862" s="2">
        <v>57752.5</v>
      </c>
      <c r="E862">
        <v>23651</v>
      </c>
      <c r="F862" t="s">
        <v>15</v>
      </c>
      <c r="G862" t="s">
        <v>18</v>
      </c>
      <c r="H862">
        <v>81404</v>
      </c>
      <c r="I862" t="s">
        <v>17</v>
      </c>
      <c r="J862" t="s">
        <v>28</v>
      </c>
      <c r="K862">
        <v>23651.88</v>
      </c>
      <c r="L862">
        <v>81404.52</v>
      </c>
      <c r="M862">
        <v>9</v>
      </c>
      <c r="Y862" s="1">
        <f t="shared" si="65"/>
        <v>1731.5260000000001</v>
      </c>
      <c r="Z862" s="2">
        <f t="shared" si="66"/>
        <v>57752.5</v>
      </c>
      <c r="AA862" s="2">
        <f t="shared" si="67"/>
        <v>57752.525806716156</v>
      </c>
      <c r="AB862" s="1">
        <f t="shared" si="68"/>
        <v>6.6676771185277081E-2</v>
      </c>
      <c r="AC862" s="1" t="b">
        <f t="shared" si="69"/>
        <v>1</v>
      </c>
    </row>
    <row r="863" spans="1:29" x14ac:dyDescent="0.25">
      <c r="A863" s="1">
        <v>1731.442</v>
      </c>
      <c r="B863">
        <v>2</v>
      </c>
      <c r="D863" s="2">
        <v>57755.3</v>
      </c>
      <c r="E863">
        <v>21611</v>
      </c>
      <c r="F863" t="s">
        <v>15</v>
      </c>
      <c r="G863" t="s">
        <v>28</v>
      </c>
      <c r="H863">
        <v>79366</v>
      </c>
      <c r="I863" t="s">
        <v>17</v>
      </c>
      <c r="J863" t="s">
        <v>28</v>
      </c>
      <c r="K863">
        <v>21611.19</v>
      </c>
      <c r="L863">
        <v>79366.649999999994</v>
      </c>
      <c r="M863">
        <v>9</v>
      </c>
      <c r="Y863" s="1">
        <f t="shared" si="65"/>
        <v>1731.442</v>
      </c>
      <c r="Z863" s="2">
        <f t="shared" si="66"/>
        <v>57755.3</v>
      </c>
      <c r="AA863" s="2">
        <f t="shared" si="67"/>
        <v>57755.327640198171</v>
      </c>
      <c r="AB863" s="1">
        <f t="shared" si="68"/>
        <v>6.66783893541332E-2</v>
      </c>
      <c r="AC863" s="1" t="b">
        <f t="shared" si="69"/>
        <v>1</v>
      </c>
    </row>
    <row r="864" spans="1:29" x14ac:dyDescent="0.25">
      <c r="A864" s="1">
        <v>1729.702</v>
      </c>
      <c r="B864">
        <v>3</v>
      </c>
      <c r="D864" s="2">
        <v>57813.4</v>
      </c>
      <c r="E864">
        <v>23175</v>
      </c>
      <c r="F864" t="s">
        <v>15</v>
      </c>
      <c r="G864" t="s">
        <v>50</v>
      </c>
      <c r="H864">
        <v>80988</v>
      </c>
      <c r="I864" t="s">
        <v>17</v>
      </c>
      <c r="J864" t="s">
        <v>50</v>
      </c>
      <c r="K864">
        <v>23175.09</v>
      </c>
      <c r="L864">
        <v>80988.759999999995</v>
      </c>
      <c r="M864">
        <v>9</v>
      </c>
      <c r="Y864" s="1">
        <f t="shared" si="65"/>
        <v>1729.702</v>
      </c>
      <c r="Z864" s="2">
        <f t="shared" si="66"/>
        <v>57813.4</v>
      </c>
      <c r="AA864" s="2">
        <f t="shared" si="67"/>
        <v>57813.426821498731</v>
      </c>
      <c r="AB864" s="1">
        <f t="shared" si="68"/>
        <v>6.6711961604223949E-2</v>
      </c>
      <c r="AC864" s="1" t="b">
        <f t="shared" si="69"/>
        <v>1</v>
      </c>
    </row>
    <row r="865" spans="1:29" x14ac:dyDescent="0.25">
      <c r="A865" s="1">
        <v>1728.3019999999999</v>
      </c>
      <c r="B865">
        <v>1</v>
      </c>
      <c r="D865" s="2">
        <v>57860.3</v>
      </c>
      <c r="E865">
        <v>21535</v>
      </c>
      <c r="F865" t="s">
        <v>15</v>
      </c>
      <c r="G865" t="s">
        <v>16</v>
      </c>
      <c r="H865">
        <v>79395</v>
      </c>
      <c r="I865" t="s">
        <v>17</v>
      </c>
      <c r="J865" t="s">
        <v>18</v>
      </c>
      <c r="K865">
        <v>21535.17</v>
      </c>
      <c r="L865">
        <v>79395.55</v>
      </c>
      <c r="M865">
        <v>9</v>
      </c>
      <c r="Y865" s="1">
        <f t="shared" si="65"/>
        <v>1728.3019999999999</v>
      </c>
      <c r="Z865" s="2">
        <f t="shared" si="66"/>
        <v>57860.3</v>
      </c>
      <c r="AA865" s="2">
        <f t="shared" si="67"/>
        <v>57860.258218760384</v>
      </c>
      <c r="AB865" s="1">
        <f t="shared" si="68"/>
        <v>6.6739047405708143E-2</v>
      </c>
      <c r="AC865" s="1" t="b">
        <f t="shared" si="69"/>
        <v>1</v>
      </c>
    </row>
    <row r="866" spans="1:29" x14ac:dyDescent="0.25">
      <c r="A866" s="1">
        <v>1727.2809999999999</v>
      </c>
      <c r="B866">
        <v>1</v>
      </c>
      <c r="D866" s="2">
        <v>57894.400000000001</v>
      </c>
      <c r="M866">
        <v>9</v>
      </c>
      <c r="Y866" s="1">
        <f t="shared" si="65"/>
        <v>1727.2809999999999</v>
      </c>
      <c r="Z866" s="2">
        <f t="shared" si="66"/>
        <v>57894.400000000001</v>
      </c>
      <c r="AA866" s="2">
        <f t="shared" si="67"/>
        <v>57894.459558114751</v>
      </c>
      <c r="AB866" s="1">
        <f t="shared" si="68"/>
        <v>6.6758842237630928E-2</v>
      </c>
      <c r="AC866" s="1" t="b">
        <f t="shared" si="69"/>
        <v>1</v>
      </c>
    </row>
    <row r="867" spans="1:29" x14ac:dyDescent="0.25">
      <c r="A867" s="1">
        <v>1727.194</v>
      </c>
      <c r="B867">
        <v>1</v>
      </c>
      <c r="D867" s="2">
        <v>57897.4</v>
      </c>
      <c r="E867">
        <v>21238</v>
      </c>
      <c r="F867" t="s">
        <v>15</v>
      </c>
      <c r="G867" t="s">
        <v>50</v>
      </c>
      <c r="H867">
        <v>79136</v>
      </c>
      <c r="I867" t="s">
        <v>17</v>
      </c>
      <c r="J867" t="s">
        <v>50</v>
      </c>
      <c r="K867">
        <v>21238.78</v>
      </c>
      <c r="L867">
        <v>79136.23</v>
      </c>
      <c r="M867">
        <v>9</v>
      </c>
      <c r="Y867" s="1">
        <f t="shared" si="65"/>
        <v>1727.194</v>
      </c>
      <c r="Z867" s="2">
        <f t="shared" si="66"/>
        <v>57897.4</v>
      </c>
      <c r="AA867" s="2">
        <f t="shared" si="67"/>
        <v>57897.375743547047</v>
      </c>
      <c r="AB867" s="1">
        <f t="shared" si="68"/>
        <v>6.6760530589947353E-2</v>
      </c>
      <c r="AC867" s="1" t="b">
        <f t="shared" si="69"/>
        <v>1</v>
      </c>
    </row>
    <row r="868" spans="1:29" x14ac:dyDescent="0.25">
      <c r="A868" s="1">
        <v>1725.5530000000001</v>
      </c>
      <c r="B868">
        <v>3</v>
      </c>
      <c r="C868" t="s">
        <v>124</v>
      </c>
      <c r="D868" s="2">
        <v>57952.4</v>
      </c>
      <c r="M868">
        <v>9</v>
      </c>
      <c r="Y868" s="1">
        <f t="shared" si="65"/>
        <v>1725.5530000000001</v>
      </c>
      <c r="Z868" s="2">
        <f t="shared" si="66"/>
        <v>57952.4</v>
      </c>
      <c r="AA868" s="2">
        <f t="shared" si="67"/>
        <v>57952.436117580852</v>
      </c>
      <c r="AB868" s="1">
        <f t="shared" si="68"/>
        <v>6.6792424259811453E-2</v>
      </c>
      <c r="AC868" s="1" t="b">
        <f t="shared" si="69"/>
        <v>1</v>
      </c>
    </row>
    <row r="869" spans="1:29" x14ac:dyDescent="0.25">
      <c r="A869" s="1">
        <v>1724.116</v>
      </c>
      <c r="B869">
        <v>1</v>
      </c>
      <c r="D869" s="2">
        <v>58000.7</v>
      </c>
      <c r="M869">
        <v>9</v>
      </c>
      <c r="Y869" s="1">
        <f t="shared" si="65"/>
        <v>1724.116</v>
      </c>
      <c r="Z869" s="2">
        <f t="shared" si="66"/>
        <v>58000.7</v>
      </c>
      <c r="AA869" s="2">
        <f t="shared" si="67"/>
        <v>58000.737769384425</v>
      </c>
      <c r="AB869" s="1">
        <f t="shared" si="68"/>
        <v>6.6820427908964489E-2</v>
      </c>
      <c r="AC869" s="1" t="b">
        <f t="shared" si="69"/>
        <v>1</v>
      </c>
    </row>
    <row r="870" spans="1:29" x14ac:dyDescent="0.25">
      <c r="A870" s="1">
        <v>1723.6410000000001</v>
      </c>
      <c r="B870">
        <v>10</v>
      </c>
      <c r="D870" s="2">
        <v>58016.7</v>
      </c>
      <c r="M870">
        <v>9</v>
      </c>
      <c r="Y870" s="1">
        <f t="shared" si="65"/>
        <v>1723.6410000000001</v>
      </c>
      <c r="Z870" s="2">
        <f t="shared" si="66"/>
        <v>58016.7</v>
      </c>
      <c r="AA870" s="2">
        <f t="shared" si="67"/>
        <v>58016.721579493642</v>
      </c>
      <c r="AB870" s="1">
        <f t="shared" si="68"/>
        <v>6.6829699914162419E-2</v>
      </c>
      <c r="AC870" s="1" t="b">
        <f t="shared" si="69"/>
        <v>1</v>
      </c>
    </row>
    <row r="871" spans="1:29" x14ac:dyDescent="0.25">
      <c r="A871" s="1">
        <v>1722.693</v>
      </c>
      <c r="B871">
        <v>2</v>
      </c>
      <c r="D871" s="2">
        <v>58048.6</v>
      </c>
      <c r="M871">
        <v>9</v>
      </c>
      <c r="Y871" s="1">
        <f t="shared" si="65"/>
        <v>1722.693</v>
      </c>
      <c r="Z871" s="2">
        <f t="shared" si="66"/>
        <v>58048.6</v>
      </c>
      <c r="AA871" s="2">
        <f t="shared" si="67"/>
        <v>58048.648250152524</v>
      </c>
      <c r="AB871" s="1">
        <f t="shared" si="68"/>
        <v>6.6848227818349676E-2</v>
      </c>
      <c r="AC871" s="1" t="b">
        <f t="shared" si="69"/>
        <v>1</v>
      </c>
    </row>
    <row r="872" spans="1:29" x14ac:dyDescent="0.25">
      <c r="A872" s="1">
        <v>1722.011</v>
      </c>
      <c r="B872">
        <v>15</v>
      </c>
      <c r="D872" s="2">
        <v>58071.6</v>
      </c>
      <c r="E872">
        <v>21294</v>
      </c>
      <c r="F872" t="s">
        <v>15</v>
      </c>
      <c r="G872" t="s">
        <v>18</v>
      </c>
      <c r="H872">
        <v>79366</v>
      </c>
      <c r="I872" t="s">
        <v>17</v>
      </c>
      <c r="J872" t="s">
        <v>28</v>
      </c>
      <c r="K872">
        <v>21294.89</v>
      </c>
      <c r="L872">
        <v>79366.649999999994</v>
      </c>
      <c r="M872">
        <v>9</v>
      </c>
      <c r="Y872" s="1">
        <f t="shared" si="65"/>
        <v>1722.011</v>
      </c>
      <c r="Z872" s="2">
        <f t="shared" si="66"/>
        <v>58071.6</v>
      </c>
      <c r="AA872" s="2">
        <f t="shared" si="67"/>
        <v>58071.638334482188</v>
      </c>
      <c r="AB872" s="1">
        <f t="shared" si="68"/>
        <v>6.686157589425451E-2</v>
      </c>
      <c r="AC872" s="1" t="b">
        <f t="shared" si="69"/>
        <v>1</v>
      </c>
    </row>
    <row r="873" spans="1:29" x14ac:dyDescent="0.25">
      <c r="A873" s="1">
        <v>1721.8</v>
      </c>
      <c r="B873">
        <v>1</v>
      </c>
      <c r="D873" s="2">
        <v>58078.8</v>
      </c>
      <c r="M873">
        <v>9</v>
      </c>
      <c r="Y873" s="1">
        <f t="shared" si="65"/>
        <v>1721.8</v>
      </c>
      <c r="Z873" s="2">
        <f t="shared" si="66"/>
        <v>58078.8</v>
      </c>
      <c r="AA873" s="2">
        <f t="shared" si="67"/>
        <v>58078.754791497275</v>
      </c>
      <c r="AB873" s="1">
        <f t="shared" si="68"/>
        <v>6.6865708790654343E-2</v>
      </c>
      <c r="AC873" s="1" t="b">
        <f t="shared" si="69"/>
        <v>1</v>
      </c>
    </row>
    <row r="874" spans="1:29" x14ac:dyDescent="0.25">
      <c r="A874" s="1">
        <v>1721.473</v>
      </c>
      <c r="B874">
        <v>1</v>
      </c>
      <c r="D874" s="2">
        <v>58089.8</v>
      </c>
      <c r="M874">
        <v>9</v>
      </c>
      <c r="Y874" s="1">
        <f t="shared" si="65"/>
        <v>1721.473</v>
      </c>
      <c r="Z874" s="2">
        <f t="shared" si="66"/>
        <v>58089.8</v>
      </c>
      <c r="AA874" s="2">
        <f t="shared" si="67"/>
        <v>58089.787060267576</v>
      </c>
      <c r="AB874" s="1">
        <f t="shared" si="68"/>
        <v>6.687211680353615E-2</v>
      </c>
      <c r="AC874" s="1" t="b">
        <f t="shared" si="69"/>
        <v>1</v>
      </c>
    </row>
    <row r="875" spans="1:29" x14ac:dyDescent="0.25">
      <c r="A875" s="1">
        <v>1721.1020000000001</v>
      </c>
      <c r="B875">
        <v>5</v>
      </c>
      <c r="C875" t="s">
        <v>123</v>
      </c>
      <c r="D875" s="2">
        <v>58102.3</v>
      </c>
      <c r="M875">
        <v>9</v>
      </c>
      <c r="Y875" s="1">
        <f t="shared" si="65"/>
        <v>1721.1020000000001</v>
      </c>
      <c r="Z875" s="2">
        <f t="shared" si="66"/>
        <v>58102.3</v>
      </c>
      <c r="AA875" s="2">
        <f t="shared" si="67"/>
        <v>58102.308869549852</v>
      </c>
      <c r="AB875" s="1">
        <f t="shared" si="68"/>
        <v>6.6879391479862854E-2</v>
      </c>
      <c r="AC875" s="1" t="b">
        <f t="shared" si="69"/>
        <v>1</v>
      </c>
    </row>
    <row r="876" spans="1:29" x14ac:dyDescent="0.25">
      <c r="A876" s="1">
        <v>1720.0340000000001</v>
      </c>
      <c r="B876">
        <v>2</v>
      </c>
      <c r="D876" s="2">
        <v>58138.400000000001</v>
      </c>
      <c r="M876">
        <v>9</v>
      </c>
      <c r="Y876" s="1">
        <f t="shared" si="65"/>
        <v>1720.0340000000001</v>
      </c>
      <c r="Z876" s="2">
        <f t="shared" si="66"/>
        <v>58138.400000000001</v>
      </c>
      <c r="AA876" s="2">
        <f t="shared" si="67"/>
        <v>58138.385636562998</v>
      </c>
      <c r="AB876" s="1">
        <f t="shared" si="68"/>
        <v>6.6900359422128575E-2</v>
      </c>
      <c r="AC876" s="1" t="b">
        <f t="shared" si="69"/>
        <v>1</v>
      </c>
    </row>
    <row r="877" spans="1:29" x14ac:dyDescent="0.25">
      <c r="A877" s="1">
        <v>1719.94</v>
      </c>
      <c r="B877">
        <v>4</v>
      </c>
      <c r="D877" s="2">
        <v>58141.599999999999</v>
      </c>
      <c r="M877">
        <v>9</v>
      </c>
      <c r="Y877" s="1">
        <f t="shared" si="65"/>
        <v>1719.94</v>
      </c>
      <c r="Z877" s="2">
        <f t="shared" si="66"/>
        <v>58141.599999999999</v>
      </c>
      <c r="AA877" s="2">
        <f t="shared" si="67"/>
        <v>58141.563077781779</v>
      </c>
      <c r="AB877" s="1">
        <f t="shared" si="68"/>
        <v>6.6902206785638393E-2</v>
      </c>
      <c r="AC877" s="1" t="b">
        <f t="shared" si="69"/>
        <v>1</v>
      </c>
    </row>
    <row r="878" spans="1:29" x14ac:dyDescent="0.25">
      <c r="A878" s="1">
        <v>1717.77</v>
      </c>
      <c r="B878">
        <v>200</v>
      </c>
      <c r="D878" s="2">
        <v>58215</v>
      </c>
      <c r="E878">
        <v>30733</v>
      </c>
      <c r="F878" t="s">
        <v>15</v>
      </c>
      <c r="G878" t="s">
        <v>23</v>
      </c>
      <c r="H878">
        <v>88948</v>
      </c>
      <c r="I878" t="s">
        <v>17</v>
      </c>
      <c r="J878" t="s">
        <v>16</v>
      </c>
      <c r="K878">
        <v>30733.53</v>
      </c>
      <c r="L878">
        <v>88948.6</v>
      </c>
      <c r="M878">
        <v>9</v>
      </c>
      <c r="Y878" s="1">
        <f t="shared" si="65"/>
        <v>1717.77</v>
      </c>
      <c r="Z878" s="2">
        <f t="shared" si="66"/>
        <v>58215</v>
      </c>
      <c r="AA878" s="2">
        <f t="shared" si="67"/>
        <v>58215.011322819701</v>
      </c>
      <c r="AB878" s="1">
        <f t="shared" si="68"/>
        <v>6.6944937716580138E-2</v>
      </c>
      <c r="AC878" s="1" t="b">
        <f t="shared" si="69"/>
        <v>1</v>
      </c>
    </row>
    <row r="879" spans="1:29" x14ac:dyDescent="0.25">
      <c r="A879" s="1">
        <v>1717.152</v>
      </c>
      <c r="B879">
        <v>1</v>
      </c>
      <c r="D879" s="2">
        <v>58236</v>
      </c>
      <c r="M879">
        <v>9</v>
      </c>
      <c r="Y879" s="1">
        <f t="shared" si="65"/>
        <v>1717.152</v>
      </c>
      <c r="Z879" s="2">
        <f t="shared" si="66"/>
        <v>58236</v>
      </c>
      <c r="AA879" s="2">
        <f t="shared" si="67"/>
        <v>58235.962803525836</v>
      </c>
      <c r="AB879" s="1">
        <f t="shared" si="68"/>
        <v>6.6957136818268231E-2</v>
      </c>
      <c r="AC879" s="1" t="b">
        <f t="shared" si="69"/>
        <v>1</v>
      </c>
    </row>
    <row r="880" spans="1:29" x14ac:dyDescent="0.25">
      <c r="A880" s="1">
        <v>1715.471</v>
      </c>
      <c r="B880">
        <v>5</v>
      </c>
      <c r="D880" s="2">
        <v>58293</v>
      </c>
      <c r="M880">
        <v>9</v>
      </c>
      <c r="Y880" s="1">
        <f t="shared" si="65"/>
        <v>1715.471</v>
      </c>
      <c r="Z880" s="2">
        <f t="shared" si="66"/>
        <v>58293</v>
      </c>
      <c r="AA880" s="2">
        <f t="shared" si="67"/>
        <v>58293.028561835206</v>
      </c>
      <c r="AB880" s="1">
        <f t="shared" si="68"/>
        <v>6.699038589455468E-2</v>
      </c>
      <c r="AC880" s="1" t="b">
        <f t="shared" si="69"/>
        <v>1</v>
      </c>
    </row>
    <row r="881" spans="1:29" x14ac:dyDescent="0.25">
      <c r="A881" s="1">
        <v>1713.1469999999999</v>
      </c>
      <c r="B881">
        <v>4</v>
      </c>
      <c r="D881" s="2">
        <v>58372.1</v>
      </c>
      <c r="M881">
        <v>9</v>
      </c>
      <c r="Y881" s="1">
        <f t="shared" si="65"/>
        <v>1713.1469999999999</v>
      </c>
      <c r="Z881" s="2">
        <f t="shared" si="66"/>
        <v>58372.1</v>
      </c>
      <c r="AA881" s="2">
        <f t="shared" si="67"/>
        <v>58372.107005411679</v>
      </c>
      <c r="AB881" s="1">
        <f t="shared" si="68"/>
        <v>6.7036514381256157E-2</v>
      </c>
      <c r="AC881" s="1" t="b">
        <f t="shared" si="69"/>
        <v>1</v>
      </c>
    </row>
    <row r="882" spans="1:29" x14ac:dyDescent="0.25">
      <c r="A882" s="1">
        <v>1712.848</v>
      </c>
      <c r="B882">
        <v>60</v>
      </c>
      <c r="C882" t="s">
        <v>123</v>
      </c>
      <c r="D882" s="2">
        <v>58382.3</v>
      </c>
      <c r="E882">
        <v>38448</v>
      </c>
      <c r="F882" t="s">
        <v>15</v>
      </c>
      <c r="G882" t="s">
        <v>16</v>
      </c>
      <c r="H882">
        <v>96830</v>
      </c>
      <c r="I882" t="s">
        <v>17</v>
      </c>
      <c r="J882" t="s">
        <v>18</v>
      </c>
      <c r="K882">
        <v>38448.379999999997</v>
      </c>
      <c r="L882">
        <v>96830.5</v>
      </c>
      <c r="M882">
        <v>9</v>
      </c>
      <c r="Y882" s="1">
        <f t="shared" si="65"/>
        <v>1712.848</v>
      </c>
      <c r="Z882" s="2">
        <f t="shared" si="66"/>
        <v>58382.3</v>
      </c>
      <c r="AA882" s="2">
        <f t="shared" si="67"/>
        <v>58382.296619431501</v>
      </c>
      <c r="AB882" s="1">
        <f t="shared" si="68"/>
        <v>6.7042462792796409E-2</v>
      </c>
      <c r="AC882" s="1" t="b">
        <f t="shared" si="69"/>
        <v>1</v>
      </c>
    </row>
    <row r="883" spans="1:29" x14ac:dyDescent="0.25">
      <c r="A883" s="1">
        <v>1712.3810000000001</v>
      </c>
      <c r="B883">
        <v>1</v>
      </c>
      <c r="D883" s="2">
        <v>58398.2</v>
      </c>
      <c r="M883">
        <v>9</v>
      </c>
      <c r="Y883" s="1">
        <f t="shared" si="65"/>
        <v>1712.3810000000001</v>
      </c>
      <c r="Z883" s="2">
        <f t="shared" si="66"/>
        <v>58398.2</v>
      </c>
      <c r="AA883" s="2">
        <f t="shared" si="67"/>
        <v>58398.218620739193</v>
      </c>
      <c r="AB883" s="1">
        <f t="shared" si="68"/>
        <v>6.7051759690378243E-2</v>
      </c>
      <c r="AC883" s="1" t="b">
        <f t="shared" si="69"/>
        <v>1</v>
      </c>
    </row>
    <row r="884" spans="1:29" x14ac:dyDescent="0.25">
      <c r="A884" s="1">
        <v>1712.058</v>
      </c>
      <c r="B884">
        <v>1</v>
      </c>
      <c r="D884" s="2">
        <v>58409.2</v>
      </c>
      <c r="M884">
        <v>9</v>
      </c>
      <c r="Y884" s="1">
        <f t="shared" si="65"/>
        <v>1712.058</v>
      </c>
      <c r="Z884" s="2">
        <f t="shared" si="66"/>
        <v>58409.2</v>
      </c>
      <c r="AA884" s="2">
        <f t="shared" si="67"/>
        <v>58409.236135691666</v>
      </c>
      <c r="AB884" s="1">
        <f t="shared" si="68"/>
        <v>6.7058194329774945E-2</v>
      </c>
      <c r="AC884" s="1" t="b">
        <f t="shared" si="69"/>
        <v>1</v>
      </c>
    </row>
    <row r="885" spans="1:29" x14ac:dyDescent="0.25">
      <c r="A885" s="1">
        <v>1711.4079999999999</v>
      </c>
      <c r="B885">
        <v>2</v>
      </c>
      <c r="C885" t="s">
        <v>123</v>
      </c>
      <c r="D885" s="2">
        <v>58431.4</v>
      </c>
      <c r="M885">
        <v>9</v>
      </c>
      <c r="Y885" s="1">
        <f t="shared" si="65"/>
        <v>1711.4079999999999</v>
      </c>
      <c r="Z885" s="2">
        <f t="shared" si="66"/>
        <v>58431.4</v>
      </c>
      <c r="AA885" s="2">
        <f t="shared" si="67"/>
        <v>58431.420210727076</v>
      </c>
      <c r="AB885" s="1">
        <f t="shared" si="68"/>
        <v>6.7071154339212832E-2</v>
      </c>
      <c r="AC885" s="1" t="b">
        <f t="shared" si="69"/>
        <v>1</v>
      </c>
    </row>
    <row r="886" spans="1:29" x14ac:dyDescent="0.25">
      <c r="A886" s="1">
        <v>1710.1389999999999</v>
      </c>
      <c r="B886">
        <v>2</v>
      </c>
      <c r="D886" s="2">
        <v>58474.8</v>
      </c>
      <c r="M886">
        <v>9</v>
      </c>
      <c r="Y886" s="1">
        <f t="shared" si="65"/>
        <v>1710.1389999999999</v>
      </c>
      <c r="Z886" s="2">
        <f t="shared" si="66"/>
        <v>58474.8</v>
      </c>
      <c r="AA886" s="2">
        <f t="shared" si="67"/>
        <v>58474.778950716878</v>
      </c>
      <c r="AB886" s="1">
        <f t="shared" si="68"/>
        <v>6.7096498866676013E-2</v>
      </c>
      <c r="AC886" s="1" t="b">
        <f t="shared" si="69"/>
        <v>1</v>
      </c>
    </row>
    <row r="887" spans="1:29" x14ac:dyDescent="0.25">
      <c r="A887" s="1">
        <v>1709.377</v>
      </c>
      <c r="B887">
        <v>5</v>
      </c>
      <c r="C887" t="s">
        <v>123</v>
      </c>
      <c r="D887" s="2">
        <v>58500.800000000003</v>
      </c>
      <c r="M887">
        <v>9</v>
      </c>
      <c r="Y887" s="1">
        <f t="shared" si="65"/>
        <v>1709.377</v>
      </c>
      <c r="Z887" s="2">
        <f t="shared" si="66"/>
        <v>58500.800000000003</v>
      </c>
      <c r="AA887" s="2">
        <f t="shared" si="67"/>
        <v>58500.845629723583</v>
      </c>
      <c r="AB887" s="1">
        <f t="shared" si="68"/>
        <v>6.7111744696963738E-2</v>
      </c>
      <c r="AC887" s="1" t="b">
        <f t="shared" si="69"/>
        <v>1</v>
      </c>
    </row>
    <row r="888" spans="1:29" x14ac:dyDescent="0.25">
      <c r="A888" s="1">
        <v>1707.5139999999999</v>
      </c>
      <c r="B888">
        <v>1</v>
      </c>
      <c r="D888" s="2">
        <v>58564.7</v>
      </c>
      <c r="E888">
        <v>24461</v>
      </c>
      <c r="F888" t="s">
        <v>15</v>
      </c>
      <c r="G888" t="s">
        <v>28</v>
      </c>
      <c r="H888">
        <v>83025</v>
      </c>
      <c r="I888" t="s">
        <v>17</v>
      </c>
      <c r="J888" t="s">
        <v>29</v>
      </c>
      <c r="K888">
        <v>24461.24</v>
      </c>
      <c r="L888">
        <v>83025.91</v>
      </c>
      <c r="M888">
        <v>9</v>
      </c>
      <c r="Y888" s="1">
        <f t="shared" si="65"/>
        <v>1707.5139999999999</v>
      </c>
      <c r="Z888" s="2">
        <f t="shared" si="66"/>
        <v>58564.7</v>
      </c>
      <c r="AA888" s="2">
        <f t="shared" si="67"/>
        <v>58564.673554653142</v>
      </c>
      <c r="AB888" s="1">
        <f t="shared" si="68"/>
        <v>6.7149104942815452E-2</v>
      </c>
      <c r="AC888" s="1" t="b">
        <f t="shared" si="69"/>
        <v>1</v>
      </c>
    </row>
    <row r="889" spans="1:29" x14ac:dyDescent="0.25">
      <c r="A889" s="1">
        <v>1706.7429999999999</v>
      </c>
      <c r="B889">
        <v>10</v>
      </c>
      <c r="D889" s="2">
        <v>58591.1</v>
      </c>
      <c r="E889">
        <v>19872</v>
      </c>
      <c r="F889" t="s">
        <v>15</v>
      </c>
      <c r="G889" t="s">
        <v>18</v>
      </c>
      <c r="H889">
        <v>78463</v>
      </c>
      <c r="I889" t="s">
        <v>17</v>
      </c>
      <c r="J889" t="s">
        <v>18</v>
      </c>
      <c r="K889">
        <v>19872.43</v>
      </c>
      <c r="L889">
        <v>78463.600000000006</v>
      </c>
      <c r="M889">
        <v>9</v>
      </c>
      <c r="Y889" s="1">
        <f t="shared" si="65"/>
        <v>1706.7429999999999</v>
      </c>
      <c r="Z889" s="2">
        <f t="shared" si="66"/>
        <v>58591.1</v>
      </c>
      <c r="AA889" s="2">
        <f t="shared" si="67"/>
        <v>58591.129420188045</v>
      </c>
      <c r="AB889" s="1">
        <f t="shared" si="68"/>
        <v>6.7164602233666132E-2</v>
      </c>
      <c r="AC889" s="1" t="b">
        <f t="shared" si="69"/>
        <v>1</v>
      </c>
    </row>
    <row r="890" spans="1:29" x14ac:dyDescent="0.25">
      <c r="A890" s="1">
        <v>1705.7049999999999</v>
      </c>
      <c r="B890">
        <v>50</v>
      </c>
      <c r="C890" t="s">
        <v>123</v>
      </c>
      <c r="D890" s="2">
        <v>58626.8</v>
      </c>
      <c r="E890">
        <v>28885</v>
      </c>
      <c r="F890" t="s">
        <v>15</v>
      </c>
      <c r="G890" t="s">
        <v>16</v>
      </c>
      <c r="H890">
        <v>87511</v>
      </c>
      <c r="I890" t="s">
        <v>17</v>
      </c>
      <c r="J890" t="s">
        <v>18</v>
      </c>
      <c r="K890">
        <v>28885.14</v>
      </c>
      <c r="L890">
        <v>87511.6</v>
      </c>
      <c r="M890">
        <v>9</v>
      </c>
      <c r="Y890" s="1">
        <f t="shared" si="65"/>
        <v>1705.7049999999999</v>
      </c>
      <c r="Z890" s="2">
        <f t="shared" si="66"/>
        <v>58626.8</v>
      </c>
      <c r="AA890" s="2">
        <f t="shared" si="67"/>
        <v>58626.784819180342</v>
      </c>
      <c r="AB890" s="1">
        <f t="shared" si="68"/>
        <v>6.7185499491172376E-2</v>
      </c>
      <c r="AC890" s="1" t="b">
        <f t="shared" si="69"/>
        <v>1</v>
      </c>
    </row>
    <row r="891" spans="1:29" x14ac:dyDescent="0.25">
      <c r="A891" s="1">
        <v>1702.2660000000001</v>
      </c>
      <c r="B891">
        <v>1</v>
      </c>
      <c r="D891" s="2">
        <v>58745.2</v>
      </c>
      <c r="E891">
        <v>21418</v>
      </c>
      <c r="F891" t="s">
        <v>15</v>
      </c>
      <c r="G891" t="s">
        <v>28</v>
      </c>
      <c r="H891">
        <v>80164</v>
      </c>
      <c r="I891" t="s">
        <v>17</v>
      </c>
      <c r="J891" t="s">
        <v>29</v>
      </c>
      <c r="K891">
        <v>21418.84</v>
      </c>
      <c r="L891">
        <v>80164.039999999994</v>
      </c>
      <c r="M891">
        <v>9</v>
      </c>
      <c r="Y891" s="1">
        <f t="shared" si="65"/>
        <v>1702.2660000000001</v>
      </c>
      <c r="Z891" s="2">
        <f t="shared" si="66"/>
        <v>58745.2</v>
      </c>
      <c r="AA891" s="2">
        <f t="shared" si="67"/>
        <v>58745.225481798967</v>
      </c>
      <c r="AB891" s="1">
        <f t="shared" si="68"/>
        <v>6.7255007584537008E-2</v>
      </c>
      <c r="AC891" s="1" t="b">
        <f t="shared" si="69"/>
        <v>1</v>
      </c>
    </row>
    <row r="892" spans="1:29" x14ac:dyDescent="0.25">
      <c r="A892" s="1">
        <v>1700.952</v>
      </c>
      <c r="B892">
        <v>20</v>
      </c>
      <c r="D892" s="2">
        <v>58790.6</v>
      </c>
      <c r="E892">
        <v>28720</v>
      </c>
      <c r="F892" t="s">
        <v>15</v>
      </c>
      <c r="G892" t="s">
        <v>16</v>
      </c>
      <c r="H892">
        <v>87511</v>
      </c>
      <c r="I892" t="s">
        <v>17</v>
      </c>
      <c r="J892" t="s">
        <v>18</v>
      </c>
      <c r="K892">
        <v>28720.71</v>
      </c>
      <c r="L892">
        <v>87511.6</v>
      </c>
      <c r="M892">
        <v>9</v>
      </c>
      <c r="Y892" s="1">
        <f t="shared" si="65"/>
        <v>1700.952</v>
      </c>
      <c r="Z892" s="2">
        <f t="shared" si="66"/>
        <v>58790.6</v>
      </c>
      <c r="AA892" s="2">
        <f t="shared" si="67"/>
        <v>58790.606672028371</v>
      </c>
      <c r="AB892" s="1">
        <f t="shared" si="68"/>
        <v>6.7281677164325732E-2</v>
      </c>
      <c r="AC892" s="1" t="b">
        <f t="shared" si="69"/>
        <v>1</v>
      </c>
    </row>
    <row r="893" spans="1:29" x14ac:dyDescent="0.25">
      <c r="A893" s="1">
        <v>1700.1279999999999</v>
      </c>
      <c r="B893">
        <v>1</v>
      </c>
      <c r="D893" s="2">
        <v>58819.1</v>
      </c>
      <c r="E893">
        <v>24788</v>
      </c>
      <c r="F893" t="s">
        <v>15</v>
      </c>
      <c r="G893" t="s">
        <v>16</v>
      </c>
      <c r="H893">
        <v>83607</v>
      </c>
      <c r="I893" t="s">
        <v>17</v>
      </c>
      <c r="J893" t="s">
        <v>23</v>
      </c>
      <c r="K893">
        <v>24788.02</v>
      </c>
      <c r="L893">
        <v>83607.320000000007</v>
      </c>
      <c r="M893">
        <v>9</v>
      </c>
      <c r="Y893" s="1">
        <f t="shared" si="65"/>
        <v>1700.1279999999999</v>
      </c>
      <c r="Z893" s="2">
        <f t="shared" si="66"/>
        <v>58819.1</v>
      </c>
      <c r="AA893" s="2">
        <f t="shared" si="67"/>
        <v>58819.100679478252</v>
      </c>
      <c r="AB893" s="1">
        <f t="shared" si="68"/>
        <v>6.7298433023712995E-2</v>
      </c>
      <c r="AC893" s="1" t="b">
        <f t="shared" si="69"/>
        <v>1</v>
      </c>
    </row>
    <row r="894" spans="1:29" x14ac:dyDescent="0.25">
      <c r="A894" s="1">
        <v>1699.4159999999999</v>
      </c>
      <c r="B894">
        <v>3</v>
      </c>
      <c r="D894" s="2">
        <v>58843.7</v>
      </c>
      <c r="M894">
        <v>9</v>
      </c>
      <c r="Y894" s="1">
        <f t="shared" si="65"/>
        <v>1699.4159999999999</v>
      </c>
      <c r="Z894" s="2">
        <f t="shared" si="66"/>
        <v>58843.7</v>
      </c>
      <c r="AA894" s="2">
        <f t="shared" si="67"/>
        <v>58843.743968516246</v>
      </c>
      <c r="AB894" s="1">
        <f t="shared" si="68"/>
        <v>6.7312931021161454E-2</v>
      </c>
      <c r="AC894" s="1" t="b">
        <f t="shared" si="69"/>
        <v>1</v>
      </c>
    </row>
    <row r="895" spans="1:29" x14ac:dyDescent="0.25">
      <c r="A895" s="1">
        <v>1698.6890000000001</v>
      </c>
      <c r="B895">
        <v>10</v>
      </c>
      <c r="D895" s="2">
        <v>58868.9</v>
      </c>
      <c r="M895">
        <v>9</v>
      </c>
      <c r="Y895" s="1">
        <f t="shared" si="65"/>
        <v>1698.6890000000001</v>
      </c>
      <c r="Z895" s="2">
        <f t="shared" si="66"/>
        <v>58868.9</v>
      </c>
      <c r="AA895" s="2">
        <f t="shared" si="67"/>
        <v>58868.927743689397</v>
      </c>
      <c r="AB895" s="1">
        <f t="shared" si="68"/>
        <v>6.7327753268458621E-2</v>
      </c>
      <c r="AC895" s="1" t="b">
        <f t="shared" si="69"/>
        <v>1</v>
      </c>
    </row>
    <row r="896" spans="1:29" x14ac:dyDescent="0.25">
      <c r="A896" s="1">
        <v>1697.558</v>
      </c>
      <c r="B896">
        <v>3</v>
      </c>
      <c r="D896" s="2">
        <v>58908.1</v>
      </c>
      <c r="M896">
        <v>9</v>
      </c>
      <c r="Y896" s="1">
        <f t="shared" si="65"/>
        <v>1697.558</v>
      </c>
      <c r="Z896" s="2">
        <f t="shared" si="66"/>
        <v>58908.1</v>
      </c>
      <c r="AA896" s="2">
        <f t="shared" si="67"/>
        <v>58908.149235548946</v>
      </c>
      <c r="AB896" s="1">
        <f t="shared" si="68"/>
        <v>6.7350850231788537E-2</v>
      </c>
      <c r="AC896" s="1" t="b">
        <f t="shared" si="69"/>
        <v>1</v>
      </c>
    </row>
    <row r="897" spans="1:29" x14ac:dyDescent="0.25">
      <c r="A897" s="1">
        <v>1696.079</v>
      </c>
      <c r="B897">
        <v>15</v>
      </c>
      <c r="D897" s="2">
        <v>58959.5</v>
      </c>
      <c r="M897">
        <v>9</v>
      </c>
      <c r="Y897" s="1">
        <f t="shared" si="65"/>
        <v>1696.079</v>
      </c>
      <c r="Z897" s="2">
        <f t="shared" si="66"/>
        <v>58959.5</v>
      </c>
      <c r="AA897" s="2">
        <f t="shared" si="67"/>
        <v>58959.517805479583</v>
      </c>
      <c r="AB897" s="1">
        <f t="shared" si="68"/>
        <v>6.7381123699273321E-2</v>
      </c>
      <c r="AC897" s="1" t="b">
        <f t="shared" si="69"/>
        <v>1</v>
      </c>
    </row>
    <row r="898" spans="1:29" x14ac:dyDescent="0.25">
      <c r="A898" s="1">
        <v>1694.896</v>
      </c>
      <c r="B898">
        <v>1</v>
      </c>
      <c r="D898" s="2">
        <v>59000.7</v>
      </c>
      <c r="E898">
        <v>25409</v>
      </c>
      <c r="F898" t="s">
        <v>15</v>
      </c>
      <c r="G898" t="s">
        <v>18</v>
      </c>
      <c r="H898">
        <v>84410</v>
      </c>
      <c r="I898" t="s">
        <v>17</v>
      </c>
      <c r="J898" t="s">
        <v>16</v>
      </c>
      <c r="K898">
        <v>25409.74</v>
      </c>
      <c r="L898">
        <v>84410.63</v>
      </c>
      <c r="M898">
        <v>9</v>
      </c>
      <c r="Y898" s="1">
        <f t="shared" si="65"/>
        <v>1694.896</v>
      </c>
      <c r="Z898" s="2">
        <f t="shared" si="66"/>
        <v>59000.7</v>
      </c>
      <c r="AA898" s="2">
        <f t="shared" si="67"/>
        <v>59000.670247614013</v>
      </c>
      <c r="AB898" s="1">
        <f t="shared" si="68"/>
        <v>6.7405395448338429E-2</v>
      </c>
      <c r="AC898" s="1" t="b">
        <f t="shared" si="69"/>
        <v>1</v>
      </c>
    </row>
    <row r="899" spans="1:29" x14ac:dyDescent="0.25">
      <c r="A899" s="1">
        <v>1694.547</v>
      </c>
      <c r="B899">
        <v>100</v>
      </c>
      <c r="D899" s="2">
        <v>59012.800000000003</v>
      </c>
      <c r="E899">
        <v>25979</v>
      </c>
      <c r="F899" t="s">
        <v>15</v>
      </c>
      <c r="G899" t="s">
        <v>57</v>
      </c>
      <c r="H899">
        <v>84992</v>
      </c>
      <c r="I899" t="s">
        <v>17</v>
      </c>
      <c r="J899" t="s">
        <v>57</v>
      </c>
      <c r="K899">
        <v>25979.34</v>
      </c>
      <c r="L899">
        <v>84992.04</v>
      </c>
      <c r="M899">
        <v>9</v>
      </c>
      <c r="Y899" s="1">
        <f t="shared" ref="Y899:Y962" si="70">ROUND($A899,3)+0</f>
        <v>1694.547</v>
      </c>
      <c r="Z899" s="2">
        <f t="shared" ref="Z899:Z962" si="71">ROUND($D899,1)+0</f>
        <v>59012.800000000003</v>
      </c>
      <c r="AA899" s="2">
        <f t="shared" ref="AA899:AA962" si="72">100000000/Y899</f>
        <v>59012.821715774182</v>
      </c>
      <c r="AB899" s="1">
        <f t="shared" ref="AB899:AB962" si="73">0.0005/$Y899*AA899+0.05</f>
        <v>6.741256563428874E-2</v>
      </c>
      <c r="AC899" s="1" t="b">
        <f t="shared" ref="AC899:AC962" si="74">ABS(Z899-AA899)&lt;AB899</f>
        <v>1</v>
      </c>
    </row>
    <row r="900" spans="1:29" x14ac:dyDescent="0.25">
      <c r="A900" s="1">
        <v>1692.7660000000001</v>
      </c>
      <c r="B900">
        <v>30</v>
      </c>
      <c r="D900" s="2">
        <v>59074.9</v>
      </c>
      <c r="M900">
        <v>9</v>
      </c>
      <c r="Y900" s="1">
        <f t="shared" si="70"/>
        <v>1692.7660000000001</v>
      </c>
      <c r="Z900" s="2">
        <f t="shared" si="71"/>
        <v>59074.9</v>
      </c>
      <c r="AA900" s="2">
        <f t="shared" si="72"/>
        <v>59074.910531048001</v>
      </c>
      <c r="AB900" s="1">
        <f t="shared" si="73"/>
        <v>6.744922527125663E-2</v>
      </c>
      <c r="AC900" s="1" t="b">
        <f t="shared" si="74"/>
        <v>1</v>
      </c>
    </row>
    <row r="901" spans="1:29" x14ac:dyDescent="0.25">
      <c r="A901" s="1">
        <v>1691.7260000000001</v>
      </c>
      <c r="B901">
        <v>10</v>
      </c>
      <c r="D901" s="2">
        <v>59111.199999999997</v>
      </c>
      <c r="M901">
        <v>10</v>
      </c>
      <c r="Y901" s="1">
        <f t="shared" si="70"/>
        <v>1691.7260000000001</v>
      </c>
      <c r="Z901" s="2">
        <f t="shared" si="71"/>
        <v>59111.199999999997</v>
      </c>
      <c r="AA901" s="2">
        <f t="shared" si="72"/>
        <v>59111.227231833051</v>
      </c>
      <c r="AB901" s="1">
        <f t="shared" si="73"/>
        <v>6.7470685924267013E-2</v>
      </c>
      <c r="AC901" s="1" t="b">
        <f t="shared" si="74"/>
        <v>1</v>
      </c>
    </row>
    <row r="902" spans="1:29" x14ac:dyDescent="0.25">
      <c r="A902" s="1">
        <v>1689.8</v>
      </c>
      <c r="B902">
        <v>2</v>
      </c>
      <c r="D902" s="2">
        <v>59178.6</v>
      </c>
      <c r="M902">
        <v>10</v>
      </c>
      <c r="Y902" s="1">
        <f t="shared" si="70"/>
        <v>1689.8</v>
      </c>
      <c r="Z902" s="2">
        <f t="shared" si="71"/>
        <v>59178.6</v>
      </c>
      <c r="AA902" s="2">
        <f t="shared" si="72"/>
        <v>59178.601017871937</v>
      </c>
      <c r="AB902" s="1">
        <f t="shared" si="73"/>
        <v>6.7510534092162372E-2</v>
      </c>
      <c r="AC902" s="1" t="b">
        <f t="shared" si="74"/>
        <v>1</v>
      </c>
    </row>
    <row r="903" spans="1:29" x14ac:dyDescent="0.25">
      <c r="A903" s="1">
        <v>1687.085</v>
      </c>
      <c r="B903">
        <v>1</v>
      </c>
      <c r="D903" s="2">
        <v>59273.8</v>
      </c>
      <c r="M903">
        <v>10</v>
      </c>
      <c r="Y903" s="1">
        <f t="shared" si="70"/>
        <v>1687.085</v>
      </c>
      <c r="Z903" s="2">
        <f t="shared" si="71"/>
        <v>59273.8</v>
      </c>
      <c r="AA903" s="2">
        <f t="shared" si="72"/>
        <v>59273.836232317874</v>
      </c>
      <c r="AB903" s="1">
        <f t="shared" si="73"/>
        <v>6.7566938308478194E-2</v>
      </c>
      <c r="AC903" s="1" t="b">
        <f t="shared" si="74"/>
        <v>1</v>
      </c>
    </row>
    <row r="904" spans="1:29" x14ac:dyDescent="0.25">
      <c r="A904" s="1">
        <v>1685.905</v>
      </c>
      <c r="B904">
        <v>1</v>
      </c>
      <c r="D904" s="2">
        <v>59315.3</v>
      </c>
      <c r="E904">
        <v>20848</v>
      </c>
      <c r="F904" t="s">
        <v>15</v>
      </c>
      <c r="G904" t="s">
        <v>28</v>
      </c>
      <c r="H904">
        <v>80164</v>
      </c>
      <c r="I904" t="s">
        <v>17</v>
      </c>
      <c r="J904" t="s">
        <v>29</v>
      </c>
      <c r="K904">
        <v>20848.39</v>
      </c>
      <c r="L904">
        <v>80164.039999999994</v>
      </c>
      <c r="M904">
        <v>10</v>
      </c>
      <c r="Y904" s="1">
        <f t="shared" si="70"/>
        <v>1685.905</v>
      </c>
      <c r="Z904" s="2">
        <f t="shared" si="71"/>
        <v>59315.3</v>
      </c>
      <c r="AA904" s="2">
        <f t="shared" si="72"/>
        <v>59315.32322402508</v>
      </c>
      <c r="AB904" s="1">
        <f t="shared" si="73"/>
        <v>6.7591537845852839E-2</v>
      </c>
      <c r="AC904" s="1" t="b">
        <f t="shared" si="74"/>
        <v>1</v>
      </c>
    </row>
    <row r="905" spans="1:29" x14ac:dyDescent="0.25">
      <c r="A905" s="1">
        <v>1685.0329999999999</v>
      </c>
      <c r="B905">
        <v>2</v>
      </c>
      <c r="D905" s="2">
        <v>59346</v>
      </c>
      <c r="E905">
        <v>35801</v>
      </c>
      <c r="F905" t="s">
        <v>15</v>
      </c>
      <c r="G905" t="s">
        <v>18</v>
      </c>
      <c r="H905">
        <v>95147</v>
      </c>
      <c r="I905" t="s">
        <v>17</v>
      </c>
      <c r="J905" t="s">
        <v>16</v>
      </c>
      <c r="K905">
        <v>35801.120000000003</v>
      </c>
      <c r="L905">
        <v>95147.9</v>
      </c>
      <c r="M905">
        <v>10</v>
      </c>
      <c r="Y905" s="1">
        <f t="shared" si="70"/>
        <v>1685.0329999999999</v>
      </c>
      <c r="Z905" s="2">
        <f t="shared" si="71"/>
        <v>59346</v>
      </c>
      <c r="AA905" s="2">
        <f t="shared" si="72"/>
        <v>59346.018742659646</v>
      </c>
      <c r="AB905" s="1">
        <f t="shared" si="73"/>
        <v>6.7609749703020555E-2</v>
      </c>
      <c r="AC905" s="1" t="b">
        <f t="shared" si="74"/>
        <v>1</v>
      </c>
    </row>
    <row r="906" spans="1:29" x14ac:dyDescent="0.25">
      <c r="A906" s="1">
        <v>1684.5830000000001</v>
      </c>
      <c r="B906">
        <v>1</v>
      </c>
      <c r="D906" s="2">
        <v>59361.9</v>
      </c>
      <c r="M906">
        <v>10</v>
      </c>
      <c r="Y906" s="1">
        <f t="shared" si="70"/>
        <v>1684.5830000000001</v>
      </c>
      <c r="Z906" s="2">
        <f t="shared" si="71"/>
        <v>59361.9</v>
      </c>
      <c r="AA906" s="2">
        <f t="shared" si="72"/>
        <v>59361.871751050552</v>
      </c>
      <c r="AB906" s="1">
        <f t="shared" si="73"/>
        <v>6.7619159088940867E-2</v>
      </c>
      <c r="AC906" s="1" t="b">
        <f t="shared" si="74"/>
        <v>1</v>
      </c>
    </row>
    <row r="907" spans="1:29" x14ac:dyDescent="0.25">
      <c r="A907" s="1">
        <v>1683.8869999999999</v>
      </c>
      <c r="B907">
        <v>5</v>
      </c>
      <c r="D907" s="2">
        <v>59386.400000000001</v>
      </c>
      <c r="E907">
        <v>30733</v>
      </c>
      <c r="F907" t="s">
        <v>15</v>
      </c>
      <c r="G907" t="s">
        <v>23</v>
      </c>
      <c r="H907">
        <v>90119</v>
      </c>
      <c r="I907" t="s">
        <v>17</v>
      </c>
      <c r="J907" t="s">
        <v>23</v>
      </c>
      <c r="K907">
        <v>30733.53</v>
      </c>
      <c r="L907">
        <v>90119.8</v>
      </c>
      <c r="M907">
        <v>10</v>
      </c>
      <c r="Y907" s="1">
        <f t="shared" si="70"/>
        <v>1683.8869999999999</v>
      </c>
      <c r="Z907" s="2">
        <f t="shared" si="71"/>
        <v>59386.400000000001</v>
      </c>
      <c r="AA907" s="2">
        <f t="shared" si="72"/>
        <v>59386.407757765221</v>
      </c>
      <c r="AB907" s="1">
        <f t="shared" si="73"/>
        <v>6.7633727131857793E-2</v>
      </c>
      <c r="AC907" s="1" t="b">
        <f t="shared" si="74"/>
        <v>1</v>
      </c>
    </row>
    <row r="908" spans="1:29" x14ac:dyDescent="0.25">
      <c r="A908" s="1">
        <v>1681.0730000000001</v>
      </c>
      <c r="B908">
        <v>1</v>
      </c>
      <c r="C908" t="s">
        <v>123</v>
      </c>
      <c r="D908" s="2">
        <v>59485.8</v>
      </c>
      <c r="M908">
        <v>10</v>
      </c>
      <c r="Y908" s="1">
        <f t="shared" si="70"/>
        <v>1681.0730000000001</v>
      </c>
      <c r="Z908" s="2">
        <f t="shared" si="71"/>
        <v>59485.8</v>
      </c>
      <c r="AA908" s="2">
        <f t="shared" si="72"/>
        <v>59485.816499342975</v>
      </c>
      <c r="AB908" s="1">
        <f t="shared" si="73"/>
        <v>6.7692811822967519E-2</v>
      </c>
      <c r="AC908" s="1" t="b">
        <f t="shared" si="74"/>
        <v>1</v>
      </c>
    </row>
    <row r="909" spans="1:29" x14ac:dyDescent="0.25">
      <c r="A909" s="1">
        <v>1680.8409999999999</v>
      </c>
      <c r="B909">
        <v>8</v>
      </c>
      <c r="D909" s="2">
        <v>59494</v>
      </c>
      <c r="E909">
        <v>19872</v>
      </c>
      <c r="F909" t="s">
        <v>15</v>
      </c>
      <c r="G909" t="s">
        <v>18</v>
      </c>
      <c r="H909">
        <v>79366</v>
      </c>
      <c r="I909" t="s">
        <v>17</v>
      </c>
      <c r="J909" t="s">
        <v>28</v>
      </c>
      <c r="K909">
        <v>19872.43</v>
      </c>
      <c r="L909">
        <v>79366.649999999994</v>
      </c>
      <c r="M909">
        <v>10</v>
      </c>
      <c r="Y909" s="1">
        <f t="shared" si="70"/>
        <v>1680.8409999999999</v>
      </c>
      <c r="Z909" s="2">
        <f t="shared" si="71"/>
        <v>59494</v>
      </c>
      <c r="AA909" s="2">
        <f t="shared" si="72"/>
        <v>59494.027097149585</v>
      </c>
      <c r="AB909" s="1">
        <f t="shared" si="73"/>
        <v>6.7697696301181845E-2</v>
      </c>
      <c r="AC909" s="1" t="b">
        <f t="shared" si="74"/>
        <v>1</v>
      </c>
    </row>
    <row r="910" spans="1:29" x14ac:dyDescent="0.25">
      <c r="A910" s="1">
        <v>1679.8720000000001</v>
      </c>
      <c r="B910">
        <v>1</v>
      </c>
      <c r="D910" s="2">
        <v>59528.3</v>
      </c>
      <c r="M910">
        <v>10</v>
      </c>
      <c r="Y910" s="1">
        <f t="shared" si="70"/>
        <v>1679.8720000000001</v>
      </c>
      <c r="Z910" s="2">
        <f t="shared" si="71"/>
        <v>59528.3</v>
      </c>
      <c r="AA910" s="2">
        <f t="shared" si="72"/>
        <v>59528.345016763182</v>
      </c>
      <c r="AB910" s="1">
        <f t="shared" si="73"/>
        <v>6.7718119302173974E-2</v>
      </c>
      <c r="AC910" s="1" t="b">
        <f t="shared" si="74"/>
        <v>1</v>
      </c>
    </row>
    <row r="911" spans="1:29" x14ac:dyDescent="0.25">
      <c r="A911" s="1">
        <v>1677.3140000000001</v>
      </c>
      <c r="B911">
        <v>20</v>
      </c>
      <c r="C911" t="s">
        <v>123</v>
      </c>
      <c r="D911" s="2">
        <v>59619.1</v>
      </c>
      <c r="M911">
        <v>10</v>
      </c>
      <c r="Y911" s="1">
        <f t="shared" si="70"/>
        <v>1677.3140000000001</v>
      </c>
      <c r="Z911" s="2">
        <f t="shared" si="71"/>
        <v>59619.1</v>
      </c>
      <c r="AA911" s="2">
        <f t="shared" si="72"/>
        <v>59619.129155304254</v>
      </c>
      <c r="AB911" s="1">
        <f t="shared" si="73"/>
        <v>6.7772202806184248E-2</v>
      </c>
      <c r="AC911" s="1" t="b">
        <f t="shared" si="74"/>
        <v>1</v>
      </c>
    </row>
    <row r="912" spans="1:29" x14ac:dyDescent="0.25">
      <c r="A912" s="1">
        <v>1676.9</v>
      </c>
      <c r="B912">
        <v>30</v>
      </c>
      <c r="D912" s="2">
        <v>59633.8</v>
      </c>
      <c r="E912">
        <v>71592</v>
      </c>
      <c r="F912" t="s">
        <v>17</v>
      </c>
      <c r="G912" t="s">
        <v>16</v>
      </c>
      <c r="H912">
        <v>131226</v>
      </c>
      <c r="I912" t="s">
        <v>15</v>
      </c>
      <c r="J912" t="s">
        <v>16</v>
      </c>
      <c r="K912">
        <v>71592.34</v>
      </c>
      <c r="L912">
        <v>131226.29999999999</v>
      </c>
      <c r="M912">
        <v>10</v>
      </c>
      <c r="Y912" s="1">
        <f t="shared" si="70"/>
        <v>1676.9</v>
      </c>
      <c r="Z912" s="2">
        <f t="shared" si="71"/>
        <v>59633.8</v>
      </c>
      <c r="AA912" s="2">
        <f t="shared" si="72"/>
        <v>59633.848172222548</v>
      </c>
      <c r="AB912" s="1">
        <f t="shared" si="73"/>
        <v>6.778097923913845E-2</v>
      </c>
      <c r="AC912" s="1" t="b">
        <f t="shared" si="74"/>
        <v>1</v>
      </c>
    </row>
    <row r="913" spans="1:29" x14ac:dyDescent="0.25">
      <c r="A913" s="1">
        <v>1676.3630000000001</v>
      </c>
      <c r="B913">
        <v>3</v>
      </c>
      <c r="D913" s="2">
        <v>59653</v>
      </c>
      <c r="M913">
        <v>10</v>
      </c>
      <c r="Y913" s="1">
        <f t="shared" si="70"/>
        <v>1676.3630000000001</v>
      </c>
      <c r="Z913" s="2">
        <f t="shared" si="71"/>
        <v>59653</v>
      </c>
      <c r="AA913" s="2">
        <f t="shared" si="72"/>
        <v>59652.951061315478</v>
      </c>
      <c r="AB913" s="1">
        <f t="shared" si="73"/>
        <v>6.7792372851618501E-2</v>
      </c>
      <c r="AC913" s="1" t="b">
        <f t="shared" si="74"/>
        <v>1</v>
      </c>
    </row>
    <row r="914" spans="1:29" x14ac:dyDescent="0.25">
      <c r="A914" s="1">
        <v>1674.0740000000001</v>
      </c>
      <c r="B914">
        <v>4</v>
      </c>
      <c r="C914" t="s">
        <v>123</v>
      </c>
      <c r="D914" s="2">
        <v>59734.5</v>
      </c>
      <c r="M914">
        <v>10</v>
      </c>
      <c r="Y914" s="1">
        <f t="shared" si="70"/>
        <v>1674.0740000000001</v>
      </c>
      <c r="Z914" s="2">
        <f t="shared" si="71"/>
        <v>59734.5</v>
      </c>
      <c r="AA914" s="2">
        <f t="shared" si="72"/>
        <v>59734.515917456454</v>
      </c>
      <c r="AB914" s="1">
        <f t="shared" si="73"/>
        <v>6.7841061959464294E-2</v>
      </c>
      <c r="AC914" s="1" t="b">
        <f t="shared" si="74"/>
        <v>1</v>
      </c>
    </row>
    <row r="915" spans="1:29" x14ac:dyDescent="0.25">
      <c r="A915" s="1">
        <v>1673.663</v>
      </c>
      <c r="B915">
        <v>1</v>
      </c>
      <c r="D915" s="2">
        <v>59749.2</v>
      </c>
      <c r="M915">
        <v>10</v>
      </c>
      <c r="Y915" s="1">
        <f t="shared" si="70"/>
        <v>1673.663</v>
      </c>
      <c r="Z915" s="2">
        <f t="shared" si="71"/>
        <v>59749.2</v>
      </c>
      <c r="AA915" s="2">
        <f t="shared" si="72"/>
        <v>59749.18487174539</v>
      </c>
      <c r="AB915" s="1">
        <f t="shared" si="73"/>
        <v>6.784982546419005E-2</v>
      </c>
      <c r="AC915" s="1" t="b">
        <f t="shared" si="74"/>
        <v>1</v>
      </c>
    </row>
    <row r="916" spans="1:29" x14ac:dyDescent="0.25">
      <c r="A916" s="1">
        <v>1672.914</v>
      </c>
      <c r="B916">
        <v>4</v>
      </c>
      <c r="D916" s="2">
        <v>59775.9</v>
      </c>
      <c r="E916">
        <v>19360</v>
      </c>
      <c r="F916" t="s">
        <v>15</v>
      </c>
      <c r="G916" t="s">
        <v>50</v>
      </c>
      <c r="H916">
        <v>79136</v>
      </c>
      <c r="I916" t="s">
        <v>17</v>
      </c>
      <c r="J916" t="s">
        <v>50</v>
      </c>
      <c r="K916">
        <v>19360.099999999999</v>
      </c>
      <c r="L916">
        <v>79136.23</v>
      </c>
      <c r="M916">
        <v>10</v>
      </c>
      <c r="Y916" s="1">
        <f t="shared" si="70"/>
        <v>1672.914</v>
      </c>
      <c r="Z916" s="2">
        <f t="shared" si="71"/>
        <v>59775.9</v>
      </c>
      <c r="AA916" s="2">
        <f t="shared" si="72"/>
        <v>59775.935881940139</v>
      </c>
      <c r="AB916" s="1">
        <f t="shared" si="73"/>
        <v>6.7865812552809102E-2</v>
      </c>
      <c r="AC916" s="1" t="b">
        <f t="shared" si="74"/>
        <v>1</v>
      </c>
    </row>
    <row r="917" spans="1:29" x14ac:dyDescent="0.25">
      <c r="A917" s="1">
        <v>1671.4269999999999</v>
      </c>
      <c r="B917">
        <v>20</v>
      </c>
      <c r="D917" s="2">
        <v>59829.1</v>
      </c>
      <c r="M917">
        <v>10</v>
      </c>
      <c r="Y917" s="1">
        <f t="shared" si="70"/>
        <v>1671.4269999999999</v>
      </c>
      <c r="Z917" s="2">
        <f t="shared" si="71"/>
        <v>59829.1</v>
      </c>
      <c r="AA917" s="2">
        <f t="shared" si="72"/>
        <v>59829.116078656145</v>
      </c>
      <c r="AB917" s="1">
        <f t="shared" si="73"/>
        <v>6.7897615653766563E-2</v>
      </c>
      <c r="AC917" s="1" t="b">
        <f t="shared" si="74"/>
        <v>1</v>
      </c>
    </row>
    <row r="918" spans="1:29" x14ac:dyDescent="0.25">
      <c r="A918" s="1">
        <v>1667.796</v>
      </c>
      <c r="B918">
        <v>4</v>
      </c>
      <c r="D918" s="2">
        <v>59959.4</v>
      </c>
      <c r="E918">
        <v>23647</v>
      </c>
      <c r="F918" t="s">
        <v>15</v>
      </c>
      <c r="G918" t="s">
        <v>50</v>
      </c>
      <c r="H918">
        <v>83607</v>
      </c>
      <c r="I918" t="s">
        <v>17</v>
      </c>
      <c r="J918" t="s">
        <v>23</v>
      </c>
      <c r="K918">
        <v>23647.77</v>
      </c>
      <c r="L918">
        <v>83607.320000000007</v>
      </c>
      <c r="M918">
        <v>10</v>
      </c>
      <c r="Y918" s="1">
        <f t="shared" si="70"/>
        <v>1667.796</v>
      </c>
      <c r="Z918" s="2">
        <f t="shared" si="71"/>
        <v>59959.4</v>
      </c>
      <c r="AA918" s="2">
        <f t="shared" si="72"/>
        <v>59959.371529851371</v>
      </c>
      <c r="AB918" s="1">
        <f t="shared" si="73"/>
        <v>6.7975631171273754E-2</v>
      </c>
      <c r="AC918" s="1" t="b">
        <f t="shared" si="74"/>
        <v>1</v>
      </c>
    </row>
    <row r="919" spans="1:29" x14ac:dyDescent="0.25">
      <c r="A919" s="1">
        <v>1666.1980000000001</v>
      </c>
      <c r="B919">
        <v>7</v>
      </c>
      <c r="D919" s="2">
        <v>60016.9</v>
      </c>
      <c r="M919">
        <v>10</v>
      </c>
      <c r="Y919" s="1">
        <f t="shared" si="70"/>
        <v>1666.1980000000001</v>
      </c>
      <c r="Z919" s="2">
        <f t="shared" si="71"/>
        <v>60016.9</v>
      </c>
      <c r="AA919" s="2">
        <f t="shared" si="72"/>
        <v>60016.876745740898</v>
      </c>
      <c r="AB919" s="1">
        <f t="shared" si="73"/>
        <v>6.8010127471567275E-2</v>
      </c>
      <c r="AC919" s="1" t="b">
        <f t="shared" si="74"/>
        <v>1</v>
      </c>
    </row>
    <row r="920" spans="1:29" x14ac:dyDescent="0.25">
      <c r="A920" s="1">
        <v>1666.1179999999999</v>
      </c>
      <c r="B920">
        <v>1</v>
      </c>
      <c r="D920" s="2">
        <v>60019.8</v>
      </c>
      <c r="M920">
        <v>10</v>
      </c>
      <c r="Y920" s="1">
        <f t="shared" si="70"/>
        <v>1666.1179999999999</v>
      </c>
      <c r="Z920" s="2">
        <f t="shared" si="71"/>
        <v>60019.8</v>
      </c>
      <c r="AA920" s="2">
        <f t="shared" si="72"/>
        <v>60019.758504499681</v>
      </c>
      <c r="AB920" s="1">
        <f t="shared" si="73"/>
        <v>6.8011857054692315E-2</v>
      </c>
      <c r="AC920" s="1" t="b">
        <f t="shared" si="74"/>
        <v>1</v>
      </c>
    </row>
    <row r="921" spans="1:29" x14ac:dyDescent="0.25">
      <c r="A921" s="1">
        <v>1665.1289999999999</v>
      </c>
      <c r="B921">
        <v>8</v>
      </c>
      <c r="D921" s="2">
        <v>60055.4</v>
      </c>
      <c r="E921">
        <v>23647</v>
      </c>
      <c r="F921" t="s">
        <v>15</v>
      </c>
      <c r="G921" t="s">
        <v>50</v>
      </c>
      <c r="H921">
        <v>83703</v>
      </c>
      <c r="I921" t="s">
        <v>17</v>
      </c>
      <c r="J921" t="s">
        <v>50</v>
      </c>
      <c r="K921">
        <v>23647.77</v>
      </c>
      <c r="L921">
        <v>83703.429999999993</v>
      </c>
      <c r="M921">
        <v>10</v>
      </c>
      <c r="Y921" s="1">
        <f t="shared" si="70"/>
        <v>1665.1289999999999</v>
      </c>
      <c r="Z921" s="2">
        <f t="shared" si="71"/>
        <v>60055.4</v>
      </c>
      <c r="AA921" s="2">
        <f t="shared" si="72"/>
        <v>60055.407118607633</v>
      </c>
      <c r="AB921" s="1">
        <f t="shared" si="73"/>
        <v>6.8033259620908546E-2</v>
      </c>
      <c r="AC921" s="1" t="b">
        <f t="shared" si="74"/>
        <v>1</v>
      </c>
    </row>
    <row r="922" spans="1:29" x14ac:dyDescent="0.25">
      <c r="A922" s="1">
        <v>1663.6389999999999</v>
      </c>
      <c r="B922">
        <v>1</v>
      </c>
      <c r="D922" s="2">
        <v>60109.2</v>
      </c>
      <c r="M922">
        <v>10</v>
      </c>
      <c r="Y922" s="1">
        <f t="shared" si="70"/>
        <v>1663.6389999999999</v>
      </c>
      <c r="Z922" s="2">
        <f t="shared" si="71"/>
        <v>60109.2</v>
      </c>
      <c r="AA922" s="2">
        <f t="shared" si="72"/>
        <v>60109.194362478884</v>
      </c>
      <c r="AB922" s="1">
        <f t="shared" si="73"/>
        <v>6.8065576234531314E-2</v>
      </c>
      <c r="AC922" s="1" t="b">
        <f t="shared" si="74"/>
        <v>1</v>
      </c>
    </row>
    <row r="923" spans="1:29" x14ac:dyDescent="0.25">
      <c r="A923" s="1">
        <v>1660.981</v>
      </c>
      <c r="B923">
        <v>3</v>
      </c>
      <c r="D923" s="2">
        <v>60205.4</v>
      </c>
      <c r="E923">
        <v>71021</v>
      </c>
      <c r="F923" t="s">
        <v>17</v>
      </c>
      <c r="G923" t="s">
        <v>16</v>
      </c>
      <c r="H923">
        <v>131226</v>
      </c>
      <c r="I923" t="s">
        <v>15</v>
      </c>
      <c r="J923" t="s">
        <v>16</v>
      </c>
      <c r="K923">
        <v>71021.100000000006</v>
      </c>
      <c r="L923">
        <v>131226.29999999999</v>
      </c>
      <c r="M923">
        <v>10</v>
      </c>
      <c r="Y923" s="1">
        <f t="shared" si="70"/>
        <v>1660.981</v>
      </c>
      <c r="Z923" s="2">
        <f t="shared" si="71"/>
        <v>60205.4</v>
      </c>
      <c r="AA923" s="2">
        <f t="shared" si="72"/>
        <v>60205.384649192252</v>
      </c>
      <c r="AB923" s="1">
        <f t="shared" si="73"/>
        <v>6.8123441703785981E-2</v>
      </c>
      <c r="AC923" s="1" t="b">
        <f t="shared" si="74"/>
        <v>1</v>
      </c>
    </row>
    <row r="924" spans="1:29" x14ac:dyDescent="0.25">
      <c r="A924" s="1">
        <v>1657.2059999999999</v>
      </c>
      <c r="B924">
        <v>2</v>
      </c>
      <c r="D924" s="2">
        <v>60342.5</v>
      </c>
      <c r="M924">
        <v>10</v>
      </c>
      <c r="Y924" s="1">
        <f t="shared" si="70"/>
        <v>1657.2059999999999</v>
      </c>
      <c r="Z924" s="2">
        <f t="shared" si="71"/>
        <v>60342.5</v>
      </c>
      <c r="AA924" s="2">
        <f t="shared" si="72"/>
        <v>60342.528327799926</v>
      </c>
      <c r="AB924" s="1">
        <f t="shared" si="73"/>
        <v>6.8206103624956688E-2</v>
      </c>
      <c r="AC924" s="1" t="b">
        <f t="shared" si="74"/>
        <v>1</v>
      </c>
    </row>
    <row r="925" spans="1:29" x14ac:dyDescent="0.25">
      <c r="A925" s="1">
        <v>1654.182</v>
      </c>
      <c r="B925">
        <v>3</v>
      </c>
      <c r="D925" s="2">
        <v>60452.800000000003</v>
      </c>
      <c r="E925">
        <v>18241</v>
      </c>
      <c r="F925" t="s">
        <v>15</v>
      </c>
      <c r="G925" t="s">
        <v>23</v>
      </c>
      <c r="H925">
        <v>78694</v>
      </c>
      <c r="I925" t="s">
        <v>17</v>
      </c>
      <c r="J925" t="s">
        <v>23</v>
      </c>
      <c r="K925">
        <v>18241.54</v>
      </c>
      <c r="L925">
        <v>78694.570000000007</v>
      </c>
      <c r="M925">
        <v>10</v>
      </c>
      <c r="Y925" s="1">
        <f t="shared" si="70"/>
        <v>1654.182</v>
      </c>
      <c r="Z925" s="2">
        <f t="shared" si="71"/>
        <v>60452.800000000003</v>
      </c>
      <c r="AA925" s="2">
        <f t="shared" si="72"/>
        <v>60452.840134882375</v>
      </c>
      <c r="AB925" s="1">
        <f t="shared" si="73"/>
        <v>6.8272729401868237E-2</v>
      </c>
      <c r="AC925" s="1" t="b">
        <f t="shared" si="74"/>
        <v>1</v>
      </c>
    </row>
    <row r="926" spans="1:29" x14ac:dyDescent="0.25">
      <c r="A926" s="1">
        <v>1653.3510000000001</v>
      </c>
      <c r="B926">
        <v>2</v>
      </c>
      <c r="D926" s="2">
        <v>60483.199999999997</v>
      </c>
      <c r="M926">
        <v>10</v>
      </c>
      <c r="Y926" s="1">
        <f t="shared" si="70"/>
        <v>1653.3510000000001</v>
      </c>
      <c r="Z926" s="2">
        <f t="shared" si="71"/>
        <v>60483.199999999997</v>
      </c>
      <c r="AA926" s="2">
        <f t="shared" si="72"/>
        <v>60483.224675220197</v>
      </c>
      <c r="AB926" s="1">
        <f t="shared" si="73"/>
        <v>6.8291102335565831E-2</v>
      </c>
      <c r="AC926" s="1" t="b">
        <f t="shared" si="74"/>
        <v>1</v>
      </c>
    </row>
    <row r="927" spans="1:29" x14ac:dyDescent="0.25">
      <c r="A927" s="1">
        <v>1649.1869999999999</v>
      </c>
      <c r="B927">
        <v>400</v>
      </c>
      <c r="C927" t="s">
        <v>125</v>
      </c>
      <c r="D927" s="2">
        <v>60635.9</v>
      </c>
      <c r="M927">
        <v>10</v>
      </c>
      <c r="Y927" s="1">
        <f t="shared" si="70"/>
        <v>1649.1869999999999</v>
      </c>
      <c r="Z927" s="2">
        <f t="shared" si="71"/>
        <v>60635.9</v>
      </c>
      <c r="AA927" s="2">
        <f t="shared" si="72"/>
        <v>60635.937586216729</v>
      </c>
      <c r="AB927" s="1">
        <f t="shared" si="73"/>
        <v>6.838358463479785E-2</v>
      </c>
      <c r="AC927" s="1" t="b">
        <f t="shared" si="74"/>
        <v>1</v>
      </c>
    </row>
    <row r="928" spans="1:29" x14ac:dyDescent="0.25">
      <c r="A928" s="1">
        <v>1648.067</v>
      </c>
      <c r="B928">
        <v>3</v>
      </c>
      <c r="D928" s="2">
        <v>60677.2</v>
      </c>
      <c r="E928">
        <v>18211</v>
      </c>
      <c r="F928" t="s">
        <v>15</v>
      </c>
      <c r="G928" t="s">
        <v>28</v>
      </c>
      <c r="H928">
        <v>78889</v>
      </c>
      <c r="I928" t="s">
        <v>17</v>
      </c>
      <c r="J928" t="s">
        <v>29</v>
      </c>
      <c r="K928">
        <v>18211.759999999998</v>
      </c>
      <c r="L928">
        <v>78889.14</v>
      </c>
      <c r="M928">
        <v>10</v>
      </c>
      <c r="Y928" s="1">
        <f t="shared" si="70"/>
        <v>1648.067</v>
      </c>
      <c r="Z928" s="2">
        <f t="shared" si="71"/>
        <v>60677.2</v>
      </c>
      <c r="AA928" s="2">
        <f t="shared" si="72"/>
        <v>60677.144800545124</v>
      </c>
      <c r="AB928" s="1">
        <f t="shared" si="73"/>
        <v>6.8408579505731607E-2</v>
      </c>
      <c r="AC928" s="1" t="b">
        <f t="shared" si="74"/>
        <v>1</v>
      </c>
    </row>
    <row r="929" spans="1:29" x14ac:dyDescent="0.25">
      <c r="A929" s="1">
        <v>1645.0429999999999</v>
      </c>
      <c r="B929">
        <v>1</v>
      </c>
      <c r="D929" s="2">
        <v>60788.7</v>
      </c>
      <c r="M929">
        <v>10</v>
      </c>
      <c r="Y929" s="1">
        <f t="shared" si="70"/>
        <v>1645.0429999999999</v>
      </c>
      <c r="Z929" s="2">
        <f t="shared" si="71"/>
        <v>60788.7</v>
      </c>
      <c r="AA929" s="2">
        <f t="shared" si="72"/>
        <v>60788.684551102924</v>
      </c>
      <c r="AB929" s="1">
        <f t="shared" si="73"/>
        <v>6.8476320847267499E-2</v>
      </c>
      <c r="AC929" s="1" t="b">
        <f t="shared" si="74"/>
        <v>1</v>
      </c>
    </row>
    <row r="930" spans="1:29" x14ac:dyDescent="0.25">
      <c r="A930" s="1">
        <v>1630.1469999999999</v>
      </c>
      <c r="B930">
        <v>5</v>
      </c>
      <c r="C930" t="s">
        <v>123</v>
      </c>
      <c r="D930" s="2">
        <v>61344.2</v>
      </c>
      <c r="E930">
        <v>23647</v>
      </c>
      <c r="F930" t="s">
        <v>15</v>
      </c>
      <c r="G930" t="s">
        <v>50</v>
      </c>
      <c r="H930">
        <v>84992</v>
      </c>
      <c r="I930" t="s">
        <v>17</v>
      </c>
      <c r="J930" t="s">
        <v>57</v>
      </c>
      <c r="K930">
        <v>23647.77</v>
      </c>
      <c r="L930">
        <v>84992.04</v>
      </c>
      <c r="M930">
        <v>10</v>
      </c>
      <c r="Y930" s="1">
        <f t="shared" si="70"/>
        <v>1630.1469999999999</v>
      </c>
      <c r="Z930" s="2">
        <f t="shared" si="71"/>
        <v>61344.2</v>
      </c>
      <c r="AA930" s="2">
        <f t="shared" si="72"/>
        <v>61344.160986708564</v>
      </c>
      <c r="AB930" s="1">
        <f t="shared" si="73"/>
        <v>6.8815530435816091E-2</v>
      </c>
      <c r="AC930" s="1" t="b">
        <f t="shared" si="74"/>
        <v>1</v>
      </c>
    </row>
    <row r="931" spans="1:29" x14ac:dyDescent="0.25">
      <c r="A931" s="1">
        <v>1627.434</v>
      </c>
      <c r="B931">
        <v>200</v>
      </c>
      <c r="C931" t="s">
        <v>123</v>
      </c>
      <c r="D931" s="2">
        <v>61446.400000000001</v>
      </c>
      <c r="E931">
        <v>35384</v>
      </c>
      <c r="F931" t="s">
        <v>15</v>
      </c>
      <c r="G931" t="s">
        <v>28</v>
      </c>
      <c r="H931">
        <v>96830</v>
      </c>
      <c r="I931" t="s">
        <v>17</v>
      </c>
      <c r="J931" t="s">
        <v>18</v>
      </c>
      <c r="K931">
        <v>35384.17</v>
      </c>
      <c r="L931">
        <v>96830.5</v>
      </c>
      <c r="M931">
        <v>10</v>
      </c>
      <c r="Y931" s="1">
        <f t="shared" si="70"/>
        <v>1627.434</v>
      </c>
      <c r="Z931" s="2">
        <f t="shared" si="71"/>
        <v>61446.400000000001</v>
      </c>
      <c r="AA931" s="2">
        <f t="shared" si="72"/>
        <v>61446.424248233721</v>
      </c>
      <c r="AB931" s="1">
        <f t="shared" si="73"/>
        <v>6.8878315264469636E-2</v>
      </c>
      <c r="AC931" s="1" t="b">
        <f t="shared" si="74"/>
        <v>1</v>
      </c>
    </row>
    <row r="932" spans="1:29" x14ac:dyDescent="0.25">
      <c r="A932" s="1">
        <v>1624.9690000000001</v>
      </c>
      <c r="B932">
        <v>1</v>
      </c>
      <c r="D932" s="2">
        <v>61539.6</v>
      </c>
      <c r="E932">
        <v>35291</v>
      </c>
      <c r="F932" t="s">
        <v>15</v>
      </c>
      <c r="G932" t="s">
        <v>16</v>
      </c>
      <c r="H932">
        <v>96830</v>
      </c>
      <c r="I932" t="s">
        <v>17</v>
      </c>
      <c r="J932" t="s">
        <v>18</v>
      </c>
      <c r="K932">
        <v>35291</v>
      </c>
      <c r="L932">
        <v>96830.5</v>
      </c>
      <c r="M932">
        <v>10</v>
      </c>
      <c r="Y932" s="1">
        <f t="shared" si="70"/>
        <v>1624.9690000000001</v>
      </c>
      <c r="Z932" s="2">
        <f t="shared" si="71"/>
        <v>61539.6</v>
      </c>
      <c r="AA932" s="2">
        <f t="shared" si="72"/>
        <v>61539.635525354635</v>
      </c>
      <c r="AB932" s="1">
        <f t="shared" si="73"/>
        <v>6.8935633702967458E-2</v>
      </c>
      <c r="AC932" s="1" t="b">
        <f t="shared" si="74"/>
        <v>1</v>
      </c>
    </row>
    <row r="933" spans="1:29" x14ac:dyDescent="0.25">
      <c r="A933" s="1">
        <v>1622.6220000000001</v>
      </c>
      <c r="B933">
        <v>1</v>
      </c>
      <c r="D933" s="2">
        <v>61628.6</v>
      </c>
      <c r="E933">
        <v>19360</v>
      </c>
      <c r="F933" t="s">
        <v>15</v>
      </c>
      <c r="G933" t="s">
        <v>50</v>
      </c>
      <c r="H933">
        <v>80988</v>
      </c>
      <c r="I933" t="s">
        <v>17</v>
      </c>
      <c r="J933" t="s">
        <v>50</v>
      </c>
      <c r="K933">
        <v>19360.099999999999</v>
      </c>
      <c r="L933">
        <v>80988.759999999995</v>
      </c>
      <c r="M933">
        <v>10</v>
      </c>
      <c r="Y933" s="1">
        <f t="shared" si="70"/>
        <v>1622.6220000000001</v>
      </c>
      <c r="Z933" s="2">
        <f t="shared" si="71"/>
        <v>61628.6</v>
      </c>
      <c r="AA933" s="2">
        <f t="shared" si="72"/>
        <v>61628.647953744003</v>
      </c>
      <c r="AB933" s="1">
        <f t="shared" si="73"/>
        <v>6.8990451243032574E-2</v>
      </c>
      <c r="AC933" s="1" t="b">
        <f t="shared" si="74"/>
        <v>1</v>
      </c>
    </row>
    <row r="934" spans="1:29" x14ac:dyDescent="0.25">
      <c r="A934" s="1">
        <v>1621.248</v>
      </c>
      <c r="B934">
        <v>100</v>
      </c>
      <c r="D934" s="2">
        <v>61680.9</v>
      </c>
      <c r="E934">
        <v>33466</v>
      </c>
      <c r="F934" t="s">
        <v>15</v>
      </c>
      <c r="G934" t="s">
        <v>23</v>
      </c>
      <c r="H934">
        <v>95147</v>
      </c>
      <c r="I934" t="s">
        <v>17</v>
      </c>
      <c r="J934" t="s">
        <v>16</v>
      </c>
      <c r="K934">
        <v>33466.410000000003</v>
      </c>
      <c r="L934">
        <v>95147.9</v>
      </c>
      <c r="M934">
        <v>10</v>
      </c>
      <c r="Y934" s="1">
        <f t="shared" si="70"/>
        <v>1621.248</v>
      </c>
      <c r="Z934" s="2">
        <f t="shared" si="71"/>
        <v>61680.9</v>
      </c>
      <c r="AA934" s="2">
        <f t="shared" si="72"/>
        <v>61680.877940944258</v>
      </c>
      <c r="AB934" s="1">
        <f t="shared" si="73"/>
        <v>6.9022653517828325E-2</v>
      </c>
      <c r="AC934" s="1" t="b">
        <f t="shared" si="74"/>
        <v>1</v>
      </c>
    </row>
    <row r="935" spans="1:29" x14ac:dyDescent="0.25">
      <c r="A935" s="1">
        <v>1614.502</v>
      </c>
      <c r="B935">
        <v>2</v>
      </c>
      <c r="D935" s="2">
        <v>61938.6</v>
      </c>
      <c r="M935">
        <v>10</v>
      </c>
      <c r="Y935" s="1">
        <f t="shared" si="70"/>
        <v>1614.502</v>
      </c>
      <c r="Z935" s="2">
        <f t="shared" si="71"/>
        <v>61938.6</v>
      </c>
      <c r="AA935" s="2">
        <f t="shared" si="72"/>
        <v>61938.603978192659</v>
      </c>
      <c r="AB935" s="1">
        <f t="shared" si="73"/>
        <v>6.9181953313836919E-2</v>
      </c>
      <c r="AC935" s="1" t="b">
        <f t="shared" si="74"/>
        <v>1</v>
      </c>
    </row>
    <row r="936" spans="1:29" x14ac:dyDescent="0.25">
      <c r="A936" s="1">
        <v>1611.809</v>
      </c>
      <c r="B936">
        <v>100</v>
      </c>
      <c r="C936" t="s">
        <v>122</v>
      </c>
      <c r="D936" s="2">
        <v>62042.1</v>
      </c>
      <c r="M936">
        <v>10</v>
      </c>
      <c r="Y936" s="1">
        <f t="shared" si="70"/>
        <v>1611.809</v>
      </c>
      <c r="Z936" s="2">
        <f t="shared" si="71"/>
        <v>62042.1</v>
      </c>
      <c r="AA936" s="2">
        <f t="shared" si="72"/>
        <v>62042.09059510153</v>
      </c>
      <c r="AB936" s="1">
        <f t="shared" si="73"/>
        <v>6.9246105027053931E-2</v>
      </c>
      <c r="AC936" s="1" t="b">
        <f t="shared" si="74"/>
        <v>1</v>
      </c>
    </row>
    <row r="937" spans="1:29" x14ac:dyDescent="0.25">
      <c r="A937" s="1">
        <v>1604.7660000000001</v>
      </c>
      <c r="B937">
        <v>1</v>
      </c>
      <c r="D937" s="2">
        <v>62314.400000000001</v>
      </c>
      <c r="M937">
        <v>10</v>
      </c>
      <c r="Y937" s="1">
        <f t="shared" si="70"/>
        <v>1604.7660000000001</v>
      </c>
      <c r="Z937" s="2">
        <f t="shared" si="71"/>
        <v>62314.400000000001</v>
      </c>
      <c r="AA937" s="2">
        <f t="shared" si="72"/>
        <v>62314.381037484593</v>
      </c>
      <c r="AB937" s="1">
        <f t="shared" si="73"/>
        <v>6.9415410420424095E-2</v>
      </c>
      <c r="AC937" s="1" t="b">
        <f t="shared" si="74"/>
        <v>1</v>
      </c>
    </row>
    <row r="938" spans="1:29" x14ac:dyDescent="0.25">
      <c r="A938" s="1">
        <v>1594.5719999999999</v>
      </c>
      <c r="B938">
        <v>10</v>
      </c>
      <c r="D938" s="2">
        <v>62712.7</v>
      </c>
      <c r="E938">
        <v>31254</v>
      </c>
      <c r="F938" t="s">
        <v>15</v>
      </c>
      <c r="G938" t="s">
        <v>18</v>
      </c>
      <c r="H938">
        <v>93967</v>
      </c>
      <c r="I938" t="s">
        <v>17</v>
      </c>
      <c r="J938" t="s">
        <v>18</v>
      </c>
      <c r="K938">
        <v>31254.71</v>
      </c>
      <c r="L938">
        <v>93967.4</v>
      </c>
      <c r="M938">
        <v>10</v>
      </c>
      <c r="Y938" s="1">
        <f t="shared" si="70"/>
        <v>1594.5719999999999</v>
      </c>
      <c r="Z938" s="2">
        <f t="shared" si="71"/>
        <v>62712.7</v>
      </c>
      <c r="AA938" s="2">
        <f t="shared" si="72"/>
        <v>62712.753014602044</v>
      </c>
      <c r="AB938" s="1">
        <f t="shared" si="73"/>
        <v>6.9664446953352388E-2</v>
      </c>
      <c r="AC938" s="1" t="b">
        <f t="shared" si="74"/>
        <v>1</v>
      </c>
    </row>
    <row r="939" spans="1:29" x14ac:dyDescent="0.25">
      <c r="A939" s="1">
        <v>1589.5530000000001</v>
      </c>
      <c r="B939">
        <v>2</v>
      </c>
      <c r="D939" s="2">
        <v>62910.8</v>
      </c>
      <c r="M939">
        <v>10</v>
      </c>
      <c r="Y939" s="1">
        <f t="shared" si="70"/>
        <v>1589.5530000000001</v>
      </c>
      <c r="Z939" s="2">
        <f t="shared" si="71"/>
        <v>62910.8</v>
      </c>
      <c r="AA939" s="2">
        <f t="shared" si="72"/>
        <v>62910.767995782458</v>
      </c>
      <c r="AB939" s="1">
        <f t="shared" si="73"/>
        <v>6.9788823649095832E-2</v>
      </c>
      <c r="AC939" s="1" t="b">
        <f t="shared" si="74"/>
        <v>1</v>
      </c>
    </row>
    <row r="940" spans="1:29" x14ac:dyDescent="0.25">
      <c r="A940" s="1">
        <v>1580.105</v>
      </c>
      <c r="B940">
        <v>3</v>
      </c>
      <c r="D940" s="2">
        <v>63286.9</v>
      </c>
      <c r="E940">
        <v>29267</v>
      </c>
      <c r="F940" t="s">
        <v>15</v>
      </c>
      <c r="G940" t="s">
        <v>28</v>
      </c>
      <c r="H940">
        <v>92554</v>
      </c>
      <c r="I940" t="s">
        <v>17</v>
      </c>
      <c r="J940" t="s">
        <v>28</v>
      </c>
      <c r="K940">
        <v>29267.86</v>
      </c>
      <c r="L940">
        <v>92554.8</v>
      </c>
      <c r="M940">
        <v>10</v>
      </c>
      <c r="Y940" s="1">
        <f t="shared" si="70"/>
        <v>1580.105</v>
      </c>
      <c r="Z940" s="2">
        <f t="shared" si="71"/>
        <v>63286.9</v>
      </c>
      <c r="AA940" s="2">
        <f t="shared" si="72"/>
        <v>63286.933463282505</v>
      </c>
      <c r="AB940" s="1">
        <f t="shared" si="73"/>
        <v>7.0026179735929742E-2</v>
      </c>
      <c r="AC940" s="1" t="b">
        <f t="shared" si="74"/>
        <v>1</v>
      </c>
    </row>
    <row r="941" spans="1:29" x14ac:dyDescent="0.25">
      <c r="A941" s="1">
        <v>1579.856</v>
      </c>
      <c r="B941">
        <v>1</v>
      </c>
      <c r="D941" s="2">
        <v>63296.9</v>
      </c>
      <c r="M941">
        <v>10</v>
      </c>
      <c r="Y941" s="1">
        <f t="shared" si="70"/>
        <v>1579.856</v>
      </c>
      <c r="Z941" s="2">
        <f t="shared" si="71"/>
        <v>63296.9</v>
      </c>
      <c r="AA941" s="2">
        <f t="shared" si="72"/>
        <v>63296.908072634469</v>
      </c>
      <c r="AB941" s="1">
        <f t="shared" si="73"/>
        <v>7.0032492857777698E-2</v>
      </c>
      <c r="AC941" s="1" t="b">
        <f t="shared" si="74"/>
        <v>1</v>
      </c>
    </row>
    <row r="942" spans="1:29" x14ac:dyDescent="0.25">
      <c r="A942" s="1">
        <v>1574.825</v>
      </c>
      <c r="B942">
        <v>1</v>
      </c>
      <c r="D942" s="2">
        <v>63499.1</v>
      </c>
      <c r="M942">
        <v>10</v>
      </c>
      <c r="Y942" s="1">
        <f t="shared" si="70"/>
        <v>1574.825</v>
      </c>
      <c r="Z942" s="2">
        <f t="shared" si="71"/>
        <v>63499.1</v>
      </c>
      <c r="AA942" s="2">
        <f t="shared" si="72"/>
        <v>63499.118949724572</v>
      </c>
      <c r="AB942" s="1">
        <f t="shared" si="73"/>
        <v>7.0160690536956352E-2</v>
      </c>
      <c r="AC942" s="1" t="b">
        <f t="shared" si="74"/>
        <v>1</v>
      </c>
    </row>
    <row r="943" spans="1:29" x14ac:dyDescent="0.25">
      <c r="A943" s="1">
        <v>1573.3879999999999</v>
      </c>
      <c r="B943">
        <v>10</v>
      </c>
      <c r="C943" t="s">
        <v>123</v>
      </c>
      <c r="D943" s="2">
        <v>63557.1</v>
      </c>
      <c r="E943">
        <v>28885</v>
      </c>
      <c r="F943" t="s">
        <v>15</v>
      </c>
      <c r="G943" t="s">
        <v>16</v>
      </c>
      <c r="H943">
        <v>92441</v>
      </c>
      <c r="I943" t="s">
        <v>17</v>
      </c>
      <c r="J943" t="s">
        <v>18</v>
      </c>
      <c r="K943">
        <v>28885.14</v>
      </c>
      <c r="L943">
        <v>92441.7</v>
      </c>
      <c r="M943">
        <v>10</v>
      </c>
      <c r="Y943" s="1">
        <f t="shared" si="70"/>
        <v>1573.3879999999999</v>
      </c>
      <c r="Z943" s="2">
        <f t="shared" si="71"/>
        <v>63557.1</v>
      </c>
      <c r="AA943" s="2">
        <f t="shared" si="72"/>
        <v>63557.113693507265</v>
      </c>
      <c r="AB943" s="1">
        <f t="shared" si="73"/>
        <v>7.0197533505247045E-2</v>
      </c>
      <c r="AC943" s="1" t="b">
        <f t="shared" si="74"/>
        <v>1</v>
      </c>
    </row>
    <row r="944" spans="1:29" x14ac:dyDescent="0.25">
      <c r="A944" s="1">
        <v>1569.3409999999999</v>
      </c>
      <c r="B944">
        <v>1</v>
      </c>
      <c r="D944" s="2">
        <v>63721</v>
      </c>
      <c r="E944">
        <v>28720</v>
      </c>
      <c r="F944" t="s">
        <v>15</v>
      </c>
      <c r="G944" t="s">
        <v>16</v>
      </c>
      <c r="H944">
        <v>92441</v>
      </c>
      <c r="I944" t="s">
        <v>17</v>
      </c>
      <c r="J944" t="s">
        <v>18</v>
      </c>
      <c r="K944">
        <v>28720.71</v>
      </c>
      <c r="L944">
        <v>92441.7</v>
      </c>
      <c r="M944">
        <v>10</v>
      </c>
      <c r="Y944" s="1">
        <f t="shared" si="70"/>
        <v>1569.3409999999999</v>
      </c>
      <c r="Z944" s="2">
        <f t="shared" si="71"/>
        <v>63721</v>
      </c>
      <c r="AA944" s="2">
        <f t="shared" si="72"/>
        <v>63721.014107195319</v>
      </c>
      <c r="AB944" s="1">
        <f t="shared" si="73"/>
        <v>7.0301838194246929E-2</v>
      </c>
      <c r="AC944" s="1" t="b">
        <f t="shared" si="74"/>
        <v>1</v>
      </c>
    </row>
    <row r="945" spans="1:29" x14ac:dyDescent="0.25">
      <c r="A945" s="1">
        <v>1531.171</v>
      </c>
      <c r="B945">
        <v>5</v>
      </c>
      <c r="D945" s="2">
        <v>65309.5</v>
      </c>
      <c r="M945">
        <v>10</v>
      </c>
      <c r="Y945" s="1">
        <f t="shared" si="70"/>
        <v>1531.171</v>
      </c>
      <c r="Z945" s="2">
        <f t="shared" si="71"/>
        <v>65309.5</v>
      </c>
      <c r="AA945" s="2">
        <f t="shared" si="72"/>
        <v>65309.491885622178</v>
      </c>
      <c r="AB945" s="1">
        <f t="shared" si="73"/>
        <v>7.1326648651790753E-2</v>
      </c>
      <c r="AC945" s="1" t="b">
        <f t="shared" si="74"/>
        <v>1</v>
      </c>
    </row>
    <row r="946" spans="1:29" x14ac:dyDescent="0.25">
      <c r="A946" s="1">
        <v>1529.8510000000001</v>
      </c>
      <c r="B946">
        <v>1</v>
      </c>
      <c r="D946" s="2">
        <v>65365.8</v>
      </c>
      <c r="E946">
        <v>18241</v>
      </c>
      <c r="F946" t="s">
        <v>15</v>
      </c>
      <c r="G946" t="s">
        <v>23</v>
      </c>
      <c r="H946">
        <v>83607</v>
      </c>
      <c r="I946" t="s">
        <v>17</v>
      </c>
      <c r="J946" t="s">
        <v>23</v>
      </c>
      <c r="K946">
        <v>18241.54</v>
      </c>
      <c r="L946">
        <v>83607.320000000007</v>
      </c>
      <c r="M946">
        <v>10</v>
      </c>
      <c r="Y946" s="1">
        <f t="shared" si="70"/>
        <v>1529.8510000000001</v>
      </c>
      <c r="Z946" s="2">
        <f t="shared" si="71"/>
        <v>65365.8</v>
      </c>
      <c r="AA946" s="2">
        <f t="shared" si="72"/>
        <v>65365.842817372402</v>
      </c>
      <c r="AB946" s="1">
        <f t="shared" si="73"/>
        <v>7.1363467036127184E-2</v>
      </c>
      <c r="AC946" s="1" t="b">
        <f t="shared" si="74"/>
        <v>1</v>
      </c>
    </row>
    <row r="947" spans="1:29" x14ac:dyDescent="0.25">
      <c r="A947" s="1">
        <v>1522.489</v>
      </c>
      <c r="B947">
        <v>2</v>
      </c>
      <c r="C947" t="s">
        <v>123</v>
      </c>
      <c r="D947" s="2">
        <v>65681.899999999994</v>
      </c>
      <c r="M947">
        <v>10</v>
      </c>
      <c r="Y947" s="1">
        <f t="shared" si="70"/>
        <v>1522.489</v>
      </c>
      <c r="Z947" s="2">
        <f t="shared" si="71"/>
        <v>65681.899999999994</v>
      </c>
      <c r="AA947" s="2">
        <f t="shared" si="72"/>
        <v>65681.919540962204</v>
      </c>
      <c r="AB947" s="1">
        <f t="shared" si="73"/>
        <v>7.1570572772927166E-2</v>
      </c>
      <c r="AC947" s="1" t="b">
        <f t="shared" si="74"/>
        <v>1</v>
      </c>
    </row>
    <row r="948" spans="1:29" x14ac:dyDescent="0.25">
      <c r="A948" s="1">
        <v>1522.241</v>
      </c>
      <c r="B948">
        <v>100</v>
      </c>
      <c r="C948" t="s">
        <v>327</v>
      </c>
      <c r="D948" s="2">
        <v>65692.600000000006</v>
      </c>
      <c r="E948">
        <v>27604</v>
      </c>
      <c r="F948" t="s">
        <v>15</v>
      </c>
      <c r="G948" t="s">
        <v>16</v>
      </c>
      <c r="H948">
        <v>93296</v>
      </c>
      <c r="I948" t="s">
        <v>17</v>
      </c>
      <c r="J948" t="s">
        <v>23</v>
      </c>
      <c r="K948">
        <v>27604.26</v>
      </c>
      <c r="L948">
        <v>93296.5</v>
      </c>
      <c r="M948">
        <v>10</v>
      </c>
      <c r="Y948" s="1">
        <f t="shared" si="70"/>
        <v>1522.241</v>
      </c>
      <c r="Z948" s="2">
        <f t="shared" si="71"/>
        <v>65692.600000000006</v>
      </c>
      <c r="AA948" s="2">
        <f t="shared" si="72"/>
        <v>65692.620288114689</v>
      </c>
      <c r="AB948" s="1">
        <f t="shared" si="73"/>
        <v>7.1577601801592089E-2</v>
      </c>
      <c r="AC948" s="1" t="b">
        <f t="shared" si="74"/>
        <v>1</v>
      </c>
    </row>
    <row r="949" spans="1:29" x14ac:dyDescent="0.25">
      <c r="A949" s="1">
        <v>1522.241</v>
      </c>
      <c r="B949">
        <v>100</v>
      </c>
      <c r="C949" t="s">
        <v>327</v>
      </c>
      <c r="D949" s="2">
        <v>65692.600000000006</v>
      </c>
      <c r="E949">
        <v>22527</v>
      </c>
      <c r="F949" t="s">
        <v>15</v>
      </c>
      <c r="G949" t="s">
        <v>18</v>
      </c>
      <c r="H949">
        <v>88220</v>
      </c>
      <c r="I949" t="s">
        <v>17</v>
      </c>
      <c r="J949" t="s">
        <v>16</v>
      </c>
      <c r="K949">
        <v>22527.7</v>
      </c>
      <c r="L949">
        <v>88220.2</v>
      </c>
      <c r="M949">
        <v>10</v>
      </c>
      <c r="Y949" s="1">
        <f t="shared" si="70"/>
        <v>1522.241</v>
      </c>
      <c r="Z949" s="2">
        <f t="shared" si="71"/>
        <v>65692.600000000006</v>
      </c>
      <c r="AA949" s="2">
        <f t="shared" si="72"/>
        <v>65692.620288114689</v>
      </c>
      <c r="AB949" s="1">
        <f t="shared" si="73"/>
        <v>7.1577601801592089E-2</v>
      </c>
      <c r="AC949" s="1" t="b">
        <f t="shared" si="74"/>
        <v>1</v>
      </c>
    </row>
    <row r="950" spans="1:29" x14ac:dyDescent="0.25">
      <c r="A950" s="1">
        <v>1521.4169999999999</v>
      </c>
      <c r="B950">
        <v>3</v>
      </c>
      <c r="D950" s="2">
        <v>65728.2</v>
      </c>
      <c r="M950">
        <v>10</v>
      </c>
      <c r="Y950" s="1">
        <f t="shared" si="70"/>
        <v>1521.4169999999999</v>
      </c>
      <c r="Z950" s="2">
        <f t="shared" si="71"/>
        <v>65728.2</v>
      </c>
      <c r="AA950" s="2">
        <f t="shared" si="72"/>
        <v>65728.199435131857</v>
      </c>
      <c r="AB950" s="1">
        <f t="shared" si="73"/>
        <v>7.1600981004922348E-2</v>
      </c>
      <c r="AC950" s="1" t="b">
        <f t="shared" si="74"/>
        <v>1</v>
      </c>
    </row>
    <row r="951" spans="1:29" x14ac:dyDescent="0.25">
      <c r="A951" s="1">
        <v>1521.2360000000001</v>
      </c>
      <c r="B951">
        <v>10</v>
      </c>
      <c r="D951" s="2">
        <v>65736</v>
      </c>
      <c r="M951">
        <v>10</v>
      </c>
      <c r="Y951" s="1">
        <f t="shared" si="70"/>
        <v>1521.2360000000001</v>
      </c>
      <c r="Z951" s="2">
        <f t="shared" si="71"/>
        <v>65736</v>
      </c>
      <c r="AA951" s="2">
        <f t="shared" si="72"/>
        <v>65736.019920643477</v>
      </c>
      <c r="AB951" s="1">
        <f t="shared" si="73"/>
        <v>7.160612157503618E-2</v>
      </c>
      <c r="AC951" s="1" t="b">
        <f t="shared" si="74"/>
        <v>1</v>
      </c>
    </row>
    <row r="952" spans="1:29" x14ac:dyDescent="0.25">
      <c r="A952" s="1">
        <v>1520.1279999999999</v>
      </c>
      <c r="B952">
        <v>1</v>
      </c>
      <c r="D952" s="2">
        <v>65783.899999999994</v>
      </c>
      <c r="E952">
        <v>13352</v>
      </c>
      <c r="F952" t="s">
        <v>15</v>
      </c>
      <c r="G952" t="s">
        <v>23</v>
      </c>
      <c r="H952">
        <v>79136</v>
      </c>
      <c r="I952" t="s">
        <v>17</v>
      </c>
      <c r="J952" t="s">
        <v>50</v>
      </c>
      <c r="K952">
        <v>13352.1</v>
      </c>
      <c r="L952">
        <v>79136.23</v>
      </c>
      <c r="M952">
        <v>10</v>
      </c>
      <c r="Y952" s="1">
        <f t="shared" si="70"/>
        <v>1520.1279999999999</v>
      </c>
      <c r="Z952" s="2">
        <f t="shared" si="71"/>
        <v>65783.899999999994</v>
      </c>
      <c r="AA952" s="2">
        <f t="shared" si="72"/>
        <v>65783.93398450657</v>
      </c>
      <c r="AB952" s="1">
        <f t="shared" si="73"/>
        <v>7.1637629852389598E-2</v>
      </c>
      <c r="AC952" s="1" t="b">
        <f t="shared" si="74"/>
        <v>1</v>
      </c>
    </row>
    <row r="953" spans="1:29" x14ac:dyDescent="0.25">
      <c r="A953" s="1">
        <v>1520.03</v>
      </c>
      <c r="B953">
        <v>3</v>
      </c>
      <c r="D953" s="2">
        <v>65788.2</v>
      </c>
      <c r="M953">
        <v>10</v>
      </c>
      <c r="Y953" s="1">
        <f t="shared" si="70"/>
        <v>1520.03</v>
      </c>
      <c r="Z953" s="2">
        <f t="shared" si="71"/>
        <v>65788.2</v>
      </c>
      <c r="AA953" s="2">
        <f t="shared" si="72"/>
        <v>65788.175233383547</v>
      </c>
      <c r="AB953" s="1">
        <f t="shared" si="73"/>
        <v>7.1640420002691912E-2</v>
      </c>
      <c r="AC953" s="1" t="b">
        <f t="shared" si="74"/>
        <v>1</v>
      </c>
    </row>
    <row r="954" spans="1:29" x14ac:dyDescent="0.25">
      <c r="A954" s="1">
        <v>1519.2470000000001</v>
      </c>
      <c r="B954">
        <v>100</v>
      </c>
      <c r="D954" s="2">
        <v>65822.100000000006</v>
      </c>
      <c r="M954">
        <v>10</v>
      </c>
      <c r="Y954" s="1">
        <f t="shared" si="70"/>
        <v>1519.2470000000001</v>
      </c>
      <c r="Z954" s="2">
        <f t="shared" si="71"/>
        <v>65822.100000000006</v>
      </c>
      <c r="AA954" s="2">
        <f t="shared" si="72"/>
        <v>65822.08159700167</v>
      </c>
      <c r="AB954" s="1">
        <f t="shared" si="73"/>
        <v>7.1662732128811732E-2</v>
      </c>
      <c r="AC954" s="1" t="b">
        <f t="shared" si="74"/>
        <v>1</v>
      </c>
    </row>
    <row r="955" spans="1:29" x14ac:dyDescent="0.25">
      <c r="A955" s="1">
        <v>1518.9659999999999</v>
      </c>
      <c r="B955">
        <v>4</v>
      </c>
      <c r="C955" t="s">
        <v>123</v>
      </c>
      <c r="D955" s="2">
        <v>65834.2</v>
      </c>
      <c r="M955">
        <v>10</v>
      </c>
      <c r="Y955" s="1">
        <f t="shared" si="70"/>
        <v>1518.9659999999999</v>
      </c>
      <c r="Z955" s="2">
        <f t="shared" si="71"/>
        <v>65834.2</v>
      </c>
      <c r="AA955" s="2">
        <f t="shared" si="72"/>
        <v>65834.258304662522</v>
      </c>
      <c r="AB955" s="1">
        <f t="shared" si="73"/>
        <v>7.1670747832625142E-2</v>
      </c>
      <c r="AC955" s="1" t="b">
        <f t="shared" si="74"/>
        <v>1</v>
      </c>
    </row>
    <row r="956" spans="1:29" x14ac:dyDescent="0.25">
      <c r="A956" s="1">
        <v>1518.655</v>
      </c>
      <c r="B956">
        <v>2</v>
      </c>
      <c r="D956" s="2">
        <v>65847.7</v>
      </c>
      <c r="E956">
        <v>12846</v>
      </c>
      <c r="F956" t="s">
        <v>15</v>
      </c>
      <c r="G956" t="s">
        <v>16</v>
      </c>
      <c r="H956">
        <v>78694</v>
      </c>
      <c r="I956" t="s">
        <v>17</v>
      </c>
      <c r="J956" t="s">
        <v>23</v>
      </c>
      <c r="K956">
        <v>12846.66</v>
      </c>
      <c r="L956">
        <v>78694.570000000007</v>
      </c>
      <c r="M956">
        <v>10</v>
      </c>
      <c r="Y956" s="1">
        <f t="shared" si="70"/>
        <v>1518.655</v>
      </c>
      <c r="Z956" s="2">
        <f t="shared" si="71"/>
        <v>65847.7</v>
      </c>
      <c r="AA956" s="2">
        <f t="shared" si="72"/>
        <v>65847.740270173279</v>
      </c>
      <c r="AB956" s="1">
        <f t="shared" si="73"/>
        <v>7.1679624493441008E-2</v>
      </c>
      <c r="AC956" s="1" t="b">
        <f t="shared" si="74"/>
        <v>1</v>
      </c>
    </row>
    <row r="957" spans="1:29" x14ac:dyDescent="0.25">
      <c r="A957" s="1">
        <v>1518.56</v>
      </c>
      <c r="B957">
        <v>2</v>
      </c>
      <c r="D957" s="2">
        <v>65851.899999999994</v>
      </c>
      <c r="E957">
        <v>15045</v>
      </c>
      <c r="F957" t="s">
        <v>15</v>
      </c>
      <c r="G957" t="s">
        <v>28</v>
      </c>
      <c r="H957">
        <v>80897</v>
      </c>
      <c r="I957" t="s">
        <v>17</v>
      </c>
      <c r="J957" t="s">
        <v>29</v>
      </c>
      <c r="K957">
        <v>15045.8</v>
      </c>
      <c r="L957">
        <v>80897.850000000006</v>
      </c>
      <c r="M957">
        <v>10</v>
      </c>
      <c r="Y957" s="1">
        <f t="shared" si="70"/>
        <v>1518.56</v>
      </c>
      <c r="Z957" s="2">
        <f t="shared" si="71"/>
        <v>65851.899999999994</v>
      </c>
      <c r="AA957" s="2">
        <f t="shared" si="72"/>
        <v>65851.859656516695</v>
      </c>
      <c r="AB957" s="1">
        <f t="shared" si="73"/>
        <v>7.1682337101107857E-2</v>
      </c>
      <c r="AC957" s="1" t="b">
        <f t="shared" si="74"/>
        <v>1</v>
      </c>
    </row>
    <row r="958" spans="1:29" x14ac:dyDescent="0.25">
      <c r="A958" s="1">
        <v>1518.374</v>
      </c>
      <c r="B958">
        <v>1</v>
      </c>
      <c r="D958" s="2">
        <v>65859.899999999994</v>
      </c>
      <c r="M958">
        <v>10</v>
      </c>
      <c r="Y958" s="1">
        <f t="shared" si="70"/>
        <v>1518.374</v>
      </c>
      <c r="Z958" s="2">
        <f t="shared" si="71"/>
        <v>65859.899999999994</v>
      </c>
      <c r="AA958" s="2">
        <f t="shared" si="72"/>
        <v>65859.926473978077</v>
      </c>
      <c r="AB958" s="1">
        <f t="shared" si="73"/>
        <v>7.1687649575788992E-2</v>
      </c>
      <c r="AC958" s="1" t="b">
        <f t="shared" si="74"/>
        <v>1</v>
      </c>
    </row>
    <row r="959" spans="1:29" x14ac:dyDescent="0.25">
      <c r="A959" s="1">
        <v>1518.212</v>
      </c>
      <c r="B959">
        <v>1</v>
      </c>
      <c r="D959" s="2">
        <v>65867</v>
      </c>
      <c r="M959">
        <v>10</v>
      </c>
      <c r="Y959" s="1">
        <f t="shared" si="70"/>
        <v>1518.212</v>
      </c>
      <c r="Z959" s="2">
        <f t="shared" si="71"/>
        <v>65867</v>
      </c>
      <c r="AA959" s="2">
        <f t="shared" si="72"/>
        <v>65866.95402223141</v>
      </c>
      <c r="AB959" s="1">
        <f t="shared" si="73"/>
        <v>7.1692278160833733E-2</v>
      </c>
      <c r="AC959" s="1" t="b">
        <f t="shared" si="74"/>
        <v>1</v>
      </c>
    </row>
    <row r="960" spans="1:29" x14ac:dyDescent="0.25">
      <c r="A960" s="1">
        <v>1518.1420000000001</v>
      </c>
      <c r="B960">
        <v>40</v>
      </c>
      <c r="C960" t="s">
        <v>123</v>
      </c>
      <c r="D960" s="2">
        <v>65870</v>
      </c>
      <c r="M960">
        <v>10</v>
      </c>
      <c r="Y960" s="1">
        <f t="shared" si="70"/>
        <v>1518.1420000000001</v>
      </c>
      <c r="Z960" s="2">
        <f t="shared" si="71"/>
        <v>65870</v>
      </c>
      <c r="AA960" s="2">
        <f t="shared" si="72"/>
        <v>65869.991081203203</v>
      </c>
      <c r="AB960" s="1">
        <f t="shared" si="73"/>
        <v>7.1694278625188956E-2</v>
      </c>
      <c r="AC960" s="1" t="b">
        <f t="shared" si="74"/>
        <v>1</v>
      </c>
    </row>
    <row r="961" spans="1:29" x14ac:dyDescent="0.25">
      <c r="A961" s="1">
        <v>1517.6220000000001</v>
      </c>
      <c r="B961">
        <v>20</v>
      </c>
      <c r="C961" t="s">
        <v>123</v>
      </c>
      <c r="D961" s="2">
        <v>65892.600000000006</v>
      </c>
      <c r="M961">
        <v>10</v>
      </c>
      <c r="Y961" s="1">
        <f t="shared" si="70"/>
        <v>1517.6220000000001</v>
      </c>
      <c r="Z961" s="2">
        <f t="shared" si="71"/>
        <v>65892.600000000006</v>
      </c>
      <c r="AA961" s="2">
        <f t="shared" si="72"/>
        <v>65892.560861663835</v>
      </c>
      <c r="AB961" s="1">
        <f t="shared" si="73"/>
        <v>7.1709147884540358E-2</v>
      </c>
      <c r="AC961" s="1" t="b">
        <f t="shared" si="74"/>
        <v>1</v>
      </c>
    </row>
    <row r="962" spans="1:29" x14ac:dyDescent="0.25">
      <c r="A962" s="1">
        <v>1517.441</v>
      </c>
      <c r="B962">
        <v>10</v>
      </c>
      <c r="D962" s="2">
        <v>65900.399999999994</v>
      </c>
      <c r="E962">
        <v>21611</v>
      </c>
      <c r="F962" t="s">
        <v>15</v>
      </c>
      <c r="G962" t="s">
        <v>28</v>
      </c>
      <c r="H962">
        <v>87511</v>
      </c>
      <c r="I962" t="s">
        <v>17</v>
      </c>
      <c r="J962" t="s">
        <v>18</v>
      </c>
      <c r="K962">
        <v>21611.19</v>
      </c>
      <c r="L962">
        <v>87511.6</v>
      </c>
      <c r="M962">
        <v>10</v>
      </c>
      <c r="Y962" s="1">
        <f t="shared" si="70"/>
        <v>1517.441</v>
      </c>
      <c r="Z962" s="2">
        <f t="shared" si="71"/>
        <v>65900.399999999994</v>
      </c>
      <c r="AA962" s="2">
        <f t="shared" si="72"/>
        <v>65900.420510583281</v>
      </c>
      <c r="AB962" s="1">
        <f t="shared" si="73"/>
        <v>7.1714327117358534E-2</v>
      </c>
      <c r="AC962" s="1" t="b">
        <f t="shared" si="74"/>
        <v>1</v>
      </c>
    </row>
    <row r="963" spans="1:29" x14ac:dyDescent="0.25">
      <c r="A963" s="1">
        <v>1517.3409999999999</v>
      </c>
      <c r="B963">
        <v>100</v>
      </c>
      <c r="C963" t="s">
        <v>123</v>
      </c>
      <c r="D963" s="2">
        <v>65904.800000000003</v>
      </c>
      <c r="M963">
        <v>10</v>
      </c>
      <c r="Y963" s="1">
        <f t="shared" ref="Y963:Y1026" si="75">ROUND($A963,3)+0</f>
        <v>1517.3409999999999</v>
      </c>
      <c r="Z963" s="2">
        <f t="shared" ref="Z963:Z1026" si="76">ROUND($D963,1)+0</f>
        <v>65904.800000000003</v>
      </c>
      <c r="AA963" s="2">
        <f t="shared" ref="AA963:AA1026" si="77">100000000/Y963</f>
        <v>65904.763662222278</v>
      </c>
      <c r="AB963" s="1">
        <f t="shared" ref="AB963:AB1026" si="78">0.0005/$Y963*AA963+0.05</f>
        <v>7.1717189366866871E-2</v>
      </c>
      <c r="AC963" s="1" t="b">
        <f t="shared" ref="AC963:AC1026" si="79">ABS(Z963-AA963)&lt;AB963</f>
        <v>1</v>
      </c>
    </row>
    <row r="964" spans="1:29" x14ac:dyDescent="0.25">
      <c r="A964" s="1">
        <v>1516.7529999999999</v>
      </c>
      <c r="B964">
        <v>5</v>
      </c>
      <c r="D964" s="2">
        <v>65930.3</v>
      </c>
      <c r="E964">
        <v>65295</v>
      </c>
      <c r="F964" t="s">
        <v>17</v>
      </c>
      <c r="G964" t="s">
        <v>18</v>
      </c>
      <c r="H964">
        <v>131226</v>
      </c>
      <c r="I964" t="s">
        <v>15</v>
      </c>
      <c r="J964" t="s">
        <v>16</v>
      </c>
      <c r="K964">
        <v>65295.9</v>
      </c>
      <c r="L964">
        <v>131226.29999999999</v>
      </c>
      <c r="M964">
        <v>10</v>
      </c>
      <c r="Y964" s="1">
        <f t="shared" si="75"/>
        <v>1516.7529999999999</v>
      </c>
      <c r="Z964" s="2">
        <f t="shared" si="76"/>
        <v>65930.3</v>
      </c>
      <c r="AA964" s="2">
        <f t="shared" si="77"/>
        <v>65930.312977788737</v>
      </c>
      <c r="AB964" s="1">
        <f t="shared" si="78"/>
        <v>7.17340308467459E-2</v>
      </c>
      <c r="AC964" s="1" t="b">
        <f t="shared" si="79"/>
        <v>1</v>
      </c>
    </row>
    <row r="965" spans="1:29" x14ac:dyDescent="0.25">
      <c r="A965" s="1">
        <v>1516.5329999999999</v>
      </c>
      <c r="B965">
        <v>40</v>
      </c>
      <c r="C965" t="s">
        <v>125</v>
      </c>
      <c r="D965" s="2">
        <v>65939.899999999994</v>
      </c>
      <c r="M965">
        <v>10</v>
      </c>
      <c r="Y965" s="1">
        <f t="shared" si="75"/>
        <v>1516.5329999999999</v>
      </c>
      <c r="Z965" s="2">
        <f t="shared" si="76"/>
        <v>65939.899999999994</v>
      </c>
      <c r="AA965" s="2">
        <f t="shared" si="77"/>
        <v>65939.877338640174</v>
      </c>
      <c r="AB965" s="1">
        <f t="shared" si="78"/>
        <v>7.1740337117174563E-2</v>
      </c>
      <c r="AC965" s="1" t="b">
        <f t="shared" si="79"/>
        <v>1</v>
      </c>
    </row>
    <row r="966" spans="1:29" x14ac:dyDescent="0.25">
      <c r="A966" s="1">
        <v>1516.365</v>
      </c>
      <c r="B966">
        <v>1</v>
      </c>
      <c r="D966" s="2">
        <v>65947.199999999997</v>
      </c>
      <c r="M966">
        <v>10</v>
      </c>
      <c r="Y966" s="1">
        <f t="shared" si="75"/>
        <v>1516.365</v>
      </c>
      <c r="Z966" s="2">
        <f t="shared" si="76"/>
        <v>65947.199999999997</v>
      </c>
      <c r="AA966" s="2">
        <f t="shared" si="77"/>
        <v>65947.182901214415</v>
      </c>
      <c r="AB966" s="1">
        <f t="shared" si="78"/>
        <v>7.1745154663031135E-2</v>
      </c>
      <c r="AC966" s="1" t="b">
        <f t="shared" si="79"/>
        <v>1</v>
      </c>
    </row>
    <row r="967" spans="1:29" x14ac:dyDescent="0.25">
      <c r="A967" s="1">
        <v>1515.694</v>
      </c>
      <c r="B967">
        <v>15</v>
      </c>
      <c r="D967" s="2">
        <v>65976.399999999994</v>
      </c>
      <c r="E967">
        <v>21535</v>
      </c>
      <c r="F967" t="s">
        <v>15</v>
      </c>
      <c r="G967" t="s">
        <v>16</v>
      </c>
      <c r="H967">
        <v>87511</v>
      </c>
      <c r="I967" t="s">
        <v>17</v>
      </c>
      <c r="J967" t="s">
        <v>18</v>
      </c>
      <c r="K967">
        <v>21535.17</v>
      </c>
      <c r="L967">
        <v>87511.6</v>
      </c>
      <c r="M967">
        <v>10</v>
      </c>
      <c r="Y967" s="1">
        <f t="shared" si="75"/>
        <v>1515.694</v>
      </c>
      <c r="Z967" s="2">
        <f t="shared" si="76"/>
        <v>65976.399999999994</v>
      </c>
      <c r="AA967" s="2">
        <f t="shared" si="77"/>
        <v>65976.377817686152</v>
      </c>
      <c r="AB967" s="1">
        <f t="shared" si="78"/>
        <v>7.1764412149710355E-2</v>
      </c>
      <c r="AC967" s="1" t="b">
        <f t="shared" si="79"/>
        <v>1</v>
      </c>
    </row>
    <row r="968" spans="1:29" x14ac:dyDescent="0.25">
      <c r="A968" s="1">
        <v>1514.893</v>
      </c>
      <c r="B968">
        <v>50</v>
      </c>
      <c r="C968" t="s">
        <v>124</v>
      </c>
      <c r="D968" s="2">
        <v>66011.3</v>
      </c>
      <c r="M968">
        <v>10</v>
      </c>
      <c r="Y968" s="1">
        <f t="shared" si="75"/>
        <v>1514.893</v>
      </c>
      <c r="Z968" s="2">
        <f t="shared" si="76"/>
        <v>66011.3</v>
      </c>
      <c r="AA968" s="2">
        <f t="shared" si="77"/>
        <v>66011.262841666045</v>
      </c>
      <c r="AB968" s="1">
        <f t="shared" si="78"/>
        <v>7.1787434109757603E-2</v>
      </c>
      <c r="AC968" s="1" t="b">
        <f t="shared" si="79"/>
        <v>1</v>
      </c>
    </row>
    <row r="969" spans="1:29" x14ac:dyDescent="0.25">
      <c r="A969" s="1">
        <v>1513.7460000000001</v>
      </c>
      <c r="B969">
        <v>10</v>
      </c>
      <c r="C969" t="s">
        <v>123</v>
      </c>
      <c r="D969" s="2">
        <v>66061.3</v>
      </c>
      <c r="M969">
        <v>10</v>
      </c>
      <c r="Y969" s="1">
        <f t="shared" si="75"/>
        <v>1513.7460000000001</v>
      </c>
      <c r="Z969" s="2">
        <f t="shared" si="76"/>
        <v>66061.3</v>
      </c>
      <c r="AA969" s="2">
        <f t="shared" si="77"/>
        <v>66061.281086787349</v>
      </c>
      <c r="AB969" s="1">
        <f t="shared" si="78"/>
        <v>7.1820464294137631E-2</v>
      </c>
      <c r="AC969" s="1" t="b">
        <f t="shared" si="79"/>
        <v>1</v>
      </c>
    </row>
    <row r="970" spans="1:29" x14ac:dyDescent="0.25">
      <c r="A970" s="1">
        <v>1513.6020000000001</v>
      </c>
      <c r="B970">
        <v>5</v>
      </c>
      <c r="D970" s="2">
        <v>66067.600000000006</v>
      </c>
      <c r="M970">
        <v>10</v>
      </c>
      <c r="Y970" s="1">
        <f t="shared" si="75"/>
        <v>1513.6020000000001</v>
      </c>
      <c r="Z970" s="2">
        <f t="shared" si="76"/>
        <v>66067.600000000006</v>
      </c>
      <c r="AA970" s="2">
        <f t="shared" si="77"/>
        <v>66067.565978374754</v>
      </c>
      <c r="AB970" s="1">
        <f t="shared" si="78"/>
        <v>7.1824616371534505E-2</v>
      </c>
      <c r="AC970" s="1" t="b">
        <f t="shared" si="79"/>
        <v>1</v>
      </c>
    </row>
    <row r="971" spans="1:29" x14ac:dyDescent="0.25">
      <c r="A971" s="1">
        <v>1513.53</v>
      </c>
      <c r="B971">
        <v>5</v>
      </c>
      <c r="C971" t="s">
        <v>125</v>
      </c>
      <c r="D971" s="2">
        <v>66070.7</v>
      </c>
      <c r="E971">
        <v>18921</v>
      </c>
      <c r="F971" t="s">
        <v>15</v>
      </c>
      <c r="G971" t="s">
        <v>57</v>
      </c>
      <c r="H971">
        <v>84992</v>
      </c>
      <c r="I971" t="s">
        <v>17</v>
      </c>
      <c r="J971" t="s">
        <v>57</v>
      </c>
      <c r="K971">
        <v>18921.240000000002</v>
      </c>
      <c r="L971">
        <v>84992.04</v>
      </c>
      <c r="M971">
        <v>10</v>
      </c>
      <c r="Y971" s="1">
        <f t="shared" si="75"/>
        <v>1513.53</v>
      </c>
      <c r="Z971" s="2">
        <f t="shared" si="76"/>
        <v>66070.7</v>
      </c>
      <c r="AA971" s="2">
        <f t="shared" si="77"/>
        <v>66070.7088726355</v>
      </c>
      <c r="AB971" s="1">
        <f t="shared" si="78"/>
        <v>7.1826692854662783E-2</v>
      </c>
      <c r="AC971" s="1" t="b">
        <f t="shared" si="79"/>
        <v>1</v>
      </c>
    </row>
    <row r="972" spans="1:29" x14ac:dyDescent="0.25">
      <c r="A972" s="1">
        <v>1512.6780000000001</v>
      </c>
      <c r="B972">
        <v>1</v>
      </c>
      <c r="D972" s="2">
        <v>66107.899999999994</v>
      </c>
      <c r="E972">
        <v>26446</v>
      </c>
      <c r="F972" t="s">
        <v>15</v>
      </c>
      <c r="G972" t="s">
        <v>18</v>
      </c>
      <c r="H972">
        <v>92554</v>
      </c>
      <c r="I972" t="s">
        <v>17</v>
      </c>
      <c r="J972" t="s">
        <v>28</v>
      </c>
      <c r="K972">
        <v>26446.97</v>
      </c>
      <c r="L972">
        <v>92554.8</v>
      </c>
      <c r="M972">
        <v>10</v>
      </c>
      <c r="Y972" s="1">
        <f t="shared" si="75"/>
        <v>1512.6780000000001</v>
      </c>
      <c r="Z972" s="2">
        <f t="shared" si="76"/>
        <v>66107.899999999994</v>
      </c>
      <c r="AA972" s="2">
        <f t="shared" si="77"/>
        <v>66107.922505648923</v>
      </c>
      <c r="AB972" s="1">
        <f t="shared" si="78"/>
        <v>7.1851287090064414E-2</v>
      </c>
      <c r="AC972" s="1" t="b">
        <f t="shared" si="79"/>
        <v>1</v>
      </c>
    </row>
    <row r="973" spans="1:29" x14ac:dyDescent="0.25">
      <c r="A973" s="1">
        <v>1512.6320000000001</v>
      </c>
      <c r="B973">
        <v>1</v>
      </c>
      <c r="D973" s="2">
        <v>66109.899999999994</v>
      </c>
      <c r="M973">
        <v>10</v>
      </c>
      <c r="Y973" s="1">
        <f t="shared" si="75"/>
        <v>1512.6320000000001</v>
      </c>
      <c r="Z973" s="2">
        <f t="shared" si="76"/>
        <v>66109.899999999994</v>
      </c>
      <c r="AA973" s="2">
        <f t="shared" si="77"/>
        <v>66109.932885196133</v>
      </c>
      <c r="AB973" s="1">
        <f t="shared" si="78"/>
        <v>7.1852616130425692E-2</v>
      </c>
      <c r="AC973" s="1" t="b">
        <f t="shared" si="79"/>
        <v>1</v>
      </c>
    </row>
    <row r="974" spans="1:29" x14ac:dyDescent="0.25">
      <c r="A974" s="1">
        <v>1512.2059999999999</v>
      </c>
      <c r="B974">
        <v>100</v>
      </c>
      <c r="C974" t="s">
        <v>125</v>
      </c>
      <c r="D974" s="2">
        <v>66128.600000000006</v>
      </c>
      <c r="E974">
        <v>14859</v>
      </c>
      <c r="F974" t="s">
        <v>15</v>
      </c>
      <c r="G974" t="s">
        <v>23</v>
      </c>
      <c r="H974">
        <v>80988</v>
      </c>
      <c r="I974" t="s">
        <v>17</v>
      </c>
      <c r="J974" t="s">
        <v>50</v>
      </c>
      <c r="K974">
        <v>14859.96</v>
      </c>
      <c r="L974">
        <v>80988.759999999995</v>
      </c>
      <c r="M974">
        <v>10</v>
      </c>
      <c r="Y974" s="1">
        <f t="shared" si="75"/>
        <v>1512.2059999999999</v>
      </c>
      <c r="Z974" s="2">
        <f t="shared" si="76"/>
        <v>66128.600000000006</v>
      </c>
      <c r="AA974" s="2">
        <f t="shared" si="77"/>
        <v>66128.556559093136</v>
      </c>
      <c r="AB974" s="1">
        <f t="shared" si="78"/>
        <v>7.1864929962945912E-2</v>
      </c>
      <c r="AC974" s="1" t="b">
        <f t="shared" si="79"/>
        <v>1</v>
      </c>
    </row>
    <row r="975" spans="1:29" x14ac:dyDescent="0.25">
      <c r="A975" s="1">
        <v>1511.9880000000001</v>
      </c>
      <c r="B975">
        <v>10</v>
      </c>
      <c r="D975" s="2">
        <v>66138.100000000006</v>
      </c>
      <c r="M975">
        <v>10</v>
      </c>
      <c r="Y975" s="1">
        <f t="shared" si="75"/>
        <v>1511.9880000000001</v>
      </c>
      <c r="Z975" s="2">
        <f t="shared" si="76"/>
        <v>66138.100000000006</v>
      </c>
      <c r="AA975" s="2">
        <f t="shared" si="77"/>
        <v>66138.091043050605</v>
      </c>
      <c r="AB975" s="1">
        <f t="shared" si="78"/>
        <v>7.1871235434094252E-2</v>
      </c>
      <c r="AC975" s="1" t="b">
        <f t="shared" si="79"/>
        <v>1</v>
      </c>
    </row>
    <row r="976" spans="1:29" x14ac:dyDescent="0.25">
      <c r="A976" s="1">
        <v>1511.2739999999999</v>
      </c>
      <c r="B976">
        <v>4</v>
      </c>
      <c r="D976" s="2">
        <v>66169.3</v>
      </c>
      <c r="E976">
        <v>18241</v>
      </c>
      <c r="F976" t="s">
        <v>15</v>
      </c>
      <c r="G976" t="s">
        <v>23</v>
      </c>
      <c r="H976">
        <v>84410</v>
      </c>
      <c r="I976" t="s">
        <v>17</v>
      </c>
      <c r="J976" t="s">
        <v>16</v>
      </c>
      <c r="K976">
        <v>18241.54</v>
      </c>
      <c r="L976">
        <v>84410.63</v>
      </c>
      <c r="M976">
        <v>10</v>
      </c>
      <c r="Y976" s="1">
        <f t="shared" si="75"/>
        <v>1511.2739999999999</v>
      </c>
      <c r="Z976" s="2">
        <f t="shared" si="76"/>
        <v>66169.3</v>
      </c>
      <c r="AA976" s="2">
        <f t="shared" si="77"/>
        <v>66169.337922838618</v>
      </c>
      <c r="AB976" s="1">
        <f t="shared" si="78"/>
        <v>7.1891906405734049E-2</v>
      </c>
      <c r="AC976" s="1" t="b">
        <f t="shared" si="79"/>
        <v>1</v>
      </c>
    </row>
    <row r="977" spans="1:29" x14ac:dyDescent="0.25">
      <c r="A977" s="1">
        <v>1510.693</v>
      </c>
      <c r="B977">
        <v>10</v>
      </c>
      <c r="C977" t="s">
        <v>123</v>
      </c>
      <c r="D977" s="2">
        <v>66194.8</v>
      </c>
      <c r="M977">
        <v>10</v>
      </c>
      <c r="Y977" s="1">
        <f t="shared" si="75"/>
        <v>1510.693</v>
      </c>
      <c r="Z977" s="2">
        <f t="shared" si="76"/>
        <v>66194.8</v>
      </c>
      <c r="AA977" s="2">
        <f t="shared" si="77"/>
        <v>66194.786101477934</v>
      </c>
      <c r="AB977" s="1">
        <f t="shared" si="78"/>
        <v>7.1908748535102082E-2</v>
      </c>
      <c r="AC977" s="1" t="b">
        <f t="shared" si="79"/>
        <v>1</v>
      </c>
    </row>
    <row r="978" spans="1:29" x14ac:dyDescent="0.25">
      <c r="A978" s="1">
        <v>1509.9870000000001</v>
      </c>
      <c r="B978">
        <v>4</v>
      </c>
      <c r="D978" s="2">
        <v>66225.7</v>
      </c>
      <c r="M978">
        <v>10</v>
      </c>
      <c r="Y978" s="1">
        <f t="shared" si="75"/>
        <v>1509.9870000000001</v>
      </c>
      <c r="Z978" s="2">
        <f t="shared" si="76"/>
        <v>66225.7</v>
      </c>
      <c r="AA978" s="2">
        <f t="shared" si="77"/>
        <v>66225.735718254524</v>
      </c>
      <c r="AB978" s="1">
        <f t="shared" si="78"/>
        <v>7.1929240357120464E-2</v>
      </c>
      <c r="AC978" s="1" t="b">
        <f t="shared" si="79"/>
        <v>1</v>
      </c>
    </row>
    <row r="979" spans="1:29" x14ac:dyDescent="0.25">
      <c r="A979" s="1">
        <v>1509.5650000000001</v>
      </c>
      <c r="B979">
        <v>50</v>
      </c>
      <c r="C979" t="s">
        <v>123</v>
      </c>
      <c r="D979" s="2">
        <v>66244.2</v>
      </c>
      <c r="M979">
        <v>10</v>
      </c>
      <c r="Y979" s="1">
        <f t="shared" si="75"/>
        <v>1509.5650000000001</v>
      </c>
      <c r="Z979" s="2">
        <f t="shared" si="76"/>
        <v>66244.2</v>
      </c>
      <c r="AA979" s="2">
        <f t="shared" si="77"/>
        <v>66244.249171118834</v>
      </c>
      <c r="AB979" s="1">
        <f t="shared" si="78"/>
        <v>7.194150274122639E-2</v>
      </c>
      <c r="AC979" s="1" t="b">
        <f t="shared" si="79"/>
        <v>1</v>
      </c>
    </row>
    <row r="980" spans="1:29" x14ac:dyDescent="0.25">
      <c r="A980" s="1">
        <v>1509.155</v>
      </c>
      <c r="B980">
        <v>2</v>
      </c>
      <c r="C980" t="s">
        <v>122</v>
      </c>
      <c r="D980" s="2">
        <v>66262.2</v>
      </c>
      <c r="E980">
        <v>28885</v>
      </c>
      <c r="F980" t="s">
        <v>15</v>
      </c>
      <c r="G980" t="s">
        <v>16</v>
      </c>
      <c r="H980">
        <v>95147</v>
      </c>
      <c r="I980" t="s">
        <v>17</v>
      </c>
      <c r="J980" t="s">
        <v>16</v>
      </c>
      <c r="K980">
        <v>28885.14</v>
      </c>
      <c r="L980">
        <v>95147.9</v>
      </c>
      <c r="M980">
        <v>10</v>
      </c>
      <c r="Y980" s="1">
        <f t="shared" si="75"/>
        <v>1509.155</v>
      </c>
      <c r="Z980" s="2">
        <f t="shared" si="76"/>
        <v>66262.2</v>
      </c>
      <c r="AA980" s="2">
        <f t="shared" si="77"/>
        <v>66262.246091355759</v>
      </c>
      <c r="AB980" s="1">
        <f t="shared" si="78"/>
        <v>7.1953426285356961E-2</v>
      </c>
      <c r="AC980" s="1" t="b">
        <f t="shared" si="79"/>
        <v>1</v>
      </c>
    </row>
    <row r="981" spans="1:29" x14ac:dyDescent="0.25">
      <c r="A981" s="1">
        <v>1508.867</v>
      </c>
      <c r="B981">
        <v>7</v>
      </c>
      <c r="C981" t="s">
        <v>125</v>
      </c>
      <c r="D981" s="2">
        <v>66274.899999999994</v>
      </c>
      <c r="E981">
        <v>23844</v>
      </c>
      <c r="F981" t="s">
        <v>15</v>
      </c>
      <c r="G981" t="s">
        <v>16</v>
      </c>
      <c r="H981">
        <v>90119</v>
      </c>
      <c r="I981" t="s">
        <v>17</v>
      </c>
      <c r="J981" t="s">
        <v>23</v>
      </c>
      <c r="K981">
        <v>23844.58</v>
      </c>
      <c r="L981">
        <v>90119.8</v>
      </c>
      <c r="M981">
        <v>10</v>
      </c>
      <c r="Y981" s="1">
        <f t="shared" si="75"/>
        <v>1508.867</v>
      </c>
      <c r="Z981" s="2">
        <f t="shared" si="76"/>
        <v>66274.899999999994</v>
      </c>
      <c r="AA981" s="2">
        <f t="shared" si="77"/>
        <v>66274.893678501816</v>
      </c>
      <c r="AB981" s="1">
        <f t="shared" si="78"/>
        <v>7.1961807660483601E-2</v>
      </c>
      <c r="AC981" s="1" t="b">
        <f t="shared" si="79"/>
        <v>1</v>
      </c>
    </row>
    <row r="982" spans="1:29" x14ac:dyDescent="0.25">
      <c r="A982" s="1">
        <v>1508.327</v>
      </c>
      <c r="B982">
        <v>3</v>
      </c>
      <c r="D982" s="2">
        <v>66298.600000000006</v>
      </c>
      <c r="M982">
        <v>10</v>
      </c>
      <c r="Y982" s="1">
        <f t="shared" si="75"/>
        <v>1508.327</v>
      </c>
      <c r="Z982" s="2">
        <f t="shared" si="76"/>
        <v>66298.600000000006</v>
      </c>
      <c r="AA982" s="2">
        <f t="shared" si="77"/>
        <v>66298.620922386195</v>
      </c>
      <c r="AB982" s="1">
        <f t="shared" si="78"/>
        <v>7.1977535681051322E-2</v>
      </c>
      <c r="AC982" s="1" t="b">
        <f t="shared" si="79"/>
        <v>1</v>
      </c>
    </row>
    <row r="983" spans="1:29" x14ac:dyDescent="0.25">
      <c r="A983" s="1">
        <v>1508.0740000000001</v>
      </c>
      <c r="B983">
        <v>20</v>
      </c>
      <c r="C983" t="s">
        <v>123</v>
      </c>
      <c r="D983" s="2">
        <v>66309.7</v>
      </c>
      <c r="M983">
        <v>10</v>
      </c>
      <c r="Y983" s="1">
        <f t="shared" si="75"/>
        <v>1508.0740000000001</v>
      </c>
      <c r="Z983" s="2">
        <f t="shared" si="76"/>
        <v>66309.7</v>
      </c>
      <c r="AA983" s="2">
        <f t="shared" si="77"/>
        <v>66309.743421078805</v>
      </c>
      <c r="AB983" s="1">
        <f t="shared" si="78"/>
        <v>7.1984910362846516E-2</v>
      </c>
      <c r="AC983" s="1" t="b">
        <f t="shared" si="79"/>
        <v>1</v>
      </c>
    </row>
    <row r="984" spans="1:29" x14ac:dyDescent="0.25">
      <c r="A984" s="1">
        <v>1506.8630000000001</v>
      </c>
      <c r="B984">
        <v>3</v>
      </c>
      <c r="D984" s="2">
        <v>66363</v>
      </c>
      <c r="E984">
        <v>27604</v>
      </c>
      <c r="F984" t="s">
        <v>15</v>
      </c>
      <c r="G984" t="s">
        <v>16</v>
      </c>
      <c r="H984">
        <v>93967</v>
      </c>
      <c r="I984" t="s">
        <v>17</v>
      </c>
      <c r="J984" t="s">
        <v>18</v>
      </c>
      <c r="K984">
        <v>27604.26</v>
      </c>
      <c r="L984">
        <v>93967.4</v>
      </c>
      <c r="M984">
        <v>10</v>
      </c>
      <c r="Y984" s="1">
        <f t="shared" si="75"/>
        <v>1506.8630000000001</v>
      </c>
      <c r="Z984" s="2">
        <f t="shared" si="76"/>
        <v>66363</v>
      </c>
      <c r="AA984" s="2">
        <f t="shared" si="77"/>
        <v>66363.03366663061</v>
      </c>
      <c r="AB984" s="1">
        <f t="shared" si="78"/>
        <v>7.2020261187191736E-2</v>
      </c>
      <c r="AC984" s="1" t="b">
        <f t="shared" si="79"/>
        <v>1</v>
      </c>
    </row>
    <row r="985" spans="1:29" x14ac:dyDescent="0.25">
      <c r="A985" s="1">
        <v>1506.8050000000001</v>
      </c>
      <c r="B985">
        <v>1</v>
      </c>
      <c r="D985" s="2">
        <v>66365.600000000006</v>
      </c>
      <c r="E985">
        <v>44903</v>
      </c>
      <c r="F985" t="s">
        <v>15</v>
      </c>
      <c r="G985" t="s">
        <v>28</v>
      </c>
      <c r="H985">
        <v>111268</v>
      </c>
      <c r="I985" t="s">
        <v>17</v>
      </c>
      <c r="J985" t="s">
        <v>29</v>
      </c>
      <c r="K985">
        <v>44903.42</v>
      </c>
      <c r="L985">
        <v>111268.7</v>
      </c>
      <c r="M985">
        <v>10</v>
      </c>
      <c r="Y985" s="1">
        <f t="shared" si="75"/>
        <v>1506.8050000000001</v>
      </c>
      <c r="Z985" s="2">
        <f t="shared" si="76"/>
        <v>66365.600000000006</v>
      </c>
      <c r="AA985" s="2">
        <f t="shared" si="77"/>
        <v>66365.588115250473</v>
      </c>
      <c r="AB985" s="1">
        <f t="shared" si="78"/>
        <v>7.2021956429415376E-2</v>
      </c>
      <c r="AC985" s="1" t="b">
        <f t="shared" si="79"/>
        <v>1</v>
      </c>
    </row>
    <row r="986" spans="1:29" x14ac:dyDescent="0.25">
      <c r="A986" s="1">
        <v>1506.425</v>
      </c>
      <c r="B986">
        <v>2</v>
      </c>
      <c r="D986" s="2">
        <v>66382.3</v>
      </c>
      <c r="M986">
        <v>10</v>
      </c>
      <c r="Y986" s="1">
        <f t="shared" si="75"/>
        <v>1506.425</v>
      </c>
      <c r="Z986" s="2">
        <f t="shared" si="76"/>
        <v>66382.3</v>
      </c>
      <c r="AA986" s="2">
        <f t="shared" si="77"/>
        <v>66382.329024013816</v>
      </c>
      <c r="AB986" s="1">
        <f t="shared" si="78"/>
        <v>7.2033068033262135E-2</v>
      </c>
      <c r="AC986" s="1" t="b">
        <f t="shared" si="79"/>
        <v>1</v>
      </c>
    </row>
    <row r="987" spans="1:29" x14ac:dyDescent="0.25">
      <c r="A987" s="1">
        <v>1505.7739999999999</v>
      </c>
      <c r="B987">
        <v>3</v>
      </c>
      <c r="D987" s="2">
        <v>66411</v>
      </c>
      <c r="M987">
        <v>10</v>
      </c>
      <c r="Y987" s="1">
        <f t="shared" si="75"/>
        <v>1505.7739999999999</v>
      </c>
      <c r="Z987" s="2">
        <f t="shared" si="76"/>
        <v>66411</v>
      </c>
      <c r="AA987" s="2">
        <f t="shared" si="77"/>
        <v>66411.028481033674</v>
      </c>
      <c r="AB987" s="1">
        <f t="shared" si="78"/>
        <v>7.2052123519543335E-2</v>
      </c>
      <c r="AC987" s="1" t="b">
        <f t="shared" si="79"/>
        <v>1</v>
      </c>
    </row>
    <row r="988" spans="1:29" x14ac:dyDescent="0.25">
      <c r="A988" s="1">
        <v>1505.654</v>
      </c>
      <c r="B988">
        <v>300</v>
      </c>
      <c r="D988" s="2">
        <v>66416.3</v>
      </c>
      <c r="M988">
        <v>10</v>
      </c>
      <c r="Y988" s="1">
        <f t="shared" si="75"/>
        <v>1505.654</v>
      </c>
      <c r="Z988" s="2">
        <f t="shared" si="76"/>
        <v>66416.3</v>
      </c>
      <c r="AA988" s="2">
        <f t="shared" si="77"/>
        <v>66416.321412489197</v>
      </c>
      <c r="AB988" s="1">
        <f t="shared" si="78"/>
        <v>7.2055638749835352E-2</v>
      </c>
      <c r="AC988" s="1" t="b">
        <f t="shared" si="79"/>
        <v>1</v>
      </c>
    </row>
    <row r="989" spans="1:29" x14ac:dyDescent="0.25">
      <c r="A989" s="1">
        <v>1505.4090000000001</v>
      </c>
      <c r="B989">
        <v>5</v>
      </c>
      <c r="D989" s="2">
        <v>66427.100000000006</v>
      </c>
      <c r="E989">
        <v>28720</v>
      </c>
      <c r="F989" t="s">
        <v>15</v>
      </c>
      <c r="G989" t="s">
        <v>16</v>
      </c>
      <c r="H989">
        <v>95147</v>
      </c>
      <c r="I989" t="s">
        <v>17</v>
      </c>
      <c r="J989" t="s">
        <v>16</v>
      </c>
      <c r="K989">
        <v>28720.71</v>
      </c>
      <c r="L989">
        <v>95147.9</v>
      </c>
      <c r="M989">
        <v>10</v>
      </c>
      <c r="Y989" s="1">
        <f t="shared" si="75"/>
        <v>1505.4090000000001</v>
      </c>
      <c r="Z989" s="2">
        <f t="shared" si="76"/>
        <v>66427.100000000006</v>
      </c>
      <c r="AA989" s="2">
        <f t="shared" si="77"/>
        <v>66427.130434320497</v>
      </c>
      <c r="AB989" s="1">
        <f t="shared" si="78"/>
        <v>7.2062818288691155E-2</v>
      </c>
      <c r="AC989" s="1" t="b">
        <f t="shared" si="79"/>
        <v>1</v>
      </c>
    </row>
    <row r="990" spans="1:29" x14ac:dyDescent="0.25">
      <c r="A990" s="1">
        <v>1505.329</v>
      </c>
      <c r="B990">
        <v>20</v>
      </c>
      <c r="C990" t="s">
        <v>123</v>
      </c>
      <c r="D990" s="2">
        <v>66430.7</v>
      </c>
      <c r="M990">
        <v>10</v>
      </c>
      <c r="Y990" s="1">
        <f t="shared" si="75"/>
        <v>1505.329</v>
      </c>
      <c r="Z990" s="2">
        <f t="shared" si="76"/>
        <v>66430.7</v>
      </c>
      <c r="AA990" s="2">
        <f t="shared" si="77"/>
        <v>66430.660672849597</v>
      </c>
      <c r="AB990" s="1">
        <f t="shared" si="78"/>
        <v>7.2065163387156433E-2</v>
      </c>
      <c r="AC990" s="1" t="b">
        <f t="shared" si="79"/>
        <v>1</v>
      </c>
    </row>
    <row r="991" spans="1:29" x14ac:dyDescent="0.25">
      <c r="A991" s="1">
        <v>1504.7829999999999</v>
      </c>
      <c r="B991">
        <v>30</v>
      </c>
      <c r="D991" s="2">
        <v>66454.8</v>
      </c>
      <c r="E991">
        <v>67049</v>
      </c>
      <c r="F991" t="s">
        <v>17</v>
      </c>
      <c r="G991" t="s">
        <v>16</v>
      </c>
      <c r="H991">
        <v>133503</v>
      </c>
      <c r="I991" t="s">
        <v>15</v>
      </c>
      <c r="J991" t="s">
        <v>23</v>
      </c>
      <c r="K991">
        <v>67049.179999999993</v>
      </c>
      <c r="L991">
        <v>133503.9</v>
      </c>
      <c r="M991">
        <v>10</v>
      </c>
      <c r="Y991" s="1">
        <f t="shared" si="75"/>
        <v>1504.7829999999999</v>
      </c>
      <c r="Z991" s="2">
        <f t="shared" si="76"/>
        <v>66454.8</v>
      </c>
      <c r="AA991" s="2">
        <f t="shared" si="77"/>
        <v>66454.76457402829</v>
      </c>
      <c r="AB991" s="1">
        <f t="shared" si="78"/>
        <v>7.2081178672947624E-2</v>
      </c>
      <c r="AC991" s="1" t="b">
        <f t="shared" si="79"/>
        <v>1</v>
      </c>
    </row>
    <row r="992" spans="1:29" x14ac:dyDescent="0.25">
      <c r="A992" s="1">
        <v>1504.761</v>
      </c>
      <c r="B992">
        <v>400</v>
      </c>
      <c r="C992" t="s">
        <v>125</v>
      </c>
      <c r="D992" s="2">
        <v>66455.7</v>
      </c>
      <c r="M992">
        <v>10</v>
      </c>
      <c r="Y992" s="1">
        <f t="shared" si="75"/>
        <v>1504.761</v>
      </c>
      <c r="Z992" s="2">
        <f t="shared" si="76"/>
        <v>66455.7</v>
      </c>
      <c r="AA992" s="2">
        <f t="shared" si="77"/>
        <v>66455.73616009453</v>
      </c>
      <c r="AB992" s="1">
        <f t="shared" si="78"/>
        <v>7.2081824342900475E-2</v>
      </c>
      <c r="AC992" s="1" t="b">
        <f t="shared" si="79"/>
        <v>1</v>
      </c>
    </row>
    <row r="993" spans="1:29" x14ac:dyDescent="0.25">
      <c r="A993" s="1">
        <v>1504.662</v>
      </c>
      <c r="B993">
        <v>2</v>
      </c>
      <c r="D993" s="2">
        <v>66460.100000000006</v>
      </c>
      <c r="E993">
        <v>69408</v>
      </c>
      <c r="F993" t="s">
        <v>17</v>
      </c>
      <c r="G993" t="s">
        <v>23</v>
      </c>
      <c r="H993">
        <v>135868</v>
      </c>
      <c r="I993" t="s">
        <v>15</v>
      </c>
      <c r="J993" t="s">
        <v>16</v>
      </c>
      <c r="K993">
        <v>69408.509999999995</v>
      </c>
      <c r="L993">
        <v>135868.79999999999</v>
      </c>
      <c r="M993">
        <v>10</v>
      </c>
      <c r="Y993" s="1">
        <f t="shared" si="75"/>
        <v>1504.662</v>
      </c>
      <c r="Z993" s="2">
        <f t="shared" si="76"/>
        <v>66460.100000000006</v>
      </c>
      <c r="AA993" s="2">
        <f t="shared" si="77"/>
        <v>66460.108648985624</v>
      </c>
      <c r="AB993" s="1">
        <f t="shared" si="78"/>
        <v>7.2084730208174866E-2</v>
      </c>
      <c r="AC993" s="1" t="b">
        <f t="shared" si="79"/>
        <v>1</v>
      </c>
    </row>
    <row r="994" spans="1:29" x14ac:dyDescent="0.25">
      <c r="A994" s="1">
        <v>1504.3979999999999</v>
      </c>
      <c r="B994">
        <v>400</v>
      </c>
      <c r="C994" t="s">
        <v>124</v>
      </c>
      <c r="D994" s="2">
        <v>66471.8</v>
      </c>
      <c r="E994">
        <v>23647</v>
      </c>
      <c r="F994" t="s">
        <v>15</v>
      </c>
      <c r="G994" t="s">
        <v>50</v>
      </c>
      <c r="H994">
        <v>90119</v>
      </c>
      <c r="I994" t="s">
        <v>17</v>
      </c>
      <c r="J994" t="s">
        <v>23</v>
      </c>
      <c r="K994">
        <v>23647.77</v>
      </c>
      <c r="L994">
        <v>90119.8</v>
      </c>
      <c r="M994">
        <v>10</v>
      </c>
      <c r="Y994" s="1">
        <f t="shared" si="75"/>
        <v>1504.3979999999999</v>
      </c>
      <c r="Z994" s="2">
        <f t="shared" si="76"/>
        <v>66471.8</v>
      </c>
      <c r="AA994" s="2">
        <f t="shared" si="77"/>
        <v>66471.771432825626</v>
      </c>
      <c r="AB994" s="1">
        <f t="shared" si="78"/>
        <v>7.2092481987089063E-2</v>
      </c>
      <c r="AC994" s="1" t="b">
        <f t="shared" si="79"/>
        <v>1</v>
      </c>
    </row>
    <row r="995" spans="1:29" x14ac:dyDescent="0.25">
      <c r="A995" s="1">
        <v>1504.269</v>
      </c>
      <c r="B995">
        <v>1</v>
      </c>
      <c r="D995" s="2">
        <v>66477.5</v>
      </c>
      <c r="M995">
        <v>10</v>
      </c>
      <c r="Y995" s="1">
        <f t="shared" si="75"/>
        <v>1504.269</v>
      </c>
      <c r="Z995" s="2">
        <f t="shared" si="76"/>
        <v>66477.5</v>
      </c>
      <c r="AA995" s="2">
        <f t="shared" si="77"/>
        <v>66477.471781975168</v>
      </c>
      <c r="AB995" s="1">
        <f t="shared" si="78"/>
        <v>7.209627127261653E-2</v>
      </c>
      <c r="AC995" s="1" t="b">
        <f t="shared" si="79"/>
        <v>1</v>
      </c>
    </row>
    <row r="996" spans="1:29" x14ac:dyDescent="0.25">
      <c r="A996" s="1">
        <v>1504.086</v>
      </c>
      <c r="B996">
        <v>8</v>
      </c>
      <c r="D996" s="2">
        <v>66485.600000000006</v>
      </c>
      <c r="E996">
        <v>46673</v>
      </c>
      <c r="F996" t="s">
        <v>15</v>
      </c>
      <c r="G996" t="s">
        <v>18</v>
      </c>
      <c r="H996">
        <v>113158</v>
      </c>
      <c r="I996" t="s">
        <v>17</v>
      </c>
      <c r="J996" t="s">
        <v>16</v>
      </c>
      <c r="K996">
        <v>46673.78</v>
      </c>
      <c r="L996">
        <v>113158.8</v>
      </c>
      <c r="M996">
        <v>10</v>
      </c>
      <c r="Y996" s="1">
        <f t="shared" si="75"/>
        <v>1504.086</v>
      </c>
      <c r="Z996" s="2">
        <f t="shared" si="76"/>
        <v>66485.600000000006</v>
      </c>
      <c r="AA996" s="2">
        <f t="shared" si="77"/>
        <v>66485.560001223334</v>
      </c>
      <c r="AB996" s="1">
        <f t="shared" si="78"/>
        <v>7.210164844338135E-2</v>
      </c>
      <c r="AC996" s="1" t="b">
        <f t="shared" si="79"/>
        <v>1</v>
      </c>
    </row>
    <row r="997" spans="1:29" x14ac:dyDescent="0.25">
      <c r="A997" s="1">
        <v>1503.607</v>
      </c>
      <c r="B997">
        <v>20</v>
      </c>
      <c r="D997" s="2">
        <v>66506.7</v>
      </c>
      <c r="E997">
        <v>25934</v>
      </c>
      <c r="F997" t="s">
        <v>15</v>
      </c>
      <c r="G997" t="s">
        <v>28</v>
      </c>
      <c r="H997">
        <v>92441</v>
      </c>
      <c r="I997" t="s">
        <v>17</v>
      </c>
      <c r="J997" t="s">
        <v>18</v>
      </c>
      <c r="K997">
        <v>25934.98</v>
      </c>
      <c r="L997">
        <v>92441.7</v>
      </c>
      <c r="M997">
        <v>10</v>
      </c>
      <c r="Y997" s="1">
        <f t="shared" si="75"/>
        <v>1503.607</v>
      </c>
      <c r="Z997" s="2">
        <f t="shared" si="76"/>
        <v>66506.7</v>
      </c>
      <c r="AA997" s="2">
        <f t="shared" si="77"/>
        <v>66506.740125578028</v>
      </c>
      <c r="AB997" s="1">
        <f t="shared" si="78"/>
        <v>7.2115732410655858E-2</v>
      </c>
      <c r="AC997" s="1" t="b">
        <f t="shared" si="79"/>
        <v>1</v>
      </c>
    </row>
    <row r="998" spans="1:29" x14ac:dyDescent="0.25">
      <c r="A998" s="1">
        <v>1503.422</v>
      </c>
      <c r="B998">
        <v>100</v>
      </c>
      <c r="C998" t="s">
        <v>122</v>
      </c>
      <c r="D998" s="2">
        <v>66514.899999999994</v>
      </c>
      <c r="E998">
        <v>27452</v>
      </c>
      <c r="F998" t="s">
        <v>15</v>
      </c>
      <c r="G998" t="s">
        <v>28</v>
      </c>
      <c r="H998">
        <v>93967</v>
      </c>
      <c r="I998" t="s">
        <v>17</v>
      </c>
      <c r="J998" t="s">
        <v>18</v>
      </c>
      <c r="K998">
        <v>27452.45</v>
      </c>
      <c r="L998">
        <v>93967.4</v>
      </c>
      <c r="M998">
        <v>10</v>
      </c>
      <c r="Y998" s="1">
        <f t="shared" si="75"/>
        <v>1503.422</v>
      </c>
      <c r="Z998" s="2">
        <f t="shared" si="76"/>
        <v>66514.899999999994</v>
      </c>
      <c r="AA998" s="2">
        <f t="shared" si="77"/>
        <v>66514.923953487436</v>
      </c>
      <c r="AB998" s="1">
        <f t="shared" si="78"/>
        <v>7.2121175542691096E-2</v>
      </c>
      <c r="AC998" s="1" t="b">
        <f t="shared" si="79"/>
        <v>1</v>
      </c>
    </row>
    <row r="999" spans="1:29" x14ac:dyDescent="0.25">
      <c r="A999" s="1">
        <v>1502.9670000000001</v>
      </c>
      <c r="B999">
        <v>10</v>
      </c>
      <c r="D999" s="2">
        <v>66535.100000000006</v>
      </c>
      <c r="M999">
        <v>10</v>
      </c>
      <c r="Y999" s="1">
        <f t="shared" si="75"/>
        <v>1502.9670000000001</v>
      </c>
      <c r="Z999" s="2">
        <f t="shared" si="76"/>
        <v>66535.100000000006</v>
      </c>
      <c r="AA999" s="2">
        <f t="shared" si="77"/>
        <v>66535.060317358933</v>
      </c>
      <c r="AB999" s="1">
        <f t="shared" si="78"/>
        <v>7.2134571257172958E-2</v>
      </c>
      <c r="AC999" s="1" t="b">
        <f t="shared" si="79"/>
        <v>1</v>
      </c>
    </row>
    <row r="1000" spans="1:29" x14ac:dyDescent="0.25">
      <c r="A1000" s="1">
        <v>1502.807</v>
      </c>
      <c r="B1000">
        <v>2</v>
      </c>
      <c r="D1000" s="2">
        <v>66542.100000000006</v>
      </c>
      <c r="M1000">
        <v>10</v>
      </c>
      <c r="Y1000" s="1">
        <f t="shared" si="75"/>
        <v>1502.807</v>
      </c>
      <c r="Z1000" s="2">
        <f t="shared" si="76"/>
        <v>66542.100000000006</v>
      </c>
      <c r="AA1000" s="2">
        <f t="shared" si="77"/>
        <v>66542.144134276721</v>
      </c>
      <c r="AB1000" s="1">
        <f t="shared" si="78"/>
        <v>7.2139284729934292E-2</v>
      </c>
      <c r="AC1000" s="1" t="b">
        <f t="shared" si="79"/>
        <v>1</v>
      </c>
    </row>
    <row r="1001" spans="1:29" x14ac:dyDescent="0.25">
      <c r="A1001" s="1" t="s">
        <v>328</v>
      </c>
      <c r="B1001">
        <v>10</v>
      </c>
      <c r="D1001" s="2">
        <v>66547.399999999994</v>
      </c>
      <c r="E1001">
        <v>62558</v>
      </c>
      <c r="F1001" t="s">
        <v>17</v>
      </c>
      <c r="G1001" t="s">
        <v>23</v>
      </c>
      <c r="H1001">
        <v>129106</v>
      </c>
      <c r="I1001" t="s">
        <v>15</v>
      </c>
      <c r="J1001" t="s">
        <v>16</v>
      </c>
      <c r="K1001">
        <v>62558.67</v>
      </c>
      <c r="L1001">
        <v>129106.1</v>
      </c>
      <c r="M1001">
        <v>11</v>
      </c>
      <c r="Y1001" s="1">
        <f t="shared" si="75"/>
        <v>1502.6880000000001</v>
      </c>
      <c r="Z1001" s="2">
        <f t="shared" si="76"/>
        <v>66547.399999999994</v>
      </c>
      <c r="AA1001" s="2">
        <f t="shared" si="77"/>
        <v>66547.413701313912</v>
      </c>
      <c r="AB1001" s="1">
        <f t="shared" si="78"/>
        <v>7.2142791351669122E-2</v>
      </c>
      <c r="AC1001" s="1" t="b">
        <f t="shared" si="79"/>
        <v>1</v>
      </c>
    </row>
    <row r="1002" spans="1:29" x14ac:dyDescent="0.25">
      <c r="A1002" s="1" t="s">
        <v>329</v>
      </c>
      <c r="B1002">
        <v>3</v>
      </c>
      <c r="D1002" s="2">
        <v>66558.600000000006</v>
      </c>
      <c r="M1002">
        <v>11</v>
      </c>
      <c r="Y1002" s="1">
        <f t="shared" si="75"/>
        <v>1502.4349999999999</v>
      </c>
      <c r="Z1002" s="2">
        <f t="shared" si="76"/>
        <v>66558.600000000006</v>
      </c>
      <c r="AA1002" s="2">
        <f t="shared" si="77"/>
        <v>66558.619840458996</v>
      </c>
      <c r="AB1002" s="1">
        <f t="shared" si="78"/>
        <v>7.2150249375333708E-2</v>
      </c>
      <c r="AC1002" s="1" t="b">
        <f t="shared" si="79"/>
        <v>1</v>
      </c>
    </row>
    <row r="1003" spans="1:29" x14ac:dyDescent="0.25">
      <c r="A1003" s="1" t="s">
        <v>330</v>
      </c>
      <c r="B1003">
        <v>10</v>
      </c>
      <c r="D1003" s="2">
        <v>66564.399999999994</v>
      </c>
      <c r="M1003">
        <v>11</v>
      </c>
      <c r="Y1003" s="1">
        <f t="shared" si="75"/>
        <v>1502.3050000000001</v>
      </c>
      <c r="Z1003" s="2">
        <f t="shared" si="76"/>
        <v>66564.399999999994</v>
      </c>
      <c r="AA1003" s="2">
        <f t="shared" si="77"/>
        <v>66564.379403649727</v>
      </c>
      <c r="AB1003" s="1">
        <f t="shared" si="78"/>
        <v>7.2154083026965146E-2</v>
      </c>
      <c r="AC1003" s="1" t="b">
        <f t="shared" si="79"/>
        <v>1</v>
      </c>
    </row>
    <row r="1004" spans="1:29" x14ac:dyDescent="0.25">
      <c r="A1004" s="1" t="s">
        <v>331</v>
      </c>
      <c r="B1004">
        <v>10</v>
      </c>
      <c r="D1004" s="2">
        <v>66592.3</v>
      </c>
      <c r="M1004">
        <v>11</v>
      </c>
      <c r="Y1004" s="1">
        <f t="shared" si="75"/>
        <v>1501.6759999999999</v>
      </c>
      <c r="Z1004" s="2">
        <f t="shared" si="76"/>
        <v>66592.3</v>
      </c>
      <c r="AA1004" s="2">
        <f t="shared" si="77"/>
        <v>66592.260913805643</v>
      </c>
      <c r="AB1004" s="1">
        <f t="shared" si="78"/>
        <v>7.2172646068061841E-2</v>
      </c>
      <c r="AC1004" s="1" t="b">
        <f t="shared" si="79"/>
        <v>1</v>
      </c>
    </row>
    <row r="1005" spans="1:29" x14ac:dyDescent="0.25">
      <c r="A1005" s="1" t="s">
        <v>332</v>
      </c>
      <c r="B1005">
        <v>20</v>
      </c>
      <c r="D1005" s="2">
        <v>66619.8</v>
      </c>
      <c r="E1005">
        <v>25934</v>
      </c>
      <c r="F1005" t="s">
        <v>15</v>
      </c>
      <c r="G1005" t="s">
        <v>28</v>
      </c>
      <c r="H1005">
        <v>92554</v>
      </c>
      <c r="I1005" t="s">
        <v>17</v>
      </c>
      <c r="J1005" t="s">
        <v>28</v>
      </c>
      <c r="K1005">
        <v>25934.98</v>
      </c>
      <c r="L1005">
        <v>92554.8</v>
      </c>
      <c r="M1005">
        <v>11</v>
      </c>
      <c r="Y1005" s="1">
        <f t="shared" si="75"/>
        <v>1501.0540000000001</v>
      </c>
      <c r="Z1005" s="2">
        <f t="shared" si="76"/>
        <v>66619.8</v>
      </c>
      <c r="AA1005" s="2">
        <f t="shared" si="77"/>
        <v>66619.855115139086</v>
      </c>
      <c r="AB1005" s="1">
        <f t="shared" si="78"/>
        <v>7.2191025477810616E-2</v>
      </c>
      <c r="AC1005" s="1" t="b">
        <f t="shared" si="79"/>
        <v>1</v>
      </c>
    </row>
    <row r="1006" spans="1:29" x14ac:dyDescent="0.25">
      <c r="A1006" s="1" t="s">
        <v>333</v>
      </c>
      <c r="B1006">
        <v>3</v>
      </c>
      <c r="C1006" t="s">
        <v>125</v>
      </c>
      <c r="D1006" s="2">
        <v>66626.600000000006</v>
      </c>
      <c r="M1006">
        <v>11</v>
      </c>
      <c r="Y1006" s="1">
        <f t="shared" si="75"/>
        <v>1500.9010000000001</v>
      </c>
      <c r="Z1006" s="2">
        <f t="shared" si="76"/>
        <v>66626.600000000006</v>
      </c>
      <c r="AA1006" s="2">
        <f t="shared" si="77"/>
        <v>66626.646261145797</v>
      </c>
      <c r="AB1006" s="1">
        <f t="shared" si="78"/>
        <v>7.2195549960039268E-2</v>
      </c>
      <c r="AC1006" s="1" t="b">
        <f t="shared" si="79"/>
        <v>1</v>
      </c>
    </row>
    <row r="1007" spans="1:29" x14ac:dyDescent="0.25">
      <c r="A1007" s="1" t="s">
        <v>334</v>
      </c>
      <c r="B1007">
        <v>10</v>
      </c>
      <c r="D1007" s="2">
        <v>66636.7</v>
      </c>
      <c r="M1007">
        <v>11</v>
      </c>
      <c r="Y1007" s="1">
        <f t="shared" si="75"/>
        <v>1500.675</v>
      </c>
      <c r="Z1007" s="2">
        <f t="shared" si="76"/>
        <v>66636.7</v>
      </c>
      <c r="AA1007" s="2">
        <f t="shared" si="77"/>
        <v>66636.680160594406</v>
      </c>
      <c r="AB1007" s="1">
        <f t="shared" si="78"/>
        <v>7.2202235714126789E-2</v>
      </c>
      <c r="AC1007" s="1" t="b">
        <f t="shared" si="79"/>
        <v>1</v>
      </c>
    </row>
    <row r="1008" spans="1:29" x14ac:dyDescent="0.25">
      <c r="A1008" s="1" t="s">
        <v>335</v>
      </c>
      <c r="B1008">
        <v>20</v>
      </c>
      <c r="C1008" t="s">
        <v>123</v>
      </c>
      <c r="D1008" s="2">
        <v>66646.899999999994</v>
      </c>
      <c r="M1008">
        <v>11</v>
      </c>
      <c r="Y1008" s="1">
        <f t="shared" si="75"/>
        <v>1500.4449999999999</v>
      </c>
      <c r="Z1008" s="2">
        <f t="shared" si="76"/>
        <v>66646.899999999994</v>
      </c>
      <c r="AA1008" s="2">
        <f t="shared" si="77"/>
        <v>66646.894754556153</v>
      </c>
      <c r="AB1008" s="1">
        <f t="shared" si="78"/>
        <v>7.2209042902124432E-2</v>
      </c>
      <c r="AC1008" s="1" t="b">
        <f t="shared" si="79"/>
        <v>1</v>
      </c>
    </row>
    <row r="1009" spans="1:29" x14ac:dyDescent="0.25">
      <c r="A1009" s="1" t="s">
        <v>336</v>
      </c>
      <c r="B1009">
        <v>50</v>
      </c>
      <c r="D1009" s="2">
        <v>66663.100000000006</v>
      </c>
      <c r="E1009">
        <v>44679</v>
      </c>
      <c r="F1009" t="s">
        <v>15</v>
      </c>
      <c r="G1009" t="s">
        <v>18</v>
      </c>
      <c r="H1009">
        <v>111342</v>
      </c>
      <c r="I1009" t="s">
        <v>17</v>
      </c>
      <c r="J1009" t="s">
        <v>18</v>
      </c>
      <c r="K1009">
        <v>44679.98</v>
      </c>
      <c r="L1009">
        <v>111342.8</v>
      </c>
      <c r="M1009">
        <v>11</v>
      </c>
      <c r="Y1009" s="1">
        <f t="shared" si="75"/>
        <v>1500.08</v>
      </c>
      <c r="Z1009" s="2">
        <f t="shared" si="76"/>
        <v>66663.100000000006</v>
      </c>
      <c r="AA1009" s="2">
        <f t="shared" si="77"/>
        <v>66663.111300730627</v>
      </c>
      <c r="AB1009" s="1">
        <f t="shared" si="78"/>
        <v>7.2219852041467997E-2</v>
      </c>
      <c r="AC1009" s="1" t="b">
        <f t="shared" si="79"/>
        <v>1</v>
      </c>
    </row>
    <row r="1010" spans="1:29" x14ac:dyDescent="0.25">
      <c r="A1010" s="1" t="s">
        <v>337</v>
      </c>
      <c r="B1010">
        <v>50</v>
      </c>
      <c r="C1010" t="s">
        <v>125</v>
      </c>
      <c r="D1010" s="2">
        <v>66677.5</v>
      </c>
      <c r="E1010">
        <v>23442</v>
      </c>
      <c r="F1010" t="s">
        <v>15</v>
      </c>
      <c r="G1010" t="s">
        <v>23</v>
      </c>
      <c r="H1010">
        <v>90119</v>
      </c>
      <c r="I1010" t="s">
        <v>17</v>
      </c>
      <c r="J1010" t="s">
        <v>23</v>
      </c>
      <c r="K1010">
        <v>23442.25</v>
      </c>
      <c r="L1010">
        <v>90119.8</v>
      </c>
      <c r="M1010">
        <v>11</v>
      </c>
      <c r="Y1010" s="1">
        <f t="shared" si="75"/>
        <v>1499.7560000000001</v>
      </c>
      <c r="Z1010" s="2">
        <f t="shared" si="76"/>
        <v>66677.5</v>
      </c>
      <c r="AA1010" s="2">
        <f t="shared" si="77"/>
        <v>66677.512875427739</v>
      </c>
      <c r="AB1010" s="1">
        <f t="shared" si="78"/>
        <v>7.2229453616264164E-2</v>
      </c>
      <c r="AC1010" s="1" t="b">
        <f t="shared" si="79"/>
        <v>1</v>
      </c>
    </row>
    <row r="1011" spans="1:29" x14ac:dyDescent="0.25">
      <c r="A1011" s="1" t="s">
        <v>338</v>
      </c>
      <c r="B1011">
        <v>3</v>
      </c>
      <c r="C1011" t="s">
        <v>123</v>
      </c>
      <c r="D1011" s="2">
        <v>66685.100000000006</v>
      </c>
      <c r="E1011">
        <v>21535</v>
      </c>
      <c r="F1011" t="s">
        <v>15</v>
      </c>
      <c r="G1011" t="s">
        <v>16</v>
      </c>
      <c r="H1011">
        <v>88220</v>
      </c>
      <c r="I1011" t="s">
        <v>17</v>
      </c>
      <c r="J1011" t="s">
        <v>16</v>
      </c>
      <c r="K1011">
        <v>21535.17</v>
      </c>
      <c r="L1011">
        <v>88220.2</v>
      </c>
      <c r="M1011">
        <v>11</v>
      </c>
      <c r="Y1011" s="1">
        <f t="shared" si="75"/>
        <v>1499.586</v>
      </c>
      <c r="Z1011" s="2">
        <f t="shared" si="76"/>
        <v>66685.100000000006</v>
      </c>
      <c r="AA1011" s="2">
        <f t="shared" si="77"/>
        <v>66685.07174646869</v>
      </c>
      <c r="AB1011" s="1">
        <f t="shared" si="78"/>
        <v>7.2234493969158389E-2</v>
      </c>
      <c r="AC1011" s="1" t="b">
        <f t="shared" si="79"/>
        <v>1</v>
      </c>
    </row>
    <row r="1012" spans="1:29" x14ac:dyDescent="0.25">
      <c r="A1012" s="1" t="s">
        <v>339</v>
      </c>
      <c r="B1012">
        <v>2</v>
      </c>
      <c r="D1012" s="2">
        <v>66706.2</v>
      </c>
      <c r="M1012">
        <v>11</v>
      </c>
      <c r="Y1012" s="1">
        <f t="shared" si="75"/>
        <v>1499.1120000000001</v>
      </c>
      <c r="Z1012" s="2">
        <f t="shared" si="76"/>
        <v>66706.2</v>
      </c>
      <c r="AA1012" s="2">
        <f t="shared" si="77"/>
        <v>66706.156711439835</v>
      </c>
      <c r="AB1012" s="1">
        <f t="shared" si="78"/>
        <v>7.2248556716055845E-2</v>
      </c>
      <c r="AC1012" s="1" t="b">
        <f t="shared" si="79"/>
        <v>1</v>
      </c>
    </row>
    <row r="1013" spans="1:29" x14ac:dyDescent="0.25">
      <c r="A1013" s="1" t="s">
        <v>340</v>
      </c>
      <c r="B1013">
        <v>4</v>
      </c>
      <c r="D1013" s="2">
        <v>66730.5</v>
      </c>
      <c r="E1013">
        <v>69138</v>
      </c>
      <c r="F1013" t="s">
        <v>17</v>
      </c>
      <c r="G1013" t="s">
        <v>16</v>
      </c>
      <c r="H1013">
        <v>135868</v>
      </c>
      <c r="I1013" t="s">
        <v>15</v>
      </c>
      <c r="J1013" t="s">
        <v>16</v>
      </c>
      <c r="K1013">
        <v>69138.28</v>
      </c>
      <c r="L1013">
        <v>135868.79999999999</v>
      </c>
      <c r="M1013">
        <v>11</v>
      </c>
      <c r="Y1013" s="1">
        <f t="shared" si="75"/>
        <v>1498.566</v>
      </c>
      <c r="Z1013" s="2">
        <f t="shared" si="76"/>
        <v>66730.5</v>
      </c>
      <c r="AA1013" s="2">
        <f t="shared" si="77"/>
        <v>66730.460987370592</v>
      </c>
      <c r="AB1013" s="1">
        <f t="shared" si="78"/>
        <v>7.2264772117934944E-2</v>
      </c>
      <c r="AC1013" s="1" t="b">
        <f t="shared" si="79"/>
        <v>1</v>
      </c>
    </row>
    <row r="1014" spans="1:29" x14ac:dyDescent="0.25">
      <c r="A1014" s="1" t="s">
        <v>341</v>
      </c>
      <c r="B1014">
        <v>1</v>
      </c>
      <c r="D1014" s="2">
        <v>66736.7</v>
      </c>
      <c r="M1014">
        <v>11</v>
      </c>
      <c r="Y1014" s="1">
        <f t="shared" si="75"/>
        <v>1498.4259999999999</v>
      </c>
      <c r="Z1014" s="2">
        <f t="shared" si="76"/>
        <v>66736.7</v>
      </c>
      <c r="AA1014" s="2">
        <f t="shared" si="77"/>
        <v>66736.695706027531</v>
      </c>
      <c r="AB1014" s="1">
        <f t="shared" si="78"/>
        <v>7.2268932768794564E-2</v>
      </c>
      <c r="AC1014" s="1" t="b">
        <f t="shared" si="79"/>
        <v>1</v>
      </c>
    </row>
    <row r="1015" spans="1:29" x14ac:dyDescent="0.25">
      <c r="A1015" s="1" t="s">
        <v>342</v>
      </c>
      <c r="B1015">
        <v>1</v>
      </c>
      <c r="D1015" s="2">
        <v>66768</v>
      </c>
      <c r="E1015">
        <v>66735</v>
      </c>
      <c r="F1015" t="s">
        <v>17</v>
      </c>
      <c r="G1015" t="s">
        <v>50</v>
      </c>
      <c r="H1015">
        <v>133503</v>
      </c>
      <c r="I1015" t="s">
        <v>15</v>
      </c>
      <c r="J1015" t="s">
        <v>23</v>
      </c>
      <c r="K1015">
        <v>66735.88</v>
      </c>
      <c r="L1015">
        <v>133503.9</v>
      </c>
      <c r="M1015">
        <v>11</v>
      </c>
      <c r="Y1015" s="1">
        <f t="shared" si="75"/>
        <v>1497.7239999999999</v>
      </c>
      <c r="Z1015" s="2">
        <f t="shared" si="76"/>
        <v>66768</v>
      </c>
      <c r="AA1015" s="2">
        <f t="shared" si="77"/>
        <v>66767.975942162913</v>
      </c>
      <c r="AB1015" s="1">
        <f t="shared" si="78"/>
        <v>7.2289813057066221E-2</v>
      </c>
      <c r="AC1015" s="1" t="b">
        <f t="shared" si="79"/>
        <v>1</v>
      </c>
    </row>
    <row r="1016" spans="1:29" x14ac:dyDescent="0.25">
      <c r="A1016" s="1" t="s">
        <v>343</v>
      </c>
      <c r="B1016">
        <v>3</v>
      </c>
      <c r="D1016" s="2">
        <v>66784.600000000006</v>
      </c>
      <c r="E1016">
        <v>23844</v>
      </c>
      <c r="F1016" t="s">
        <v>15</v>
      </c>
      <c r="G1016" t="s">
        <v>16</v>
      </c>
      <c r="H1016">
        <v>90629</v>
      </c>
      <c r="I1016" t="s">
        <v>17</v>
      </c>
      <c r="J1016" t="s">
        <v>16</v>
      </c>
      <c r="K1016">
        <v>23844.58</v>
      </c>
      <c r="L1016">
        <v>90629.2</v>
      </c>
      <c r="M1016">
        <v>11</v>
      </c>
      <c r="Y1016" s="1">
        <f t="shared" si="75"/>
        <v>1497.3520000000001</v>
      </c>
      <c r="Z1016" s="2">
        <f t="shared" si="76"/>
        <v>66784.600000000006</v>
      </c>
      <c r="AA1016" s="2">
        <f t="shared" si="77"/>
        <v>66784.563683088549</v>
      </c>
      <c r="AB1016" s="1">
        <f t="shared" si="78"/>
        <v>7.2300889731702553E-2</v>
      </c>
      <c r="AC1016" s="1" t="b">
        <f t="shared" si="79"/>
        <v>1</v>
      </c>
    </row>
    <row r="1017" spans="1:29" x14ac:dyDescent="0.25">
      <c r="A1017" s="1" t="s">
        <v>344</v>
      </c>
      <c r="B1017">
        <v>7</v>
      </c>
      <c r="D1017" s="2">
        <v>66805.600000000006</v>
      </c>
      <c r="M1017">
        <v>11</v>
      </c>
      <c r="Y1017" s="1">
        <f t="shared" si="75"/>
        <v>1496.88</v>
      </c>
      <c r="Z1017" s="2">
        <f t="shared" si="76"/>
        <v>66805.600000000006</v>
      </c>
      <c r="AA1017" s="2">
        <f t="shared" si="77"/>
        <v>66805.622361177913</v>
      </c>
      <c r="AB1017" s="1">
        <f t="shared" si="78"/>
        <v>7.2314955895321581E-2</v>
      </c>
      <c r="AC1017" s="1" t="b">
        <f t="shared" si="79"/>
        <v>1</v>
      </c>
    </row>
    <row r="1018" spans="1:29" x14ac:dyDescent="0.25">
      <c r="A1018" s="1" t="s">
        <v>345</v>
      </c>
      <c r="B1018">
        <v>8</v>
      </c>
      <c r="D1018" s="2">
        <v>66807.8</v>
      </c>
      <c r="M1018">
        <v>11</v>
      </c>
      <c r="Y1018" s="1">
        <f t="shared" si="75"/>
        <v>1496.8309999999999</v>
      </c>
      <c r="Z1018" s="2">
        <f t="shared" si="76"/>
        <v>66807.8</v>
      </c>
      <c r="AA1018" s="2">
        <f t="shared" si="77"/>
        <v>66807.809298444525</v>
      </c>
      <c r="AB1018" s="1">
        <f t="shared" si="78"/>
        <v>7.2316416916286652E-2</v>
      </c>
      <c r="AC1018" s="1" t="b">
        <f t="shared" si="79"/>
        <v>1</v>
      </c>
    </row>
    <row r="1019" spans="1:29" x14ac:dyDescent="0.25">
      <c r="A1019" s="1" t="s">
        <v>346</v>
      </c>
      <c r="B1019">
        <v>20</v>
      </c>
      <c r="D1019" s="2">
        <v>66833.899999999994</v>
      </c>
      <c r="M1019">
        <v>11</v>
      </c>
      <c r="Y1019" s="1">
        <f t="shared" si="75"/>
        <v>1496.2470000000001</v>
      </c>
      <c r="Z1019" s="2">
        <f t="shared" si="76"/>
        <v>66833.899999999994</v>
      </c>
      <c r="AA1019" s="2">
        <f t="shared" si="77"/>
        <v>66833.885047054398</v>
      </c>
      <c r="AB1019" s="1">
        <f t="shared" si="78"/>
        <v>7.2333840952414408E-2</v>
      </c>
      <c r="AC1019" s="1" t="b">
        <f t="shared" si="79"/>
        <v>1</v>
      </c>
    </row>
    <row r="1020" spans="1:29" x14ac:dyDescent="0.25">
      <c r="A1020" s="1" t="s">
        <v>347</v>
      </c>
      <c r="B1020">
        <v>200</v>
      </c>
      <c r="D1020" s="2">
        <v>66845</v>
      </c>
      <c r="M1020">
        <v>11</v>
      </c>
      <c r="Y1020" s="1">
        <f t="shared" si="75"/>
        <v>1495.999</v>
      </c>
      <c r="Z1020" s="2">
        <f t="shared" si="76"/>
        <v>66845</v>
      </c>
      <c r="AA1020" s="2">
        <f t="shared" si="77"/>
        <v>66844.964468559134</v>
      </c>
      <c r="AB1020" s="1">
        <f t="shared" si="78"/>
        <v>7.2341246374014664E-2</v>
      </c>
      <c r="AC1020" s="1" t="b">
        <f t="shared" si="79"/>
        <v>1</v>
      </c>
    </row>
    <row r="1021" spans="1:29" x14ac:dyDescent="0.25">
      <c r="A1021" s="1" t="s">
        <v>348</v>
      </c>
      <c r="B1021">
        <v>30</v>
      </c>
      <c r="D1021" s="2">
        <v>66865.2</v>
      </c>
      <c r="E1021">
        <v>62240</v>
      </c>
      <c r="F1021" t="s">
        <v>17</v>
      </c>
      <c r="G1021" t="s">
        <v>23</v>
      </c>
      <c r="H1021">
        <v>129106</v>
      </c>
      <c r="I1021" t="s">
        <v>15</v>
      </c>
      <c r="J1021" t="s">
        <v>16</v>
      </c>
      <c r="K1021">
        <v>62240.83</v>
      </c>
      <c r="L1021">
        <v>129106.1</v>
      </c>
      <c r="M1021">
        <v>11</v>
      </c>
      <c r="Y1021" s="1">
        <f t="shared" si="75"/>
        <v>1495.547</v>
      </c>
      <c r="Z1021" s="2">
        <f t="shared" si="76"/>
        <v>66865.2</v>
      </c>
      <c r="AA1021" s="2">
        <f t="shared" si="77"/>
        <v>66865.167059276631</v>
      </c>
      <c r="AB1021" s="1">
        <f t="shared" si="78"/>
        <v>7.2354752829324867E-2</v>
      </c>
      <c r="AC1021" s="1" t="b">
        <f t="shared" si="79"/>
        <v>1</v>
      </c>
    </row>
    <row r="1022" spans="1:29" x14ac:dyDescent="0.25">
      <c r="A1022" s="1" t="s">
        <v>349</v>
      </c>
      <c r="B1022">
        <v>7</v>
      </c>
      <c r="D1022" s="2">
        <v>66867</v>
      </c>
      <c r="M1022">
        <v>11</v>
      </c>
      <c r="Y1022" s="1">
        <f t="shared" si="75"/>
        <v>1495.5060000000001</v>
      </c>
      <c r="Z1022" s="2">
        <f t="shared" si="76"/>
        <v>66867</v>
      </c>
      <c r="AA1022" s="2">
        <f t="shared" si="77"/>
        <v>66867.000199263653</v>
      </c>
      <c r="AB1022" s="1">
        <f t="shared" si="78"/>
        <v>7.2355978578241636E-2</v>
      </c>
      <c r="AC1022" s="1" t="b">
        <f t="shared" si="79"/>
        <v>1</v>
      </c>
    </row>
    <row r="1023" spans="1:29" x14ac:dyDescent="0.25">
      <c r="A1023" s="1" t="s">
        <v>350</v>
      </c>
      <c r="B1023">
        <v>200</v>
      </c>
      <c r="D1023" s="2">
        <v>66879.8</v>
      </c>
      <c r="M1023">
        <v>11</v>
      </c>
      <c r="Y1023" s="1">
        <f t="shared" si="75"/>
        <v>1495.22</v>
      </c>
      <c r="Z1023" s="2">
        <f t="shared" si="76"/>
        <v>66879.8</v>
      </c>
      <c r="AA1023" s="2">
        <f t="shared" si="77"/>
        <v>66879.790264977724</v>
      </c>
      <c r="AB1023" s="1">
        <f t="shared" si="78"/>
        <v>7.2364531729437048E-2</v>
      </c>
      <c r="AC1023" s="1" t="b">
        <f t="shared" si="79"/>
        <v>1</v>
      </c>
    </row>
    <row r="1024" spans="1:29" x14ac:dyDescent="0.25">
      <c r="A1024" s="1" t="s">
        <v>351</v>
      </c>
      <c r="B1024">
        <v>2</v>
      </c>
      <c r="C1024" t="s">
        <v>123</v>
      </c>
      <c r="D1024" s="2">
        <v>66887.5</v>
      </c>
      <c r="M1024">
        <v>11</v>
      </c>
      <c r="Y1024" s="1">
        <f t="shared" si="75"/>
        <v>1495.047</v>
      </c>
      <c r="Z1024" s="2">
        <f t="shared" si="76"/>
        <v>66887.5</v>
      </c>
      <c r="AA1024" s="2">
        <f t="shared" si="77"/>
        <v>66887.529288376885</v>
      </c>
      <c r="AB1024" s="1">
        <f t="shared" si="78"/>
        <v>7.2369707871517377E-2</v>
      </c>
      <c r="AC1024" s="1" t="b">
        <f t="shared" si="79"/>
        <v>1</v>
      </c>
    </row>
    <row r="1025" spans="1:29" x14ac:dyDescent="0.25">
      <c r="A1025" s="1" t="s">
        <v>352</v>
      </c>
      <c r="B1025">
        <v>20</v>
      </c>
      <c r="C1025" t="s">
        <v>123</v>
      </c>
      <c r="D1025" s="2">
        <v>66892.100000000006</v>
      </c>
      <c r="M1025">
        <v>11</v>
      </c>
      <c r="Y1025" s="1">
        <f t="shared" si="75"/>
        <v>1494.944</v>
      </c>
      <c r="Z1025" s="2">
        <f t="shared" si="76"/>
        <v>66892.100000000006</v>
      </c>
      <c r="AA1025" s="2">
        <f t="shared" si="77"/>
        <v>66892.137765695574</v>
      </c>
      <c r="AB1025" s="1">
        <f t="shared" si="78"/>
        <v>7.2372790474323989E-2</v>
      </c>
      <c r="AC1025" s="1" t="b">
        <f t="shared" si="79"/>
        <v>1</v>
      </c>
    </row>
    <row r="1026" spans="1:29" x14ac:dyDescent="0.25">
      <c r="A1026" s="1" t="s">
        <v>353</v>
      </c>
      <c r="B1026">
        <v>10</v>
      </c>
      <c r="D1026" s="2">
        <v>66901</v>
      </c>
      <c r="E1026">
        <v>68544</v>
      </c>
      <c r="F1026" t="s">
        <v>17</v>
      </c>
      <c r="G1026" t="s">
        <v>16</v>
      </c>
      <c r="H1026">
        <v>135445</v>
      </c>
      <c r="I1026" t="s">
        <v>15</v>
      </c>
      <c r="J1026" t="s">
        <v>18</v>
      </c>
      <c r="K1026">
        <v>68544.19</v>
      </c>
      <c r="L1026">
        <v>135445.20000000001</v>
      </c>
      <c r="M1026">
        <v>11</v>
      </c>
      <c r="Y1026" s="1">
        <f t="shared" si="75"/>
        <v>1494.7470000000001</v>
      </c>
      <c r="Z1026" s="2">
        <f t="shared" si="76"/>
        <v>66901</v>
      </c>
      <c r="AA1026" s="2">
        <f t="shared" si="77"/>
        <v>66900.953806898426</v>
      </c>
      <c r="AB1026" s="1">
        <f t="shared" si="78"/>
        <v>7.2378688101363789E-2</v>
      </c>
      <c r="AC1026" s="1" t="b">
        <f t="shared" si="79"/>
        <v>1</v>
      </c>
    </row>
    <row r="1027" spans="1:29" x14ac:dyDescent="0.25">
      <c r="A1027" s="1" t="s">
        <v>354</v>
      </c>
      <c r="B1027">
        <v>40</v>
      </c>
      <c r="C1027" t="s">
        <v>125</v>
      </c>
      <c r="D1027" s="2">
        <v>66925.399999999994</v>
      </c>
      <c r="E1027">
        <v>21294</v>
      </c>
      <c r="F1027" t="s">
        <v>15</v>
      </c>
      <c r="G1027" t="s">
        <v>18</v>
      </c>
      <c r="H1027">
        <v>88220</v>
      </c>
      <c r="I1027" t="s">
        <v>17</v>
      </c>
      <c r="J1027" t="s">
        <v>16</v>
      </c>
      <c r="K1027">
        <v>21294.89</v>
      </c>
      <c r="L1027">
        <v>88220.2</v>
      </c>
      <c r="M1027">
        <v>11</v>
      </c>
      <c r="Y1027" s="1">
        <f t="shared" ref="Y1027:Y1090" si="80">ROUND($A1027,3)+0</f>
        <v>1494.2</v>
      </c>
      <c r="Z1027" s="2">
        <f t="shared" ref="Z1027:Z1090" si="81">ROUND($D1027,1)+0</f>
        <v>66925.399999999994</v>
      </c>
      <c r="AA1027" s="2">
        <f t="shared" ref="AA1027:AA1090" si="82">100000000/Y1027</f>
        <v>66925.445054209602</v>
      </c>
      <c r="AB1027" s="1">
        <f t="shared" ref="AB1027:AB1090" si="83">0.0005/$Y1027*AA1027+0.05</f>
        <v>7.2395075978520157E-2</v>
      </c>
      <c r="AC1027" s="1" t="b">
        <f t="shared" ref="AC1027:AC1090" si="84">ABS(Z1027-AA1027)&lt;AB1027</f>
        <v>1</v>
      </c>
    </row>
    <row r="1028" spans="1:29" x14ac:dyDescent="0.25">
      <c r="A1028" s="1" t="s">
        <v>355</v>
      </c>
      <c r="B1028">
        <v>4</v>
      </c>
      <c r="C1028" t="s">
        <v>122</v>
      </c>
      <c r="D1028" s="2">
        <v>66946.8</v>
      </c>
      <c r="M1028">
        <v>11</v>
      </c>
      <c r="Y1028" s="1">
        <f t="shared" si="80"/>
        <v>1493.7239999999999</v>
      </c>
      <c r="Z1028" s="2">
        <f t="shared" si="81"/>
        <v>66946.8</v>
      </c>
      <c r="AA1028" s="2">
        <f t="shared" si="82"/>
        <v>66946.77196054961</v>
      </c>
      <c r="AB1028" s="1">
        <f t="shared" si="83"/>
        <v>7.2409351379689152E-2</v>
      </c>
      <c r="AC1028" s="1" t="b">
        <f t="shared" si="84"/>
        <v>1</v>
      </c>
    </row>
    <row r="1029" spans="1:29" x14ac:dyDescent="0.25">
      <c r="A1029" s="1" t="s">
        <v>356</v>
      </c>
      <c r="B1029">
        <v>10</v>
      </c>
      <c r="C1029" t="s">
        <v>122</v>
      </c>
      <c r="D1029" s="2">
        <v>66948.100000000006</v>
      </c>
      <c r="M1029">
        <v>11</v>
      </c>
      <c r="Y1029" s="1">
        <f t="shared" si="80"/>
        <v>1493.694</v>
      </c>
      <c r="Z1029" s="2">
        <f t="shared" si="81"/>
        <v>66948.100000000006</v>
      </c>
      <c r="AA1029" s="2">
        <f t="shared" si="82"/>
        <v>66948.116548637132</v>
      </c>
      <c r="AB1029" s="1">
        <f t="shared" si="83"/>
        <v>7.2410251547049512E-2</v>
      </c>
      <c r="AC1029" s="1" t="b">
        <f t="shared" si="84"/>
        <v>1</v>
      </c>
    </row>
    <row r="1030" spans="1:29" x14ac:dyDescent="0.25">
      <c r="A1030" s="1" t="s">
        <v>357</v>
      </c>
      <c r="B1030">
        <v>5</v>
      </c>
      <c r="D1030" s="2">
        <v>66952.800000000003</v>
      </c>
      <c r="E1030">
        <v>68492</v>
      </c>
      <c r="F1030" t="s">
        <v>17</v>
      </c>
      <c r="G1030" t="s">
        <v>18</v>
      </c>
      <c r="H1030">
        <v>135445</v>
      </c>
      <c r="I1030" t="s">
        <v>15</v>
      </c>
      <c r="J1030" t="s">
        <v>18</v>
      </c>
      <c r="K1030">
        <v>68492.429999999993</v>
      </c>
      <c r="L1030">
        <v>135445.20000000001</v>
      </c>
      <c r="M1030">
        <v>11</v>
      </c>
      <c r="Y1030" s="1">
        <f t="shared" si="80"/>
        <v>1493.59</v>
      </c>
      <c r="Z1030" s="2">
        <f t="shared" si="81"/>
        <v>66952.800000000003</v>
      </c>
      <c r="AA1030" s="2">
        <f t="shared" si="82"/>
        <v>66952.778205531649</v>
      </c>
      <c r="AB1030" s="1">
        <f t="shared" si="83"/>
        <v>7.241337254719557E-2</v>
      </c>
      <c r="AC1030" s="1" t="b">
        <f t="shared" si="84"/>
        <v>1</v>
      </c>
    </row>
    <row r="1031" spans="1:29" x14ac:dyDescent="0.25">
      <c r="A1031" s="1" t="s">
        <v>358</v>
      </c>
      <c r="B1031">
        <v>4</v>
      </c>
      <c r="D1031" s="2">
        <v>66981.399999999994</v>
      </c>
      <c r="M1031">
        <v>11</v>
      </c>
      <c r="Y1031" s="1">
        <f t="shared" si="80"/>
        <v>1492.951</v>
      </c>
      <c r="Z1031" s="2">
        <f t="shared" si="81"/>
        <v>66981.399999999994</v>
      </c>
      <c r="AA1031" s="2">
        <f t="shared" si="82"/>
        <v>66981.434755728755</v>
      </c>
      <c r="AB1031" s="1">
        <f t="shared" si="83"/>
        <v>7.2432563009679735E-2</v>
      </c>
      <c r="AC1031" s="1" t="b">
        <f t="shared" si="84"/>
        <v>1</v>
      </c>
    </row>
    <row r="1032" spans="1:29" x14ac:dyDescent="0.25">
      <c r="A1032" s="1" t="s">
        <v>359</v>
      </c>
      <c r="B1032">
        <v>60</v>
      </c>
      <c r="D1032" s="2">
        <v>66984.899999999994</v>
      </c>
      <c r="E1032">
        <v>64215</v>
      </c>
      <c r="F1032" t="s">
        <v>17</v>
      </c>
      <c r="G1032" t="s">
        <v>50</v>
      </c>
      <c r="H1032">
        <v>131200</v>
      </c>
      <c r="I1032" t="s">
        <v>15</v>
      </c>
      <c r="J1032" t="s">
        <v>23</v>
      </c>
      <c r="K1032">
        <v>64215.45</v>
      </c>
      <c r="L1032">
        <v>131200.29999999999</v>
      </c>
      <c r="M1032">
        <v>11</v>
      </c>
      <c r="Y1032" s="1">
        <f t="shared" si="80"/>
        <v>1492.874</v>
      </c>
      <c r="Z1032" s="2">
        <f t="shared" si="81"/>
        <v>66984.899999999994</v>
      </c>
      <c r="AA1032" s="2">
        <f t="shared" si="82"/>
        <v>66984.889548615625</v>
      </c>
      <c r="AB1032" s="1">
        <f t="shared" si="83"/>
        <v>7.2434877139201173E-2</v>
      </c>
      <c r="AC1032" s="1" t="b">
        <f t="shared" si="84"/>
        <v>1</v>
      </c>
    </row>
    <row r="1033" spans="1:29" x14ac:dyDescent="0.25">
      <c r="A1033" s="1" t="s">
        <v>360</v>
      </c>
      <c r="B1033">
        <v>100</v>
      </c>
      <c r="C1033" t="s">
        <v>125</v>
      </c>
      <c r="D1033" s="2">
        <v>67008.3</v>
      </c>
      <c r="E1033">
        <v>13352</v>
      </c>
      <c r="F1033" t="s">
        <v>15</v>
      </c>
      <c r="G1033" t="s">
        <v>23</v>
      </c>
      <c r="H1033">
        <v>80360</v>
      </c>
      <c r="I1033" t="s">
        <v>17</v>
      </c>
      <c r="J1033" t="s">
        <v>23</v>
      </c>
      <c r="K1033">
        <v>13352.1</v>
      </c>
      <c r="L1033">
        <v>80360.820000000007</v>
      </c>
      <c r="M1033">
        <v>11</v>
      </c>
      <c r="Y1033" s="1">
        <f t="shared" si="80"/>
        <v>1492.3520000000001</v>
      </c>
      <c r="Z1033" s="2">
        <f t="shared" si="81"/>
        <v>67008.3</v>
      </c>
      <c r="AA1033" s="2">
        <f t="shared" si="82"/>
        <v>67008.319752980533</v>
      </c>
      <c r="AB1033" s="1">
        <f t="shared" si="83"/>
        <v>7.24505745805884E-2</v>
      </c>
      <c r="AC1033" s="1" t="b">
        <f t="shared" si="84"/>
        <v>1</v>
      </c>
    </row>
    <row r="1034" spans="1:29" x14ac:dyDescent="0.25">
      <c r="A1034" s="1" t="s">
        <v>361</v>
      </c>
      <c r="B1034">
        <v>3</v>
      </c>
      <c r="D1034" s="2">
        <v>67031.8</v>
      </c>
      <c r="E1034">
        <v>25409</v>
      </c>
      <c r="F1034" t="s">
        <v>15</v>
      </c>
      <c r="G1034" t="s">
        <v>18</v>
      </c>
      <c r="H1034">
        <v>92441</v>
      </c>
      <c r="I1034" t="s">
        <v>17</v>
      </c>
      <c r="J1034" t="s">
        <v>18</v>
      </c>
      <c r="K1034">
        <v>25409.74</v>
      </c>
      <c r="L1034">
        <v>92441.7</v>
      </c>
      <c r="M1034">
        <v>11</v>
      </c>
      <c r="Y1034" s="1">
        <f t="shared" si="80"/>
        <v>1491.83</v>
      </c>
      <c r="Z1034" s="2">
        <f t="shared" si="81"/>
        <v>67031.8</v>
      </c>
      <c r="AA1034" s="2">
        <f t="shared" si="82"/>
        <v>67031.766354075196</v>
      </c>
      <c r="AB1034" s="1">
        <f t="shared" si="83"/>
        <v>7.2466288502736648E-2</v>
      </c>
      <c r="AC1034" s="1" t="b">
        <f t="shared" si="84"/>
        <v>1</v>
      </c>
    </row>
    <row r="1035" spans="1:29" x14ac:dyDescent="0.25">
      <c r="A1035" s="1" t="s">
        <v>362</v>
      </c>
      <c r="B1035">
        <v>10</v>
      </c>
      <c r="C1035" t="s">
        <v>123</v>
      </c>
      <c r="D1035" s="2">
        <v>67037</v>
      </c>
      <c r="M1035">
        <v>11</v>
      </c>
      <c r="Y1035" s="1">
        <f t="shared" si="80"/>
        <v>1491.713</v>
      </c>
      <c r="Z1035" s="2">
        <f t="shared" si="81"/>
        <v>67037</v>
      </c>
      <c r="AA1035" s="2">
        <f t="shared" si="82"/>
        <v>67037.023877917542</v>
      </c>
      <c r="AB1035" s="1">
        <f t="shared" si="83"/>
        <v>7.2469812852042431E-2</v>
      </c>
      <c r="AC1035" s="1" t="b">
        <f t="shared" si="84"/>
        <v>1</v>
      </c>
    </row>
    <row r="1036" spans="1:29" x14ac:dyDescent="0.25">
      <c r="A1036" s="1" t="s">
        <v>363</v>
      </c>
      <c r="B1036">
        <v>7</v>
      </c>
      <c r="D1036" s="2">
        <v>67075.100000000006</v>
      </c>
      <c r="E1036">
        <v>64150</v>
      </c>
      <c r="F1036" t="s">
        <v>17</v>
      </c>
      <c r="G1036" t="s">
        <v>23</v>
      </c>
      <c r="H1036">
        <v>131226</v>
      </c>
      <c r="I1036" t="s">
        <v>15</v>
      </c>
      <c r="J1036" t="s">
        <v>16</v>
      </c>
      <c r="K1036">
        <v>64150.94</v>
      </c>
      <c r="L1036">
        <v>131226.29999999999</v>
      </c>
      <c r="M1036">
        <v>11</v>
      </c>
      <c r="Y1036" s="1">
        <f t="shared" si="80"/>
        <v>1490.867</v>
      </c>
      <c r="Z1036" s="2">
        <f t="shared" si="81"/>
        <v>67075.100000000006</v>
      </c>
      <c r="AA1036" s="2">
        <f t="shared" si="82"/>
        <v>67075.064375293034</v>
      </c>
      <c r="AB1036" s="1">
        <f t="shared" si="83"/>
        <v>7.2495321304748533E-2</v>
      </c>
      <c r="AC1036" s="1" t="b">
        <f t="shared" si="84"/>
        <v>1</v>
      </c>
    </row>
    <row r="1037" spans="1:29" x14ac:dyDescent="0.25">
      <c r="A1037" s="1" t="s">
        <v>364</v>
      </c>
      <c r="B1037">
        <v>50</v>
      </c>
      <c r="D1037" s="2">
        <v>67091.8</v>
      </c>
      <c r="E1037">
        <v>66301</v>
      </c>
      <c r="F1037" t="s">
        <v>17</v>
      </c>
      <c r="G1037" t="s">
        <v>57</v>
      </c>
      <c r="H1037">
        <v>133393</v>
      </c>
      <c r="I1037" t="s">
        <v>15</v>
      </c>
      <c r="J1037" t="s">
        <v>50</v>
      </c>
      <c r="K1037">
        <v>66301.350000000006</v>
      </c>
      <c r="L1037">
        <v>133393.20000000001</v>
      </c>
      <c r="M1037">
        <v>11</v>
      </c>
      <c r="Y1037" s="1">
        <f t="shared" si="80"/>
        <v>1490.4939999999999</v>
      </c>
      <c r="Z1037" s="2">
        <f t="shared" si="81"/>
        <v>67091.8</v>
      </c>
      <c r="AA1037" s="2">
        <f t="shared" si="82"/>
        <v>67091.850084602833</v>
      </c>
      <c r="AB1037" s="1">
        <f t="shared" si="83"/>
        <v>7.2506581738874101E-2</v>
      </c>
      <c r="AC1037" s="1" t="b">
        <f t="shared" si="84"/>
        <v>1</v>
      </c>
    </row>
    <row r="1038" spans="1:29" x14ac:dyDescent="0.25">
      <c r="A1038" s="1" t="s">
        <v>365</v>
      </c>
      <c r="B1038">
        <v>2</v>
      </c>
      <c r="D1038" s="2">
        <v>67094.7</v>
      </c>
      <c r="M1038">
        <v>11</v>
      </c>
      <c r="Y1038" s="1">
        <f t="shared" si="80"/>
        <v>1490.431</v>
      </c>
      <c r="Z1038" s="2">
        <f t="shared" si="81"/>
        <v>67094.7</v>
      </c>
      <c r="AA1038" s="2">
        <f t="shared" si="82"/>
        <v>67094.686033771432</v>
      </c>
      <c r="AB1038" s="1">
        <f t="shared" si="83"/>
        <v>7.2508484469851822E-2</v>
      </c>
      <c r="AC1038" s="1" t="b">
        <f t="shared" si="84"/>
        <v>1</v>
      </c>
    </row>
    <row r="1039" spans="1:29" x14ac:dyDescent="0.25">
      <c r="A1039" s="1" t="s">
        <v>366</v>
      </c>
      <c r="B1039">
        <v>3</v>
      </c>
      <c r="C1039" t="s">
        <v>123</v>
      </c>
      <c r="D1039" s="2">
        <v>67113.5</v>
      </c>
      <c r="E1039">
        <v>68331</v>
      </c>
      <c r="F1039" t="s">
        <v>17</v>
      </c>
      <c r="G1039" t="s">
        <v>18</v>
      </c>
      <c r="H1039">
        <v>135445</v>
      </c>
      <c r="I1039" t="s">
        <v>15</v>
      </c>
      <c r="J1039" t="s">
        <v>18</v>
      </c>
      <c r="K1039">
        <v>68331.73</v>
      </c>
      <c r="L1039">
        <v>135445.20000000001</v>
      </c>
      <c r="M1039">
        <v>11</v>
      </c>
      <c r="Y1039" s="1">
        <f t="shared" si="80"/>
        <v>1490.0139999999999</v>
      </c>
      <c r="Z1039" s="2">
        <f t="shared" si="81"/>
        <v>67113.5</v>
      </c>
      <c r="AA1039" s="2">
        <f t="shared" si="82"/>
        <v>67113.463363431496</v>
      </c>
      <c r="AB1039" s="1">
        <f t="shared" si="83"/>
        <v>7.2521084823173307E-2</v>
      </c>
      <c r="AC1039" s="1" t="b">
        <f t="shared" si="84"/>
        <v>1</v>
      </c>
    </row>
    <row r="1040" spans="1:29" x14ac:dyDescent="0.25">
      <c r="A1040" s="1" t="s">
        <v>367</v>
      </c>
      <c r="B1040">
        <v>50</v>
      </c>
      <c r="C1040" t="s">
        <v>123</v>
      </c>
      <c r="D1040" s="2">
        <v>67116.899999999994</v>
      </c>
      <c r="M1040">
        <v>11</v>
      </c>
      <c r="Y1040" s="1">
        <f t="shared" si="80"/>
        <v>1489.9369999999999</v>
      </c>
      <c r="Z1040" s="2">
        <f t="shared" si="81"/>
        <v>67116.899999999994</v>
      </c>
      <c r="AA1040" s="2">
        <f t="shared" si="82"/>
        <v>67116.931789733397</v>
      </c>
      <c r="AB1040" s="1">
        <f t="shared" si="83"/>
        <v>7.2523412664338635E-2</v>
      </c>
      <c r="AC1040" s="1" t="b">
        <f t="shared" si="84"/>
        <v>1</v>
      </c>
    </row>
    <row r="1041" spans="1:29" x14ac:dyDescent="0.25">
      <c r="A1041" s="1" t="s">
        <v>368</v>
      </c>
      <c r="B1041">
        <v>3</v>
      </c>
      <c r="D1041" s="2">
        <v>67128.100000000006</v>
      </c>
      <c r="M1041">
        <v>11</v>
      </c>
      <c r="Y1041" s="1">
        <f t="shared" si="80"/>
        <v>1489.6890000000001</v>
      </c>
      <c r="Z1041" s="2">
        <f t="shared" si="81"/>
        <v>67128.100000000006</v>
      </c>
      <c r="AA1041" s="2">
        <f t="shared" si="82"/>
        <v>67128.105262239289</v>
      </c>
      <c r="AB1041" s="1">
        <f t="shared" si="83"/>
        <v>7.2530912580491394E-2</v>
      </c>
      <c r="AC1041" s="1" t="b">
        <f t="shared" si="84"/>
        <v>1</v>
      </c>
    </row>
    <row r="1042" spans="1:29" x14ac:dyDescent="0.25">
      <c r="A1042" s="1" t="s">
        <v>369</v>
      </c>
      <c r="B1042">
        <v>200</v>
      </c>
      <c r="D1042" s="2">
        <v>67133.600000000006</v>
      </c>
      <c r="M1042">
        <v>11</v>
      </c>
      <c r="Y1042" s="1">
        <f t="shared" si="80"/>
        <v>1489.567</v>
      </c>
      <c r="Z1042" s="2">
        <f t="shared" si="81"/>
        <v>67133.600000000006</v>
      </c>
      <c r="AA1042" s="2">
        <f t="shared" si="82"/>
        <v>67133.603255174152</v>
      </c>
      <c r="AB1042" s="1">
        <f t="shared" si="83"/>
        <v>7.2534603430115654E-2</v>
      </c>
      <c r="AC1042" s="1" t="b">
        <f t="shared" si="84"/>
        <v>1</v>
      </c>
    </row>
    <row r="1043" spans="1:29" x14ac:dyDescent="0.25">
      <c r="A1043" s="1" t="s">
        <v>370</v>
      </c>
      <c r="B1043">
        <v>40</v>
      </c>
      <c r="D1043" s="2">
        <v>67144.800000000003</v>
      </c>
      <c r="E1043">
        <v>25409</v>
      </c>
      <c r="F1043" t="s">
        <v>15</v>
      </c>
      <c r="G1043" t="s">
        <v>18</v>
      </c>
      <c r="H1043">
        <v>92554</v>
      </c>
      <c r="I1043" t="s">
        <v>17</v>
      </c>
      <c r="J1043" t="s">
        <v>28</v>
      </c>
      <c r="K1043">
        <v>25409.74</v>
      </c>
      <c r="L1043">
        <v>92554.8</v>
      </c>
      <c r="M1043">
        <v>11</v>
      </c>
      <c r="Y1043" s="1">
        <f t="shared" si="80"/>
        <v>1489.319</v>
      </c>
      <c r="Z1043" s="2">
        <f t="shared" si="81"/>
        <v>67144.800000000003</v>
      </c>
      <c r="AA1043" s="2">
        <f t="shared" si="82"/>
        <v>67144.782279686216</v>
      </c>
      <c r="AB1043" s="1">
        <f t="shared" si="83"/>
        <v>7.2542108936932331E-2</v>
      </c>
      <c r="AC1043" s="1" t="b">
        <f t="shared" si="84"/>
        <v>1</v>
      </c>
    </row>
    <row r="1044" spans="1:29" x14ac:dyDescent="0.25">
      <c r="A1044" s="1" t="s">
        <v>371</v>
      </c>
      <c r="B1044">
        <v>4</v>
      </c>
      <c r="C1044" t="s">
        <v>123</v>
      </c>
      <c r="D1044" s="2">
        <v>67150.7</v>
      </c>
      <c r="M1044">
        <v>11</v>
      </c>
      <c r="Y1044" s="1">
        <f t="shared" si="80"/>
        <v>1489.1869999999999</v>
      </c>
      <c r="Z1044" s="2">
        <f t="shared" si="81"/>
        <v>67150.7</v>
      </c>
      <c r="AA1044" s="2">
        <f t="shared" si="82"/>
        <v>67150.73392394642</v>
      </c>
      <c r="AB1044" s="1">
        <f t="shared" si="83"/>
        <v>7.2546105332623248E-2</v>
      </c>
      <c r="AC1044" s="1" t="b">
        <f t="shared" si="84"/>
        <v>1</v>
      </c>
    </row>
    <row r="1045" spans="1:29" x14ac:dyDescent="0.25">
      <c r="A1045" s="1" t="s">
        <v>372</v>
      </c>
      <c r="B1045">
        <v>10</v>
      </c>
      <c r="C1045" t="s">
        <v>123</v>
      </c>
      <c r="D1045" s="2">
        <v>67155.899999999994</v>
      </c>
      <c r="M1045">
        <v>11</v>
      </c>
      <c r="Y1045" s="1">
        <f t="shared" si="80"/>
        <v>1489.0730000000001</v>
      </c>
      <c r="Z1045" s="2">
        <f t="shared" si="81"/>
        <v>67155.899999999994</v>
      </c>
      <c r="AA1045" s="2">
        <f t="shared" si="82"/>
        <v>67155.874829508015</v>
      </c>
      <c r="AB1045" s="1">
        <f t="shared" si="83"/>
        <v>7.2549557620582739E-2</v>
      </c>
      <c r="AC1045" s="1" t="b">
        <f t="shared" si="84"/>
        <v>1</v>
      </c>
    </row>
    <row r="1046" spans="1:29" x14ac:dyDescent="0.25">
      <c r="A1046" s="1" t="s">
        <v>373</v>
      </c>
      <c r="B1046">
        <v>100</v>
      </c>
      <c r="C1046" t="s">
        <v>123</v>
      </c>
      <c r="D1046" s="2">
        <v>67159.899999999994</v>
      </c>
      <c r="M1046">
        <v>11</v>
      </c>
      <c r="Y1046" s="1">
        <f t="shared" si="80"/>
        <v>1488.9839999999999</v>
      </c>
      <c r="Z1046" s="2">
        <f t="shared" si="81"/>
        <v>67159.899999999994</v>
      </c>
      <c r="AA1046" s="2">
        <f t="shared" si="82"/>
        <v>67159.888890679824</v>
      </c>
      <c r="AB1046" s="1">
        <f t="shared" si="83"/>
        <v>7.2552253379042295E-2</v>
      </c>
      <c r="AC1046" s="1" t="b">
        <f t="shared" si="84"/>
        <v>1</v>
      </c>
    </row>
    <row r="1047" spans="1:29" x14ac:dyDescent="0.25">
      <c r="A1047" s="1" t="s">
        <v>374</v>
      </c>
      <c r="B1047">
        <v>1</v>
      </c>
      <c r="D1047" s="2">
        <v>67195.199999999997</v>
      </c>
      <c r="M1047">
        <v>11</v>
      </c>
      <c r="Y1047" s="1">
        <f t="shared" si="80"/>
        <v>1488.202</v>
      </c>
      <c r="Z1047" s="2">
        <f t="shared" si="81"/>
        <v>67195.199999999997</v>
      </c>
      <c r="AA1047" s="2">
        <f t="shared" si="82"/>
        <v>67195.179149067131</v>
      </c>
      <c r="AB1047" s="1">
        <f t="shared" si="83"/>
        <v>7.2575960504376133E-2</v>
      </c>
      <c r="AC1047" s="1" t="b">
        <f t="shared" si="84"/>
        <v>1</v>
      </c>
    </row>
    <row r="1048" spans="1:29" x14ac:dyDescent="0.25">
      <c r="A1048" s="1" t="s">
        <v>375</v>
      </c>
      <c r="B1048">
        <v>30</v>
      </c>
      <c r="D1048" s="2">
        <v>67201.100000000006</v>
      </c>
      <c r="E1048">
        <v>26095</v>
      </c>
      <c r="F1048" t="s">
        <v>15</v>
      </c>
      <c r="G1048" t="s">
        <v>23</v>
      </c>
      <c r="H1048">
        <v>93296</v>
      </c>
      <c r="I1048" t="s">
        <v>17</v>
      </c>
      <c r="J1048" t="s">
        <v>23</v>
      </c>
      <c r="K1048">
        <v>26095.23</v>
      </c>
      <c r="L1048">
        <v>93296.5</v>
      </c>
      <c r="M1048">
        <v>11</v>
      </c>
      <c r="Y1048" s="1">
        <f t="shared" si="80"/>
        <v>1488.0709999999999</v>
      </c>
      <c r="Z1048" s="2">
        <f t="shared" si="81"/>
        <v>67201.100000000006</v>
      </c>
      <c r="AA1048" s="2">
        <f t="shared" si="82"/>
        <v>67201.094571428388</v>
      </c>
      <c r="AB1048" s="1">
        <f t="shared" si="83"/>
        <v>7.2579935557990305E-2</v>
      </c>
      <c r="AC1048" s="1" t="b">
        <f t="shared" si="84"/>
        <v>1</v>
      </c>
    </row>
    <row r="1049" spans="1:29" x14ac:dyDescent="0.25">
      <c r="A1049" s="1" t="s">
        <v>376</v>
      </c>
      <c r="B1049">
        <v>20</v>
      </c>
      <c r="D1049" s="2">
        <v>67211.399999999994</v>
      </c>
      <c r="M1049">
        <v>11</v>
      </c>
      <c r="Y1049" s="1">
        <f t="shared" si="80"/>
        <v>1487.8430000000001</v>
      </c>
      <c r="Z1049" s="2">
        <f t="shared" si="81"/>
        <v>67211.399999999994</v>
      </c>
      <c r="AA1049" s="2">
        <f t="shared" si="82"/>
        <v>67211.392599891245</v>
      </c>
      <c r="AB1049" s="1">
        <f t="shared" si="83"/>
        <v>7.258685647608358E-2</v>
      </c>
      <c r="AC1049" s="1" t="b">
        <f t="shared" si="84"/>
        <v>1</v>
      </c>
    </row>
    <row r="1050" spans="1:29" x14ac:dyDescent="0.25">
      <c r="A1050" s="1" t="s">
        <v>377</v>
      </c>
      <c r="B1050">
        <v>8</v>
      </c>
      <c r="D1050" s="2">
        <v>67216.800000000003</v>
      </c>
      <c r="M1050">
        <v>11</v>
      </c>
      <c r="Y1050" s="1">
        <f t="shared" si="80"/>
        <v>1487.723</v>
      </c>
      <c r="Z1050" s="2">
        <f t="shared" si="81"/>
        <v>67216.800000000003</v>
      </c>
      <c r="AA1050" s="2">
        <f t="shared" si="82"/>
        <v>67216.813882691873</v>
      </c>
      <c r="AB1050" s="1">
        <f t="shared" si="83"/>
        <v>7.2590500342702202E-2</v>
      </c>
      <c r="AC1050" s="1" t="b">
        <f t="shared" si="84"/>
        <v>1</v>
      </c>
    </row>
    <row r="1051" spans="1:29" x14ac:dyDescent="0.25">
      <c r="A1051" s="1" t="s">
        <v>378</v>
      </c>
      <c r="B1051">
        <v>15</v>
      </c>
      <c r="D1051" s="2">
        <v>67224.100000000006</v>
      </c>
      <c r="M1051">
        <v>11</v>
      </c>
      <c r="Y1051" s="1">
        <f t="shared" si="80"/>
        <v>1487.5609999999999</v>
      </c>
      <c r="Z1051" s="2">
        <f t="shared" si="81"/>
        <v>67224.100000000006</v>
      </c>
      <c r="AA1051" s="2">
        <f t="shared" si="82"/>
        <v>67224.134001899758</v>
      </c>
      <c r="AB1051" s="1">
        <f t="shared" si="83"/>
        <v>7.259542096152688E-2</v>
      </c>
      <c r="AC1051" s="1" t="b">
        <f t="shared" si="84"/>
        <v>1</v>
      </c>
    </row>
    <row r="1052" spans="1:29" x14ac:dyDescent="0.25">
      <c r="A1052" s="1" t="s">
        <v>379</v>
      </c>
      <c r="B1052">
        <v>100</v>
      </c>
      <c r="C1052" t="s">
        <v>123</v>
      </c>
      <c r="D1052" s="2">
        <v>67243.3</v>
      </c>
      <c r="M1052">
        <v>11</v>
      </c>
      <c r="Y1052" s="1">
        <f t="shared" si="80"/>
        <v>1487.1369999999999</v>
      </c>
      <c r="Z1052" s="2">
        <f t="shared" si="81"/>
        <v>67243.3</v>
      </c>
      <c r="AA1052" s="2">
        <f t="shared" si="82"/>
        <v>67243.300381874709</v>
      </c>
      <c r="AB1052" s="1">
        <f t="shared" si="83"/>
        <v>7.2608307231235153E-2</v>
      </c>
      <c r="AC1052" s="1" t="b">
        <f t="shared" si="84"/>
        <v>1</v>
      </c>
    </row>
    <row r="1053" spans="1:29" x14ac:dyDescent="0.25">
      <c r="A1053" s="1" t="s">
        <v>380</v>
      </c>
      <c r="B1053">
        <v>1</v>
      </c>
      <c r="D1053" s="2">
        <v>67257.3</v>
      </c>
      <c r="M1053">
        <v>11</v>
      </c>
      <c r="Y1053" s="1">
        <f t="shared" si="80"/>
        <v>1486.827</v>
      </c>
      <c r="Z1053" s="2">
        <f t="shared" si="81"/>
        <v>67257.3</v>
      </c>
      <c r="AA1053" s="2">
        <f t="shared" si="82"/>
        <v>67257.320454901608</v>
      </c>
      <c r="AB1053" s="1">
        <f t="shared" si="83"/>
        <v>7.261773577386664E-2</v>
      </c>
      <c r="AC1053" s="1" t="b">
        <f t="shared" si="84"/>
        <v>1</v>
      </c>
    </row>
    <row r="1054" spans="1:29" x14ac:dyDescent="0.25">
      <c r="A1054" s="1" t="s">
        <v>381</v>
      </c>
      <c r="B1054">
        <v>20</v>
      </c>
      <c r="C1054" t="s">
        <v>123</v>
      </c>
      <c r="D1054" s="2">
        <v>67266.2</v>
      </c>
      <c r="M1054">
        <v>11</v>
      </c>
      <c r="Y1054" s="1">
        <f t="shared" si="80"/>
        <v>1486.63</v>
      </c>
      <c r="Z1054" s="2">
        <f t="shared" si="81"/>
        <v>67266.2</v>
      </c>
      <c r="AA1054" s="2">
        <f t="shared" si="82"/>
        <v>67266.233023684443</v>
      </c>
      <c r="AB1054" s="1">
        <f t="shared" si="83"/>
        <v>7.2623730525983074E-2</v>
      </c>
      <c r="AC1054" s="1" t="b">
        <f t="shared" si="84"/>
        <v>1</v>
      </c>
    </row>
    <row r="1055" spans="1:29" x14ac:dyDescent="0.25">
      <c r="A1055" s="1" t="s">
        <v>382</v>
      </c>
      <c r="B1055">
        <v>5</v>
      </c>
      <c r="D1055" s="2">
        <v>67270.399999999994</v>
      </c>
      <c r="M1055">
        <v>11</v>
      </c>
      <c r="Y1055" s="1">
        <f t="shared" si="80"/>
        <v>1486.538</v>
      </c>
      <c r="Z1055" s="2">
        <f t="shared" si="81"/>
        <v>67270.399999999994</v>
      </c>
      <c r="AA1055" s="2">
        <f t="shared" si="82"/>
        <v>67270.396047729693</v>
      </c>
      <c r="AB1055" s="1">
        <f t="shared" si="83"/>
        <v>7.2626530922092036E-2</v>
      </c>
      <c r="AC1055" s="1" t="b">
        <f t="shared" si="84"/>
        <v>1</v>
      </c>
    </row>
    <row r="1056" spans="1:29" x14ac:dyDescent="0.25">
      <c r="A1056" s="1" t="s">
        <v>383</v>
      </c>
      <c r="B1056">
        <v>200</v>
      </c>
      <c r="D1056" s="2">
        <v>67320.800000000003</v>
      </c>
      <c r="M1056">
        <v>11</v>
      </c>
      <c r="Y1056" s="1">
        <f t="shared" si="80"/>
        <v>1485.425</v>
      </c>
      <c r="Z1056" s="2">
        <f t="shared" si="81"/>
        <v>67320.800000000003</v>
      </c>
      <c r="AA1056" s="2">
        <f t="shared" si="82"/>
        <v>67320.800444317283</v>
      </c>
      <c r="AB1056" s="1">
        <f t="shared" si="83"/>
        <v>7.2660450862317955E-2</v>
      </c>
      <c r="AC1056" s="1" t="b">
        <f t="shared" si="84"/>
        <v>1</v>
      </c>
    </row>
    <row r="1057" spans="1:29" x14ac:dyDescent="0.25">
      <c r="A1057" s="1" t="s">
        <v>384</v>
      </c>
      <c r="B1057">
        <v>20</v>
      </c>
      <c r="D1057" s="2">
        <v>67343.199999999997</v>
      </c>
      <c r="E1057">
        <v>68525</v>
      </c>
      <c r="F1057" t="s">
        <v>17</v>
      </c>
      <c r="G1057" t="s">
        <v>23</v>
      </c>
      <c r="H1057">
        <v>135868</v>
      </c>
      <c r="I1057" t="s">
        <v>15</v>
      </c>
      <c r="J1057" t="s">
        <v>16</v>
      </c>
      <c r="K1057">
        <v>68525.62</v>
      </c>
      <c r="L1057">
        <v>135868.79999999999</v>
      </c>
      <c r="M1057">
        <v>11</v>
      </c>
      <c r="Y1057" s="1">
        <f t="shared" si="80"/>
        <v>1484.932</v>
      </c>
      <c r="Z1057" s="2">
        <f t="shared" si="81"/>
        <v>67343.199999999997</v>
      </c>
      <c r="AA1057" s="2">
        <f t="shared" si="82"/>
        <v>67343.151066850201</v>
      </c>
      <c r="AB1057" s="1">
        <f t="shared" si="83"/>
        <v>7.2675499978063038E-2</v>
      </c>
      <c r="AC1057" s="1" t="b">
        <f t="shared" si="84"/>
        <v>1</v>
      </c>
    </row>
    <row r="1058" spans="1:29" x14ac:dyDescent="0.25">
      <c r="A1058" s="1" t="s">
        <v>385</v>
      </c>
      <c r="B1058">
        <v>50</v>
      </c>
      <c r="D1058" s="2">
        <v>67355.399999999994</v>
      </c>
      <c r="E1058">
        <v>66148</v>
      </c>
      <c r="F1058" t="s">
        <v>17</v>
      </c>
      <c r="G1058" t="s">
        <v>50</v>
      </c>
      <c r="H1058">
        <v>133503</v>
      </c>
      <c r="I1058" t="s">
        <v>15</v>
      </c>
      <c r="J1058" t="s">
        <v>23</v>
      </c>
      <c r="K1058">
        <v>66148.399999999994</v>
      </c>
      <c r="L1058">
        <v>133503.9</v>
      </c>
      <c r="M1058">
        <v>11</v>
      </c>
      <c r="Y1058" s="1">
        <f t="shared" si="80"/>
        <v>1484.6610000000001</v>
      </c>
      <c r="Z1058" s="2">
        <f t="shared" si="81"/>
        <v>67355.399999999994</v>
      </c>
      <c r="AA1058" s="2">
        <f t="shared" si="82"/>
        <v>67355.443431194057</v>
      </c>
      <c r="AB1058" s="1">
        <f t="shared" si="83"/>
        <v>7.2683778799063917E-2</v>
      </c>
      <c r="AC1058" s="1" t="b">
        <f t="shared" si="84"/>
        <v>1</v>
      </c>
    </row>
    <row r="1059" spans="1:29" x14ac:dyDescent="0.25">
      <c r="A1059" s="1" t="s">
        <v>386</v>
      </c>
      <c r="B1059">
        <v>300</v>
      </c>
      <c r="C1059" t="s">
        <v>125</v>
      </c>
      <c r="D1059" s="2">
        <v>67371.899999999994</v>
      </c>
      <c r="E1059">
        <v>22747</v>
      </c>
      <c r="F1059" t="s">
        <v>15</v>
      </c>
      <c r="G1059" t="s">
        <v>16</v>
      </c>
      <c r="H1059">
        <v>90119</v>
      </c>
      <c r="I1059" t="s">
        <v>17</v>
      </c>
      <c r="J1059" t="s">
        <v>23</v>
      </c>
      <c r="K1059">
        <v>22747.69</v>
      </c>
      <c r="L1059">
        <v>90119.8</v>
      </c>
      <c r="M1059">
        <v>11</v>
      </c>
      <c r="Y1059" s="1">
        <f t="shared" si="80"/>
        <v>1484.298</v>
      </c>
      <c r="Z1059" s="2">
        <f t="shared" si="81"/>
        <v>67371.899999999994</v>
      </c>
      <c r="AA1059" s="2">
        <f t="shared" si="82"/>
        <v>67371.915882120709</v>
      </c>
      <c r="AB1059" s="1">
        <f t="shared" si="83"/>
        <v>7.2694875248137752E-2</v>
      </c>
      <c r="AC1059" s="1" t="b">
        <f t="shared" si="84"/>
        <v>1</v>
      </c>
    </row>
    <row r="1060" spans="1:29" x14ac:dyDescent="0.25">
      <c r="A1060" s="1" t="s">
        <v>387</v>
      </c>
      <c r="B1060">
        <v>3</v>
      </c>
      <c r="D1060" s="2">
        <v>67375.899999999994</v>
      </c>
      <c r="M1060">
        <v>11</v>
      </c>
      <c r="Y1060" s="1">
        <f t="shared" si="80"/>
        <v>1484.211</v>
      </c>
      <c r="Z1060" s="2">
        <f t="shared" si="81"/>
        <v>67375.899999999994</v>
      </c>
      <c r="AA1060" s="2">
        <f t="shared" si="82"/>
        <v>67375.865021887046</v>
      </c>
      <c r="AB1060" s="1">
        <f t="shared" si="83"/>
        <v>7.2697535937237712E-2</v>
      </c>
      <c r="AC1060" s="1" t="b">
        <f t="shared" si="84"/>
        <v>1</v>
      </c>
    </row>
    <row r="1061" spans="1:29" x14ac:dyDescent="0.25">
      <c r="A1061" s="1" t="s">
        <v>388</v>
      </c>
      <c r="B1061">
        <v>3</v>
      </c>
      <c r="D1061" s="2">
        <v>67383.399999999994</v>
      </c>
      <c r="E1061">
        <v>63816</v>
      </c>
      <c r="F1061" t="s">
        <v>17</v>
      </c>
      <c r="G1061" t="s">
        <v>23</v>
      </c>
      <c r="H1061">
        <v>131200</v>
      </c>
      <c r="I1061" t="s">
        <v>15</v>
      </c>
      <c r="J1061" t="s">
        <v>23</v>
      </c>
      <c r="K1061">
        <v>63816.91</v>
      </c>
      <c r="L1061">
        <v>131200.29999999999</v>
      </c>
      <c r="M1061">
        <v>11</v>
      </c>
      <c r="Y1061" s="1">
        <f t="shared" si="80"/>
        <v>1484.046</v>
      </c>
      <c r="Z1061" s="2">
        <f t="shared" si="81"/>
        <v>67383.399999999994</v>
      </c>
      <c r="AA1061" s="2">
        <f t="shared" si="82"/>
        <v>67383.356041524312</v>
      </c>
      <c r="AB1061" s="1">
        <f t="shared" si="83"/>
        <v>7.2702583357094161E-2</v>
      </c>
      <c r="AC1061" s="1" t="b">
        <f t="shared" si="84"/>
        <v>1</v>
      </c>
    </row>
    <row r="1062" spans="1:29" x14ac:dyDescent="0.25">
      <c r="A1062" s="1" t="s">
        <v>389</v>
      </c>
      <c r="B1062">
        <v>7</v>
      </c>
      <c r="D1062" s="2">
        <v>67393.399999999994</v>
      </c>
      <c r="M1062">
        <v>11</v>
      </c>
      <c r="Y1062" s="1">
        <f t="shared" si="80"/>
        <v>1483.825</v>
      </c>
      <c r="Z1062" s="2">
        <f t="shared" si="81"/>
        <v>67393.399999999994</v>
      </c>
      <c r="AA1062" s="2">
        <f t="shared" si="82"/>
        <v>67393.392077906756</v>
      </c>
      <c r="AB1062" s="1">
        <f t="shared" si="83"/>
        <v>7.2709346478832329E-2</v>
      </c>
      <c r="AC1062" s="1" t="b">
        <f t="shared" si="84"/>
        <v>1</v>
      </c>
    </row>
    <row r="1063" spans="1:29" x14ac:dyDescent="0.25">
      <c r="A1063" s="1" t="s">
        <v>390</v>
      </c>
      <c r="B1063">
        <v>10</v>
      </c>
      <c r="D1063" s="2">
        <v>67403.7</v>
      </c>
      <c r="M1063">
        <v>11</v>
      </c>
      <c r="Y1063" s="1">
        <f t="shared" si="80"/>
        <v>1483.598</v>
      </c>
      <c r="Z1063" s="2">
        <f t="shared" si="81"/>
        <v>67403.7</v>
      </c>
      <c r="AA1063" s="2">
        <f t="shared" si="82"/>
        <v>67403.703698710844</v>
      </c>
      <c r="AB1063" s="1">
        <f t="shared" si="83"/>
        <v>7.2716296361518024E-2</v>
      </c>
      <c r="AC1063" s="1" t="b">
        <f t="shared" si="84"/>
        <v>1</v>
      </c>
    </row>
    <row r="1064" spans="1:29" x14ac:dyDescent="0.25">
      <c r="A1064" s="1" t="s">
        <v>391</v>
      </c>
      <c r="B1064">
        <v>5</v>
      </c>
      <c r="D1064" s="2">
        <v>67407.8</v>
      </c>
      <c r="E1064">
        <v>25033</v>
      </c>
      <c r="F1064" t="s">
        <v>15</v>
      </c>
      <c r="G1064" t="s">
        <v>16</v>
      </c>
      <c r="H1064">
        <v>92441</v>
      </c>
      <c r="I1064" t="s">
        <v>17</v>
      </c>
      <c r="J1064" t="s">
        <v>18</v>
      </c>
      <c r="K1064">
        <v>25033.91</v>
      </c>
      <c r="L1064">
        <v>92441.7</v>
      </c>
      <c r="M1064">
        <v>11</v>
      </c>
      <c r="Y1064" s="1">
        <f t="shared" si="80"/>
        <v>1483.508</v>
      </c>
      <c r="Z1064" s="2">
        <f t="shared" si="81"/>
        <v>67407.8</v>
      </c>
      <c r="AA1064" s="2">
        <f t="shared" si="82"/>
        <v>67407.79288011929</v>
      </c>
      <c r="AB1064" s="1">
        <f t="shared" si="83"/>
        <v>7.2719052704845299E-2</v>
      </c>
      <c r="AC1064" s="1" t="b">
        <f t="shared" si="84"/>
        <v>1</v>
      </c>
    </row>
    <row r="1065" spans="1:29" x14ac:dyDescent="0.25">
      <c r="A1065" s="1" t="s">
        <v>392</v>
      </c>
      <c r="B1065">
        <v>8</v>
      </c>
      <c r="D1065" s="2">
        <v>67409.5</v>
      </c>
      <c r="E1065">
        <v>63816</v>
      </c>
      <c r="F1065" t="s">
        <v>17</v>
      </c>
      <c r="G1065" t="s">
        <v>23</v>
      </c>
      <c r="H1065">
        <v>131226</v>
      </c>
      <c r="I1065" t="s">
        <v>15</v>
      </c>
      <c r="J1065" t="s">
        <v>16</v>
      </c>
      <c r="K1065">
        <v>63816.91</v>
      </c>
      <c r="L1065">
        <v>131226.29999999999</v>
      </c>
      <c r="M1065">
        <v>11</v>
      </c>
      <c r="Y1065" s="1">
        <f t="shared" si="80"/>
        <v>1483.47</v>
      </c>
      <c r="Z1065" s="2">
        <f t="shared" si="81"/>
        <v>67409.5</v>
      </c>
      <c r="AA1065" s="2">
        <f t="shared" si="82"/>
        <v>67409.519572354009</v>
      </c>
      <c r="AB1065" s="1">
        <f t="shared" si="83"/>
        <v>7.2720216644877891E-2</v>
      </c>
      <c r="AC1065" s="1" t="b">
        <f t="shared" si="84"/>
        <v>1</v>
      </c>
    </row>
    <row r="1066" spans="1:29" x14ac:dyDescent="0.25">
      <c r="A1066" s="1" t="s">
        <v>393</v>
      </c>
      <c r="B1066">
        <v>10</v>
      </c>
      <c r="D1066" s="2">
        <v>67412.7</v>
      </c>
      <c r="M1066">
        <v>11</v>
      </c>
      <c r="Y1066" s="1">
        <f t="shared" si="80"/>
        <v>1483.4</v>
      </c>
      <c r="Z1066" s="2">
        <f t="shared" si="81"/>
        <v>67412.7</v>
      </c>
      <c r="AA1066" s="2">
        <f t="shared" si="82"/>
        <v>67412.700552784139</v>
      </c>
      <c r="AB1066" s="1">
        <f t="shared" si="83"/>
        <v>7.272236097909672E-2</v>
      </c>
      <c r="AC1066" s="1" t="b">
        <f t="shared" si="84"/>
        <v>1</v>
      </c>
    </row>
    <row r="1067" spans="1:29" x14ac:dyDescent="0.25">
      <c r="A1067" s="1" t="s">
        <v>394</v>
      </c>
      <c r="B1067">
        <v>3</v>
      </c>
      <c r="D1067" s="2">
        <v>67446.2</v>
      </c>
      <c r="M1067">
        <v>11</v>
      </c>
      <c r="Y1067" s="1">
        <f t="shared" si="80"/>
        <v>1482.662</v>
      </c>
      <c r="Z1067" s="2">
        <f t="shared" si="81"/>
        <v>67446.2</v>
      </c>
      <c r="AA1067" s="2">
        <f t="shared" si="82"/>
        <v>67446.25545134359</v>
      </c>
      <c r="AB1067" s="1">
        <f t="shared" si="83"/>
        <v>7.274498687203948E-2</v>
      </c>
      <c r="AC1067" s="1" t="b">
        <f t="shared" si="84"/>
        <v>1</v>
      </c>
    </row>
    <row r="1068" spans="1:29" x14ac:dyDescent="0.25">
      <c r="A1068" s="1" t="s">
        <v>395</v>
      </c>
      <c r="B1068">
        <v>10</v>
      </c>
      <c r="D1068" s="2">
        <v>67449.8</v>
      </c>
      <c r="M1068">
        <v>11</v>
      </c>
      <c r="Y1068" s="1">
        <f t="shared" si="80"/>
        <v>1482.585</v>
      </c>
      <c r="Z1068" s="2">
        <f t="shared" si="81"/>
        <v>67449.8</v>
      </c>
      <c r="AA1068" s="2">
        <f t="shared" si="82"/>
        <v>67449.758361240674</v>
      </c>
      <c r="AB1068" s="1">
        <f t="shared" si="83"/>
        <v>7.2747349514948781E-2</v>
      </c>
      <c r="AC1068" s="1" t="b">
        <f t="shared" si="84"/>
        <v>1</v>
      </c>
    </row>
    <row r="1069" spans="1:29" x14ac:dyDescent="0.25">
      <c r="A1069" s="1" t="s">
        <v>396</v>
      </c>
      <c r="B1069">
        <v>1</v>
      </c>
      <c r="D1069" s="2">
        <v>67451.399999999994</v>
      </c>
      <c r="M1069">
        <v>11</v>
      </c>
      <c r="Y1069" s="1">
        <f t="shared" si="80"/>
        <v>1482.548</v>
      </c>
      <c r="Z1069" s="2">
        <f t="shared" si="81"/>
        <v>67451.399999999994</v>
      </c>
      <c r="AA1069" s="2">
        <f t="shared" si="82"/>
        <v>67451.441707115053</v>
      </c>
      <c r="AB1069" s="1">
        <f t="shared" si="83"/>
        <v>7.2748484941841704E-2</v>
      </c>
      <c r="AC1069" s="1" t="b">
        <f t="shared" si="84"/>
        <v>1</v>
      </c>
    </row>
    <row r="1070" spans="1:29" x14ac:dyDescent="0.25">
      <c r="A1070" s="1" t="s">
        <v>397</v>
      </c>
      <c r="B1070">
        <v>20</v>
      </c>
      <c r="D1070" s="2">
        <v>67457.399999999994</v>
      </c>
      <c r="E1070">
        <v>17534</v>
      </c>
      <c r="F1070" t="s">
        <v>15</v>
      </c>
      <c r="G1070" t="s">
        <v>57</v>
      </c>
      <c r="H1070">
        <v>84992</v>
      </c>
      <c r="I1070" t="s">
        <v>17</v>
      </c>
      <c r="J1070" t="s">
        <v>57</v>
      </c>
      <c r="K1070">
        <v>17534.759999999998</v>
      </c>
      <c r="L1070">
        <v>84992.04</v>
      </c>
      <c r="M1070">
        <v>11</v>
      </c>
      <c r="Y1070" s="1">
        <f t="shared" si="80"/>
        <v>1482.4169999999999</v>
      </c>
      <c r="Z1070" s="2">
        <f t="shared" si="81"/>
        <v>67457.399999999994</v>
      </c>
      <c r="AA1070" s="2">
        <f t="shared" si="82"/>
        <v>67457.402336859333</v>
      </c>
      <c r="AB1070" s="1">
        <f t="shared" si="83"/>
        <v>7.2752505650184582E-2</v>
      </c>
      <c r="AC1070" s="1" t="b">
        <f t="shared" si="84"/>
        <v>1</v>
      </c>
    </row>
    <row r="1071" spans="1:29" x14ac:dyDescent="0.25">
      <c r="A1071" s="1" t="s">
        <v>398</v>
      </c>
      <c r="B1071">
        <v>10</v>
      </c>
      <c r="D1071" s="2">
        <v>67470.600000000006</v>
      </c>
      <c r="E1071">
        <v>65922</v>
      </c>
      <c r="F1071" t="s">
        <v>17</v>
      </c>
      <c r="G1071" t="s">
        <v>23</v>
      </c>
      <c r="H1071">
        <v>133393</v>
      </c>
      <c r="I1071" t="s">
        <v>15</v>
      </c>
      <c r="J1071" t="s">
        <v>50</v>
      </c>
      <c r="K1071">
        <v>65922.42</v>
      </c>
      <c r="L1071">
        <v>133393.20000000001</v>
      </c>
      <c r="M1071">
        <v>11</v>
      </c>
      <c r="Y1071" s="1">
        <f t="shared" si="80"/>
        <v>1482.127</v>
      </c>
      <c r="Z1071" s="2">
        <f t="shared" si="81"/>
        <v>67470.600000000006</v>
      </c>
      <c r="AA1071" s="2">
        <f t="shared" si="82"/>
        <v>67470.60137221709</v>
      </c>
      <c r="AB1071" s="1">
        <f t="shared" si="83"/>
        <v>7.2761410247643113E-2</v>
      </c>
      <c r="AC1071" s="1" t="b">
        <f t="shared" si="84"/>
        <v>1</v>
      </c>
    </row>
    <row r="1072" spans="1:29" x14ac:dyDescent="0.25">
      <c r="A1072" s="1" t="s">
        <v>399</v>
      </c>
      <c r="B1072">
        <v>3</v>
      </c>
      <c r="D1072" s="2">
        <v>67489.899999999994</v>
      </c>
      <c r="M1072">
        <v>11</v>
      </c>
      <c r="Y1072" s="1">
        <f t="shared" si="80"/>
        <v>1481.704</v>
      </c>
      <c r="Z1072" s="2">
        <f t="shared" si="81"/>
        <v>67489.899999999994</v>
      </c>
      <c r="AA1072" s="2">
        <f t="shared" si="82"/>
        <v>67489.863022574005</v>
      </c>
      <c r="AB1072" s="1">
        <f t="shared" si="83"/>
        <v>7.2774408054029016E-2</v>
      </c>
      <c r="AC1072" s="1" t="b">
        <f t="shared" si="84"/>
        <v>1</v>
      </c>
    </row>
    <row r="1073" spans="1:29" x14ac:dyDescent="0.25">
      <c r="A1073" s="1" t="s">
        <v>400</v>
      </c>
      <c r="B1073">
        <v>1</v>
      </c>
      <c r="D1073" s="2">
        <v>67494.2</v>
      </c>
      <c r="E1073">
        <v>68374</v>
      </c>
      <c r="F1073" t="s">
        <v>17</v>
      </c>
      <c r="G1073" t="s">
        <v>16</v>
      </c>
      <c r="H1073">
        <v>135868</v>
      </c>
      <c r="I1073" t="s">
        <v>15</v>
      </c>
      <c r="J1073" t="s">
        <v>16</v>
      </c>
      <c r="K1073">
        <v>68374.539999999994</v>
      </c>
      <c r="L1073">
        <v>135868.79999999999</v>
      </c>
      <c r="M1073">
        <v>11</v>
      </c>
      <c r="Y1073" s="1">
        <f t="shared" si="80"/>
        <v>1481.6089999999999</v>
      </c>
      <c r="Z1073" s="2">
        <f t="shared" si="81"/>
        <v>67494.2</v>
      </c>
      <c r="AA1073" s="2">
        <f t="shared" si="82"/>
        <v>67494.190437558093</v>
      </c>
      <c r="AB1073" s="1">
        <f t="shared" si="83"/>
        <v>7.277732871410679E-2</v>
      </c>
      <c r="AC1073" s="1" t="b">
        <f t="shared" si="84"/>
        <v>1</v>
      </c>
    </row>
    <row r="1074" spans="1:29" x14ac:dyDescent="0.25">
      <c r="A1074" s="1" t="s">
        <v>401</v>
      </c>
      <c r="B1074">
        <v>7</v>
      </c>
      <c r="D1074" s="2">
        <v>67500.3</v>
      </c>
      <c r="E1074">
        <v>61605</v>
      </c>
      <c r="F1074" t="s">
        <v>17</v>
      </c>
      <c r="G1074" t="s">
        <v>18</v>
      </c>
      <c r="H1074">
        <v>129106</v>
      </c>
      <c r="I1074" t="s">
        <v>15</v>
      </c>
      <c r="J1074" t="s">
        <v>16</v>
      </c>
      <c r="K1074">
        <v>61605.66</v>
      </c>
      <c r="L1074">
        <v>129106.1</v>
      </c>
      <c r="M1074">
        <v>11</v>
      </c>
      <c r="Y1074" s="1">
        <f t="shared" si="80"/>
        <v>1481.4749999999999</v>
      </c>
      <c r="Z1074" s="2">
        <f t="shared" si="81"/>
        <v>67500.3</v>
      </c>
      <c r="AA1074" s="2">
        <f t="shared" si="82"/>
        <v>67500.295313791998</v>
      </c>
      <c r="AB1074" s="1">
        <f t="shared" si="83"/>
        <v>7.278144933724566E-2</v>
      </c>
      <c r="AC1074" s="1" t="b">
        <f t="shared" si="84"/>
        <v>1</v>
      </c>
    </row>
    <row r="1075" spans="1:29" x14ac:dyDescent="0.25">
      <c r="A1075" s="1" t="s">
        <v>402</v>
      </c>
      <c r="B1075">
        <v>5</v>
      </c>
      <c r="D1075" s="2">
        <v>67513.100000000006</v>
      </c>
      <c r="M1075">
        <v>11</v>
      </c>
      <c r="Y1075" s="1">
        <f t="shared" si="80"/>
        <v>1481.193</v>
      </c>
      <c r="Z1075" s="2">
        <f t="shared" si="81"/>
        <v>67513.100000000006</v>
      </c>
      <c r="AA1075" s="2">
        <f t="shared" si="82"/>
        <v>67513.146497451715</v>
      </c>
      <c r="AB1075" s="1">
        <f t="shared" si="83"/>
        <v>7.2790124749931892E-2</v>
      </c>
      <c r="AC1075" s="1" t="b">
        <f t="shared" si="84"/>
        <v>1</v>
      </c>
    </row>
    <row r="1076" spans="1:29" x14ac:dyDescent="0.25">
      <c r="A1076" s="1" t="s">
        <v>403</v>
      </c>
      <c r="B1076">
        <v>5</v>
      </c>
      <c r="D1076" s="2">
        <v>67516.3</v>
      </c>
      <c r="M1076">
        <v>11</v>
      </c>
      <c r="Y1076" s="1">
        <f t="shared" si="80"/>
        <v>1481.123</v>
      </c>
      <c r="Z1076" s="2">
        <f t="shared" si="81"/>
        <v>67516.3</v>
      </c>
      <c r="AA1076" s="2">
        <f t="shared" si="82"/>
        <v>67516.337265709866</v>
      </c>
      <c r="AB1076" s="1">
        <f t="shared" si="83"/>
        <v>7.279227898888542E-2</v>
      </c>
      <c r="AC1076" s="1" t="b">
        <f t="shared" si="84"/>
        <v>1</v>
      </c>
    </row>
    <row r="1077" spans="1:29" x14ac:dyDescent="0.25">
      <c r="A1077" s="1" t="s">
        <v>404</v>
      </c>
      <c r="B1077">
        <v>40</v>
      </c>
      <c r="D1077" s="2">
        <v>67520.3</v>
      </c>
      <c r="E1077">
        <v>26446</v>
      </c>
      <c r="F1077" t="s">
        <v>15</v>
      </c>
      <c r="G1077" t="s">
        <v>18</v>
      </c>
      <c r="H1077">
        <v>93967</v>
      </c>
      <c r="I1077" t="s">
        <v>17</v>
      </c>
      <c r="J1077" t="s">
        <v>18</v>
      </c>
      <c r="K1077">
        <v>26446.97</v>
      </c>
      <c r="L1077">
        <v>93967.4</v>
      </c>
      <c r="M1077">
        <v>11</v>
      </c>
      <c r="Y1077" s="1">
        <f t="shared" si="80"/>
        <v>1481.0350000000001</v>
      </c>
      <c r="Z1077" s="2">
        <f t="shared" si="81"/>
        <v>67520.3</v>
      </c>
      <c r="AA1077" s="2">
        <f t="shared" si="82"/>
        <v>67520.34894516335</v>
      </c>
      <c r="AB1077" s="1">
        <f t="shared" si="83"/>
        <v>7.2794987608383113E-2</v>
      </c>
      <c r="AC1077" s="1" t="b">
        <f t="shared" si="84"/>
        <v>1</v>
      </c>
    </row>
    <row r="1078" spans="1:29" x14ac:dyDescent="0.25">
      <c r="A1078" s="1" t="s">
        <v>405</v>
      </c>
      <c r="B1078">
        <v>3</v>
      </c>
      <c r="D1078" s="2">
        <v>67524.100000000006</v>
      </c>
      <c r="M1078">
        <v>11</v>
      </c>
      <c r="Y1078" s="1">
        <f t="shared" si="80"/>
        <v>1480.953</v>
      </c>
      <c r="Z1078" s="2">
        <f t="shared" si="81"/>
        <v>67524.100000000006</v>
      </c>
      <c r="AA1078" s="2">
        <f t="shared" si="82"/>
        <v>67524.08753012419</v>
      </c>
      <c r="AB1078" s="1">
        <f t="shared" si="83"/>
        <v>7.2797511983879362E-2</v>
      </c>
      <c r="AC1078" s="1" t="b">
        <f t="shared" si="84"/>
        <v>1</v>
      </c>
    </row>
    <row r="1079" spans="1:29" x14ac:dyDescent="0.25">
      <c r="A1079" s="1" t="s">
        <v>406</v>
      </c>
      <c r="B1079">
        <v>2</v>
      </c>
      <c r="D1079" s="2">
        <v>67543.5</v>
      </c>
      <c r="E1079">
        <v>27604</v>
      </c>
      <c r="F1079" t="s">
        <v>15</v>
      </c>
      <c r="G1079" t="s">
        <v>16</v>
      </c>
      <c r="H1079">
        <v>95147</v>
      </c>
      <c r="I1079" t="s">
        <v>17</v>
      </c>
      <c r="J1079" t="s">
        <v>16</v>
      </c>
      <c r="K1079">
        <v>27604.26</v>
      </c>
      <c r="L1079">
        <v>95147.9</v>
      </c>
      <c r="M1079">
        <v>11</v>
      </c>
      <c r="Y1079" s="1">
        <f t="shared" si="80"/>
        <v>1480.527</v>
      </c>
      <c r="Z1079" s="2">
        <f t="shared" si="81"/>
        <v>67543.5</v>
      </c>
      <c r="AA1079" s="2">
        <f t="shared" si="82"/>
        <v>67543.516599156923</v>
      </c>
      <c r="AB1079" s="1">
        <f t="shared" si="83"/>
        <v>7.2810633172902928E-2</v>
      </c>
      <c r="AC1079" s="1" t="b">
        <f t="shared" si="84"/>
        <v>1</v>
      </c>
    </row>
    <row r="1080" spans="1:29" x14ac:dyDescent="0.25">
      <c r="A1080" s="1" t="s">
        <v>407</v>
      </c>
      <c r="B1080">
        <v>10</v>
      </c>
      <c r="C1080" t="s">
        <v>123</v>
      </c>
      <c r="D1080" s="2">
        <v>67563.3</v>
      </c>
      <c r="M1080">
        <v>11</v>
      </c>
      <c r="Y1080" s="1">
        <f t="shared" si="80"/>
        <v>1480.0930000000001</v>
      </c>
      <c r="Z1080" s="2">
        <f t="shared" si="81"/>
        <v>67563.3</v>
      </c>
      <c r="AA1080" s="2">
        <f t="shared" si="82"/>
        <v>67563.322034493773</v>
      </c>
      <c r="AB1080" s="1">
        <f t="shared" si="83"/>
        <v>7.282401242168357E-2</v>
      </c>
      <c r="AC1080" s="1" t="b">
        <f t="shared" si="84"/>
        <v>1</v>
      </c>
    </row>
    <row r="1081" spans="1:29" x14ac:dyDescent="0.25">
      <c r="A1081" s="1" t="s">
        <v>408</v>
      </c>
      <c r="B1081">
        <v>10</v>
      </c>
      <c r="D1081" s="2">
        <v>67569.7</v>
      </c>
      <c r="M1081">
        <v>11</v>
      </c>
      <c r="Y1081" s="1">
        <f t="shared" si="80"/>
        <v>1479.953</v>
      </c>
      <c r="Z1081" s="2">
        <f t="shared" si="81"/>
        <v>67569.7</v>
      </c>
      <c r="AA1081" s="2">
        <f t="shared" si="82"/>
        <v>67569.713362518945</v>
      </c>
      <c r="AB1081" s="1">
        <f t="shared" si="83"/>
        <v>7.2828330819464854E-2</v>
      </c>
      <c r="AC1081" s="1" t="b">
        <f t="shared" si="84"/>
        <v>1</v>
      </c>
    </row>
    <row r="1082" spans="1:29" x14ac:dyDescent="0.25">
      <c r="A1082" s="1" t="s">
        <v>409</v>
      </c>
      <c r="B1082">
        <v>40</v>
      </c>
      <c r="D1082" s="2">
        <v>67572.7</v>
      </c>
      <c r="M1082">
        <v>11</v>
      </c>
      <c r="Y1082" s="1">
        <f t="shared" si="80"/>
        <v>1479.8869999999999</v>
      </c>
      <c r="Z1082" s="2">
        <f t="shared" si="81"/>
        <v>67572.7</v>
      </c>
      <c r="AA1082" s="2">
        <f t="shared" si="82"/>
        <v>67572.726836576039</v>
      </c>
      <c r="AB1082" s="1">
        <f t="shared" si="83"/>
        <v>7.2830367060652629E-2</v>
      </c>
      <c r="AC1082" s="1" t="b">
        <f t="shared" si="84"/>
        <v>1</v>
      </c>
    </row>
    <row r="1083" spans="1:29" x14ac:dyDescent="0.25">
      <c r="A1083" s="1" t="s">
        <v>410</v>
      </c>
      <c r="B1083">
        <v>2</v>
      </c>
      <c r="D1083" s="2">
        <v>67574.5</v>
      </c>
      <c r="E1083">
        <v>67870</v>
      </c>
      <c r="F1083" t="s">
        <v>17</v>
      </c>
      <c r="G1083" t="s">
        <v>16</v>
      </c>
      <c r="H1083">
        <v>135445</v>
      </c>
      <c r="I1083" t="s">
        <v>15</v>
      </c>
      <c r="J1083" t="s">
        <v>18</v>
      </c>
      <c r="K1083">
        <v>67870.759999999995</v>
      </c>
      <c r="L1083">
        <v>135445.20000000001</v>
      </c>
      <c r="M1083">
        <v>11</v>
      </c>
      <c r="Y1083" s="1">
        <f t="shared" si="80"/>
        <v>1479.8489999999999</v>
      </c>
      <c r="Z1083" s="2">
        <f t="shared" si="81"/>
        <v>67574.5</v>
      </c>
      <c r="AA1083" s="2">
        <f t="shared" si="82"/>
        <v>67574.461989027259</v>
      </c>
      <c r="AB1083" s="1">
        <f t="shared" si="83"/>
        <v>7.2831539565532455E-2</v>
      </c>
      <c r="AC1083" s="1" t="b">
        <f t="shared" si="84"/>
        <v>1</v>
      </c>
    </row>
    <row r="1084" spans="1:29" x14ac:dyDescent="0.25">
      <c r="A1084" s="1" t="s">
        <v>411</v>
      </c>
      <c r="B1084">
        <v>20</v>
      </c>
      <c r="D1084" s="2">
        <v>67581.5</v>
      </c>
      <c r="E1084">
        <v>65922</v>
      </c>
      <c r="F1084" t="s">
        <v>17</v>
      </c>
      <c r="G1084" t="s">
        <v>23</v>
      </c>
      <c r="H1084">
        <v>133503</v>
      </c>
      <c r="I1084" t="s">
        <v>15</v>
      </c>
      <c r="J1084" t="s">
        <v>23</v>
      </c>
      <c r="K1084">
        <v>65922.42</v>
      </c>
      <c r="L1084">
        <v>133503.9</v>
      </c>
      <c r="M1084">
        <v>11</v>
      </c>
      <c r="Y1084" s="1">
        <f t="shared" si="80"/>
        <v>1479.6949999999999</v>
      </c>
      <c r="Z1084" s="2">
        <f t="shared" si="81"/>
        <v>67581.5</v>
      </c>
      <c r="AA1084" s="2">
        <f t="shared" si="82"/>
        <v>67581.494835084261</v>
      </c>
      <c r="AB1084" s="1">
        <f t="shared" si="83"/>
        <v>7.2836292220722604E-2</v>
      </c>
      <c r="AC1084" s="1" t="b">
        <f t="shared" si="84"/>
        <v>1</v>
      </c>
    </row>
    <row r="1085" spans="1:29" x14ac:dyDescent="0.25">
      <c r="A1085" s="1" t="s">
        <v>412</v>
      </c>
      <c r="B1085">
        <v>10</v>
      </c>
      <c r="C1085" t="s">
        <v>124</v>
      </c>
      <c r="D1085" s="2">
        <v>67588.2</v>
      </c>
      <c r="M1085">
        <v>11</v>
      </c>
      <c r="Y1085" s="1">
        <f t="shared" si="80"/>
        <v>1479.549</v>
      </c>
      <c r="Z1085" s="2">
        <f t="shared" si="81"/>
        <v>67588.2</v>
      </c>
      <c r="AA1085" s="2">
        <f t="shared" si="82"/>
        <v>67588.163690421876</v>
      </c>
      <c r="AB1085" s="1">
        <f t="shared" si="83"/>
        <v>7.2840799355216312E-2</v>
      </c>
      <c r="AC1085" s="1" t="b">
        <f t="shared" si="84"/>
        <v>1</v>
      </c>
    </row>
    <row r="1086" spans="1:29" x14ac:dyDescent="0.25">
      <c r="A1086" s="1" t="s">
        <v>413</v>
      </c>
      <c r="B1086">
        <v>2</v>
      </c>
      <c r="D1086" s="2">
        <v>67599.5</v>
      </c>
      <c r="M1086">
        <v>11</v>
      </c>
      <c r="Y1086" s="1">
        <f t="shared" si="80"/>
        <v>1479.3</v>
      </c>
      <c r="Z1086" s="2">
        <f t="shared" si="81"/>
        <v>67599.5</v>
      </c>
      <c r="AA1086" s="2">
        <f t="shared" si="82"/>
        <v>67599.54032312581</v>
      </c>
      <c r="AB1086" s="1">
        <f t="shared" si="83"/>
        <v>7.2848489259489557E-2</v>
      </c>
      <c r="AC1086" s="1" t="b">
        <f t="shared" si="84"/>
        <v>1</v>
      </c>
    </row>
    <row r="1087" spans="1:29" x14ac:dyDescent="0.25">
      <c r="A1087" s="1" t="s">
        <v>414</v>
      </c>
      <c r="B1087">
        <v>10</v>
      </c>
      <c r="D1087" s="2">
        <v>67607</v>
      </c>
      <c r="E1087">
        <v>63593</v>
      </c>
      <c r="F1087" t="s">
        <v>17</v>
      </c>
      <c r="G1087" t="s">
        <v>16</v>
      </c>
      <c r="H1087">
        <v>131200</v>
      </c>
      <c r="I1087" t="s">
        <v>15</v>
      </c>
      <c r="J1087" t="s">
        <v>23</v>
      </c>
      <c r="K1087">
        <v>63593.35</v>
      </c>
      <c r="L1087">
        <v>131200.29999999999</v>
      </c>
      <c r="M1087">
        <v>11</v>
      </c>
      <c r="Y1087" s="1">
        <f t="shared" si="80"/>
        <v>1479.136</v>
      </c>
      <c r="Z1087" s="2">
        <f t="shared" si="81"/>
        <v>67607</v>
      </c>
      <c r="AA1087" s="2">
        <f t="shared" si="82"/>
        <v>67607.035458537954</v>
      </c>
      <c r="AB1087" s="1">
        <f t="shared" si="83"/>
        <v>7.285355621746005E-2</v>
      </c>
      <c r="AC1087" s="1" t="b">
        <f t="shared" si="84"/>
        <v>1</v>
      </c>
    </row>
    <row r="1088" spans="1:29" x14ac:dyDescent="0.25">
      <c r="A1088" s="1" t="s">
        <v>415</v>
      </c>
      <c r="B1088">
        <v>20</v>
      </c>
      <c r="D1088" s="2">
        <v>67609.399999999994</v>
      </c>
      <c r="M1088">
        <v>11</v>
      </c>
      <c r="Y1088" s="1">
        <f t="shared" si="80"/>
        <v>1479.0830000000001</v>
      </c>
      <c r="Z1088" s="2">
        <f t="shared" si="81"/>
        <v>67609.399999999994</v>
      </c>
      <c r="AA1088" s="2">
        <f t="shared" si="82"/>
        <v>67609.458022301653</v>
      </c>
      <c r="AB1088" s="1">
        <f t="shared" si="83"/>
        <v>7.2855194070346851E-2</v>
      </c>
      <c r="AC1088" s="1" t="b">
        <f t="shared" si="84"/>
        <v>1</v>
      </c>
    </row>
    <row r="1089" spans="1:29" x14ac:dyDescent="0.25">
      <c r="A1089" s="1" t="s">
        <v>416</v>
      </c>
      <c r="B1089">
        <v>2</v>
      </c>
      <c r="D1089" s="2">
        <v>67614.399999999994</v>
      </c>
      <c r="M1089">
        <v>11</v>
      </c>
      <c r="Y1089" s="1">
        <f t="shared" si="80"/>
        <v>1478.9739999999999</v>
      </c>
      <c r="Z1089" s="2">
        <f t="shared" si="81"/>
        <v>67614.399999999994</v>
      </c>
      <c r="AA1089" s="2">
        <f t="shared" si="82"/>
        <v>67614.440821812968</v>
      </c>
      <c r="AB1089" s="1">
        <f t="shared" si="83"/>
        <v>7.2858563038232238E-2</v>
      </c>
      <c r="AC1089" s="1" t="b">
        <f t="shared" si="84"/>
        <v>1</v>
      </c>
    </row>
    <row r="1090" spans="1:29" x14ac:dyDescent="0.25">
      <c r="A1090" s="1" t="s">
        <v>417</v>
      </c>
      <c r="B1090">
        <v>5</v>
      </c>
      <c r="D1090" s="2">
        <v>67620.800000000003</v>
      </c>
      <c r="M1090">
        <v>11</v>
      </c>
      <c r="Y1090" s="1">
        <f t="shared" si="80"/>
        <v>1478.835</v>
      </c>
      <c r="Z1090" s="2">
        <f t="shared" si="81"/>
        <v>67620.800000000003</v>
      </c>
      <c r="AA1090" s="2">
        <f t="shared" si="82"/>
        <v>67620.796099632484</v>
      </c>
      <c r="AB1090" s="1">
        <f t="shared" si="83"/>
        <v>7.2862860325740353E-2</v>
      </c>
      <c r="AC1090" s="1" t="b">
        <f t="shared" si="84"/>
        <v>1</v>
      </c>
    </row>
    <row r="1091" spans="1:29" x14ac:dyDescent="0.25">
      <c r="A1091" s="1" t="s">
        <v>418</v>
      </c>
      <c r="B1091">
        <v>3</v>
      </c>
      <c r="D1091" s="2">
        <v>67630.7</v>
      </c>
      <c r="E1091">
        <v>68238</v>
      </c>
      <c r="F1091" t="s">
        <v>17</v>
      </c>
      <c r="G1091" t="s">
        <v>23</v>
      </c>
      <c r="H1091">
        <v>135868</v>
      </c>
      <c r="I1091" t="s">
        <v>15</v>
      </c>
      <c r="J1091" t="s">
        <v>16</v>
      </c>
      <c r="K1091">
        <v>68238.12</v>
      </c>
      <c r="L1091">
        <v>135868.79999999999</v>
      </c>
      <c r="M1091">
        <v>11</v>
      </c>
      <c r="Y1091" s="1">
        <f t="shared" ref="Y1091:Y1154" si="85">ROUND($A1091,3)+0</f>
        <v>1478.6179999999999</v>
      </c>
      <c r="Z1091" s="2">
        <f t="shared" ref="Z1091:Z1154" si="86">ROUND($D1091,1)+0</f>
        <v>67630.7</v>
      </c>
      <c r="AA1091" s="2">
        <f t="shared" ref="AA1091:AA1154" si="87">100000000/Y1091</f>
        <v>67630.720037223946</v>
      </c>
      <c r="AB1091" s="1">
        <f t="shared" ref="AB1091:AB1154" si="88">0.0005/$Y1091*AA1091+0.05</f>
        <v>7.2869571463766825E-2</v>
      </c>
      <c r="AC1091" s="1" t="b">
        <f t="shared" ref="AC1091:AC1154" si="89">ABS(Z1091-AA1091)&lt;AB1091</f>
        <v>1</v>
      </c>
    </row>
    <row r="1092" spans="1:29" x14ac:dyDescent="0.25">
      <c r="A1092" s="1" t="s">
        <v>419</v>
      </c>
      <c r="B1092">
        <v>8</v>
      </c>
      <c r="D1092" s="2">
        <v>67632.800000000003</v>
      </c>
      <c r="E1092">
        <v>63593</v>
      </c>
      <c r="F1092" t="s">
        <v>17</v>
      </c>
      <c r="G1092" t="s">
        <v>16</v>
      </c>
      <c r="H1092">
        <v>131226</v>
      </c>
      <c r="I1092" t="s">
        <v>15</v>
      </c>
      <c r="J1092" t="s">
        <v>16</v>
      </c>
      <c r="K1092">
        <v>63593.35</v>
      </c>
      <c r="L1092">
        <v>131226.29999999999</v>
      </c>
      <c r="M1092">
        <v>11</v>
      </c>
      <c r="Y1092" s="1">
        <f t="shared" si="85"/>
        <v>1478.5719999999999</v>
      </c>
      <c r="Z1092" s="2">
        <f t="shared" si="86"/>
        <v>67632.800000000003</v>
      </c>
      <c r="AA1092" s="2">
        <f t="shared" si="87"/>
        <v>67632.824103256396</v>
      </c>
      <c r="AB1092" s="1">
        <f t="shared" si="88"/>
        <v>7.2870994480910098E-2</v>
      </c>
      <c r="AC1092" s="1" t="b">
        <f t="shared" si="89"/>
        <v>1</v>
      </c>
    </row>
    <row r="1093" spans="1:29" x14ac:dyDescent="0.25">
      <c r="A1093" s="1" t="s">
        <v>420</v>
      </c>
      <c r="B1093">
        <v>20</v>
      </c>
      <c r="D1093" s="2">
        <v>67634.899999999994</v>
      </c>
      <c r="M1093">
        <v>11</v>
      </c>
      <c r="Y1093" s="1">
        <f t="shared" si="85"/>
        <v>1478.527</v>
      </c>
      <c r="Z1093" s="2">
        <f t="shared" si="86"/>
        <v>67634.899999999994</v>
      </c>
      <c r="AA1093" s="2">
        <f t="shared" si="87"/>
        <v>67634.882555408185</v>
      </c>
      <c r="AB1093" s="1">
        <f t="shared" si="88"/>
        <v>7.2872386691419294E-2</v>
      </c>
      <c r="AC1093" s="1" t="b">
        <f t="shared" si="89"/>
        <v>1</v>
      </c>
    </row>
    <row r="1094" spans="1:29" x14ac:dyDescent="0.25">
      <c r="A1094" s="1" t="s">
        <v>421</v>
      </c>
      <c r="B1094">
        <v>10</v>
      </c>
      <c r="D1094" s="2">
        <v>67639</v>
      </c>
      <c r="E1094">
        <v>19872</v>
      </c>
      <c r="F1094" t="s">
        <v>15</v>
      </c>
      <c r="G1094" t="s">
        <v>18</v>
      </c>
      <c r="H1094">
        <v>87511</v>
      </c>
      <c r="I1094" t="s">
        <v>17</v>
      </c>
      <c r="J1094" t="s">
        <v>18</v>
      </c>
      <c r="K1094">
        <v>19872.43</v>
      </c>
      <c r="L1094">
        <v>87511.6</v>
      </c>
      <c r="M1094">
        <v>11</v>
      </c>
      <c r="Y1094" s="1">
        <f t="shared" si="85"/>
        <v>1478.4359999999999</v>
      </c>
      <c r="Z1094" s="2">
        <f t="shared" si="86"/>
        <v>67639</v>
      </c>
      <c r="AA1094" s="2">
        <f t="shared" si="87"/>
        <v>67639.045586011169</v>
      </c>
      <c r="AB1094" s="1">
        <f t="shared" si="88"/>
        <v>7.2875202438932488E-2</v>
      </c>
      <c r="AC1094" s="1" t="b">
        <f t="shared" si="89"/>
        <v>1</v>
      </c>
    </row>
    <row r="1095" spans="1:29" x14ac:dyDescent="0.25">
      <c r="A1095" s="1" t="s">
        <v>422</v>
      </c>
      <c r="B1095">
        <v>20</v>
      </c>
      <c r="D1095" s="2">
        <v>67644.2</v>
      </c>
      <c r="M1095">
        <v>11</v>
      </c>
      <c r="Y1095" s="1">
        <f t="shared" si="85"/>
        <v>1478.3240000000001</v>
      </c>
      <c r="Z1095" s="2">
        <f t="shared" si="86"/>
        <v>67644.2</v>
      </c>
      <c r="AA1095" s="2">
        <f t="shared" si="87"/>
        <v>67644.170019562691</v>
      </c>
      <c r="AB1095" s="1">
        <f t="shared" si="88"/>
        <v>7.2878668688177523E-2</v>
      </c>
      <c r="AC1095" s="1" t="b">
        <f t="shared" si="89"/>
        <v>1</v>
      </c>
    </row>
    <row r="1096" spans="1:29" x14ac:dyDescent="0.25">
      <c r="A1096" s="1" t="s">
        <v>423</v>
      </c>
      <c r="B1096">
        <v>10</v>
      </c>
      <c r="D1096" s="2">
        <v>67647.399999999994</v>
      </c>
      <c r="M1096">
        <v>11</v>
      </c>
      <c r="Y1096" s="1">
        <f t="shared" si="85"/>
        <v>1478.2529999999999</v>
      </c>
      <c r="Z1096" s="2">
        <f t="shared" si="86"/>
        <v>67647.399999999994</v>
      </c>
      <c r="AA1096" s="2">
        <f t="shared" si="87"/>
        <v>67647.418946553807</v>
      </c>
      <c r="AB1096" s="1">
        <f t="shared" si="88"/>
        <v>7.2880866450652837E-2</v>
      </c>
      <c r="AC1096" s="1" t="b">
        <f t="shared" si="89"/>
        <v>1</v>
      </c>
    </row>
    <row r="1097" spans="1:29" x14ac:dyDescent="0.25">
      <c r="A1097" s="1" t="s">
        <v>424</v>
      </c>
      <c r="B1097">
        <v>100</v>
      </c>
      <c r="D1097" s="2">
        <v>67653.5</v>
      </c>
      <c r="E1097">
        <v>24788</v>
      </c>
      <c r="F1097" t="s">
        <v>15</v>
      </c>
      <c r="G1097" t="s">
        <v>16</v>
      </c>
      <c r="H1097">
        <v>92441</v>
      </c>
      <c r="I1097" t="s">
        <v>17</v>
      </c>
      <c r="J1097" t="s">
        <v>18</v>
      </c>
      <c r="K1097">
        <v>24788.02</v>
      </c>
      <c r="L1097">
        <v>92441.7</v>
      </c>
      <c r="M1097">
        <v>11</v>
      </c>
      <c r="Y1097" s="1">
        <f t="shared" si="85"/>
        <v>1478.12</v>
      </c>
      <c r="Z1097" s="2">
        <f t="shared" si="86"/>
        <v>67653.5</v>
      </c>
      <c r="AA1097" s="2">
        <f t="shared" si="87"/>
        <v>67653.5058046708</v>
      </c>
      <c r="AB1097" s="1">
        <f t="shared" si="88"/>
        <v>7.2884984238313133E-2</v>
      </c>
      <c r="AC1097" s="1" t="b">
        <f t="shared" si="89"/>
        <v>1</v>
      </c>
    </row>
    <row r="1098" spans="1:29" x14ac:dyDescent="0.25">
      <c r="A1098" s="1" t="s">
        <v>425</v>
      </c>
      <c r="B1098">
        <v>20</v>
      </c>
      <c r="D1098" s="2">
        <v>67656.800000000003</v>
      </c>
      <c r="M1098">
        <v>11</v>
      </c>
      <c r="Y1098" s="1">
        <f t="shared" si="85"/>
        <v>1478.048</v>
      </c>
      <c r="Z1098" s="2">
        <f t="shared" si="86"/>
        <v>67656.800000000003</v>
      </c>
      <c r="AA1098" s="2">
        <f t="shared" si="87"/>
        <v>67656.801402931436</v>
      </c>
      <c r="AB1098" s="1">
        <f t="shared" si="88"/>
        <v>7.2887213880378526E-2</v>
      </c>
      <c r="AC1098" s="1" t="b">
        <f t="shared" si="89"/>
        <v>1</v>
      </c>
    </row>
    <row r="1099" spans="1:29" x14ac:dyDescent="0.25">
      <c r="A1099" s="1" t="s">
        <v>426</v>
      </c>
      <c r="B1099">
        <v>20</v>
      </c>
      <c r="C1099" t="s">
        <v>124</v>
      </c>
      <c r="D1099" s="2">
        <v>67660</v>
      </c>
      <c r="M1099">
        <v>11</v>
      </c>
      <c r="Y1099" s="1">
        <f t="shared" si="85"/>
        <v>1477.9770000000001</v>
      </c>
      <c r="Z1099" s="2">
        <f t="shared" si="86"/>
        <v>67660</v>
      </c>
      <c r="AA1099" s="2">
        <f t="shared" si="87"/>
        <v>67660.051543427267</v>
      </c>
      <c r="AB1099" s="1">
        <f t="shared" si="88"/>
        <v>7.2889412874296178E-2</v>
      </c>
      <c r="AC1099" s="1" t="b">
        <f t="shared" si="89"/>
        <v>1</v>
      </c>
    </row>
    <row r="1100" spans="1:29" x14ac:dyDescent="0.25">
      <c r="A1100" s="1" t="s">
        <v>427</v>
      </c>
      <c r="B1100">
        <v>8</v>
      </c>
      <c r="D1100" s="2">
        <v>67675</v>
      </c>
      <c r="M1100">
        <v>11</v>
      </c>
      <c r="Y1100" s="1">
        <f t="shared" si="85"/>
        <v>1477.65</v>
      </c>
      <c r="Z1100" s="2">
        <f t="shared" si="86"/>
        <v>67675</v>
      </c>
      <c r="AA1100" s="2">
        <f t="shared" si="87"/>
        <v>67675.024532196388</v>
      </c>
      <c r="AB1100" s="1">
        <f t="shared" si="88"/>
        <v>7.2899544727166921E-2</v>
      </c>
      <c r="AC1100" s="1" t="b">
        <f t="shared" si="89"/>
        <v>1</v>
      </c>
    </row>
    <row r="1101" spans="1:29" x14ac:dyDescent="0.25">
      <c r="A1101" s="1" t="s">
        <v>428</v>
      </c>
      <c r="B1101">
        <v>6</v>
      </c>
      <c r="D1101" s="2">
        <v>67679.199999999997</v>
      </c>
      <c r="M1101">
        <v>12</v>
      </c>
      <c r="Y1101" s="1">
        <f t="shared" si="85"/>
        <v>1477.559</v>
      </c>
      <c r="Z1101" s="2">
        <f t="shared" si="86"/>
        <v>67679.199999999997</v>
      </c>
      <c r="AA1101" s="2">
        <f t="shared" si="87"/>
        <v>67679.192506018371</v>
      </c>
      <c r="AB1101" s="1">
        <f t="shared" si="88"/>
        <v>7.2902365491333471E-2</v>
      </c>
      <c r="AC1101" s="1" t="b">
        <f t="shared" si="89"/>
        <v>1</v>
      </c>
    </row>
    <row r="1102" spans="1:29" x14ac:dyDescent="0.25">
      <c r="A1102" s="1" t="s">
        <v>429</v>
      </c>
      <c r="B1102">
        <v>3</v>
      </c>
      <c r="D1102" s="2">
        <v>67681.600000000006</v>
      </c>
      <c r="M1102">
        <v>12</v>
      </c>
      <c r="Y1102" s="1">
        <f t="shared" si="85"/>
        <v>1477.5060000000001</v>
      </c>
      <c r="Z1102" s="2">
        <f t="shared" si="86"/>
        <v>67681.600000000006</v>
      </c>
      <c r="AA1102" s="2">
        <f t="shared" si="87"/>
        <v>67681.620243843339</v>
      </c>
      <c r="AB1102" s="1">
        <f t="shared" si="88"/>
        <v>7.2904008594159131E-2</v>
      </c>
      <c r="AC1102" s="1" t="b">
        <f t="shared" si="89"/>
        <v>1</v>
      </c>
    </row>
    <row r="1103" spans="1:29" x14ac:dyDescent="0.25">
      <c r="A1103" s="1" t="s">
        <v>430</v>
      </c>
      <c r="B1103">
        <v>15</v>
      </c>
      <c r="D1103" s="2">
        <v>67699.8</v>
      </c>
      <c r="M1103">
        <v>12</v>
      </c>
      <c r="Y1103" s="1">
        <f t="shared" si="85"/>
        <v>1477.1089999999999</v>
      </c>
      <c r="Z1103" s="2">
        <f t="shared" si="86"/>
        <v>67699.8</v>
      </c>
      <c r="AA1103" s="2">
        <f t="shared" si="87"/>
        <v>67699.810914428119</v>
      </c>
      <c r="AB1103" s="1">
        <f t="shared" si="88"/>
        <v>7.2916321989246607E-2</v>
      </c>
      <c r="AC1103" s="1" t="b">
        <f t="shared" si="89"/>
        <v>1</v>
      </c>
    </row>
    <row r="1104" spans="1:29" x14ac:dyDescent="0.25">
      <c r="A1104" s="1" t="s">
        <v>431</v>
      </c>
      <c r="B1104">
        <v>7</v>
      </c>
      <c r="D1104" s="2">
        <v>67702.7</v>
      </c>
      <c r="M1104">
        <v>12</v>
      </c>
      <c r="Y1104" s="1">
        <f t="shared" si="85"/>
        <v>1477.046</v>
      </c>
      <c r="Z1104" s="2">
        <f t="shared" si="86"/>
        <v>67702.7</v>
      </c>
      <c r="AA1104" s="2">
        <f t="shared" si="87"/>
        <v>67702.698494156575</v>
      </c>
      <c r="AB1104" s="1">
        <f t="shared" si="88"/>
        <v>7.2918276916953365E-2</v>
      </c>
      <c r="AC1104" s="1" t="b">
        <f t="shared" si="89"/>
        <v>1</v>
      </c>
    </row>
    <row r="1105" spans="1:29" x14ac:dyDescent="0.25">
      <c r="A1105" s="1" t="s">
        <v>432</v>
      </c>
      <c r="B1105">
        <v>30</v>
      </c>
      <c r="D1105" s="2">
        <v>67712</v>
      </c>
      <c r="E1105">
        <v>45844</v>
      </c>
      <c r="F1105" t="s">
        <v>15</v>
      </c>
      <c r="G1105" t="s">
        <v>29</v>
      </c>
      <c r="H1105">
        <v>113556</v>
      </c>
      <c r="I1105" t="s">
        <v>17</v>
      </c>
      <c r="J1105" t="s">
        <v>28</v>
      </c>
      <c r="K1105">
        <v>45844.65</v>
      </c>
      <c r="L1105">
        <v>113556.8</v>
      </c>
      <c r="M1105">
        <v>12</v>
      </c>
      <c r="Y1105" s="1">
        <f t="shared" si="85"/>
        <v>1476.8430000000001</v>
      </c>
      <c r="Z1105" s="2">
        <f t="shared" si="86"/>
        <v>67712</v>
      </c>
      <c r="AA1105" s="2">
        <f t="shared" si="87"/>
        <v>67712.004593582387</v>
      </c>
      <c r="AB1105" s="1">
        <f t="shared" si="88"/>
        <v>7.2924577830406623E-2</v>
      </c>
      <c r="AC1105" s="1" t="b">
        <f t="shared" si="89"/>
        <v>1</v>
      </c>
    </row>
    <row r="1106" spans="1:29" x14ac:dyDescent="0.25">
      <c r="A1106" s="1" t="s">
        <v>433</v>
      </c>
      <c r="B1106">
        <v>2</v>
      </c>
      <c r="D1106" s="2">
        <v>67724.7</v>
      </c>
      <c r="M1106">
        <v>12</v>
      </c>
      <c r="Y1106" s="1">
        <f t="shared" si="85"/>
        <v>1476.566</v>
      </c>
      <c r="Z1106" s="2">
        <f t="shared" si="86"/>
        <v>67724.7</v>
      </c>
      <c r="AA1106" s="2">
        <f t="shared" si="87"/>
        <v>67724.707192228452</v>
      </c>
      <c r="AB1106" s="1">
        <f t="shared" si="88"/>
        <v>7.2933179821365407E-2</v>
      </c>
      <c r="AC1106" s="1" t="b">
        <f t="shared" si="89"/>
        <v>1</v>
      </c>
    </row>
    <row r="1107" spans="1:29" x14ac:dyDescent="0.25">
      <c r="A1107" s="1" t="s">
        <v>434</v>
      </c>
      <c r="B1107">
        <v>10</v>
      </c>
      <c r="D1107" s="2">
        <v>67727</v>
      </c>
      <c r="M1107">
        <v>12</v>
      </c>
      <c r="Y1107" s="1">
        <f t="shared" si="85"/>
        <v>1476.5160000000001</v>
      </c>
      <c r="Z1107" s="2">
        <f t="shared" si="86"/>
        <v>67727</v>
      </c>
      <c r="AA1107" s="2">
        <f t="shared" si="87"/>
        <v>67727.000587870367</v>
      </c>
      <c r="AB1107" s="1">
        <f t="shared" si="88"/>
        <v>7.293473304314696E-2</v>
      </c>
      <c r="AC1107" s="1" t="b">
        <f t="shared" si="89"/>
        <v>1</v>
      </c>
    </row>
    <row r="1108" spans="1:29" x14ac:dyDescent="0.25">
      <c r="A1108" s="1" t="s">
        <v>435</v>
      </c>
      <c r="B1108">
        <v>200</v>
      </c>
      <c r="D1108" s="2">
        <v>67738.100000000006</v>
      </c>
      <c r="M1108">
        <v>12</v>
      </c>
      <c r="Y1108" s="1">
        <f t="shared" si="85"/>
        <v>1476.2739999999999</v>
      </c>
      <c r="Z1108" s="2">
        <f t="shared" si="86"/>
        <v>67738.100000000006</v>
      </c>
      <c r="AA1108" s="2">
        <f t="shared" si="87"/>
        <v>67738.102818311512</v>
      </c>
      <c r="AB1108" s="1">
        <f t="shared" si="88"/>
        <v>7.2942252867120722E-2</v>
      </c>
      <c r="AC1108" s="1" t="b">
        <f t="shared" si="89"/>
        <v>1</v>
      </c>
    </row>
    <row r="1109" spans="1:29" x14ac:dyDescent="0.25">
      <c r="A1109" s="1" t="s">
        <v>436</v>
      </c>
      <c r="B1109">
        <v>4</v>
      </c>
      <c r="D1109" s="2">
        <v>67759.8</v>
      </c>
      <c r="M1109">
        <v>12</v>
      </c>
      <c r="Y1109" s="1">
        <f t="shared" si="85"/>
        <v>1475.8009999999999</v>
      </c>
      <c r="Z1109" s="2">
        <f t="shared" si="86"/>
        <v>67759.8</v>
      </c>
      <c r="AA1109" s="2">
        <f t="shared" si="87"/>
        <v>67759.813145539272</v>
      </c>
      <c r="AB1109" s="1">
        <f t="shared" si="88"/>
        <v>7.2956961387591987E-2</v>
      </c>
      <c r="AC1109" s="1" t="b">
        <f t="shared" si="89"/>
        <v>1</v>
      </c>
    </row>
    <row r="1110" spans="1:29" x14ac:dyDescent="0.25">
      <c r="A1110" s="1" t="s">
        <v>437</v>
      </c>
      <c r="B1110">
        <v>10</v>
      </c>
      <c r="D1110" s="2">
        <v>67764.399999999994</v>
      </c>
      <c r="M1110">
        <v>12</v>
      </c>
      <c r="Y1110" s="1">
        <f t="shared" si="85"/>
        <v>1475.7</v>
      </c>
      <c r="Z1110" s="2">
        <f t="shared" si="86"/>
        <v>67764.399999999994</v>
      </c>
      <c r="AA1110" s="2">
        <f t="shared" si="87"/>
        <v>67764.450769126517</v>
      </c>
      <c r="AB1110" s="1">
        <f t="shared" si="88"/>
        <v>7.2960103940206855E-2</v>
      </c>
      <c r="AC1110" s="1" t="b">
        <f t="shared" si="89"/>
        <v>1</v>
      </c>
    </row>
    <row r="1111" spans="1:29" x14ac:dyDescent="0.25">
      <c r="A1111" s="1" t="s">
        <v>438</v>
      </c>
      <c r="B1111">
        <v>10</v>
      </c>
      <c r="D1111" s="2">
        <v>67770.8</v>
      </c>
      <c r="M1111">
        <v>12</v>
      </c>
      <c r="Y1111" s="1">
        <f t="shared" si="85"/>
        <v>1475.5619999999999</v>
      </c>
      <c r="Z1111" s="2">
        <f t="shared" si="86"/>
        <v>67770.8</v>
      </c>
      <c r="AA1111" s="2">
        <f t="shared" si="87"/>
        <v>67770.788350472576</v>
      </c>
      <c r="AB1111" s="1">
        <f t="shared" si="88"/>
        <v>7.2964398768222749E-2</v>
      </c>
      <c r="AC1111" s="1" t="b">
        <f t="shared" si="89"/>
        <v>1</v>
      </c>
    </row>
    <row r="1112" spans="1:29" x14ac:dyDescent="0.25">
      <c r="A1112" s="1" t="s">
        <v>439</v>
      </c>
      <c r="B1112">
        <v>20</v>
      </c>
      <c r="C1112" t="s">
        <v>123</v>
      </c>
      <c r="D1112" s="2">
        <v>67773.3</v>
      </c>
      <c r="M1112">
        <v>12</v>
      </c>
      <c r="Y1112" s="1">
        <f t="shared" si="85"/>
        <v>1475.508</v>
      </c>
      <c r="Z1112" s="2">
        <f t="shared" si="86"/>
        <v>67773.3</v>
      </c>
      <c r="AA1112" s="2">
        <f t="shared" si="87"/>
        <v>67773.268596307171</v>
      </c>
      <c r="AB1112" s="1">
        <f t="shared" si="88"/>
        <v>7.2966079681135984E-2</v>
      </c>
      <c r="AC1112" s="1" t="b">
        <f t="shared" si="89"/>
        <v>1</v>
      </c>
    </row>
    <row r="1113" spans="1:29" x14ac:dyDescent="0.25">
      <c r="A1113" s="1" t="s">
        <v>440</v>
      </c>
      <c r="B1113">
        <v>200</v>
      </c>
      <c r="D1113" s="2">
        <v>67777.7</v>
      </c>
      <c r="M1113">
        <v>12</v>
      </c>
      <c r="Y1113" s="1">
        <f t="shared" si="85"/>
        <v>1475.4110000000001</v>
      </c>
      <c r="Z1113" s="2">
        <f t="shared" si="86"/>
        <v>67777.7</v>
      </c>
      <c r="AA1113" s="2">
        <f t="shared" si="87"/>
        <v>67777.724308684148</v>
      </c>
      <c r="AB1113" s="1">
        <f t="shared" si="88"/>
        <v>7.2969099562319978E-2</v>
      </c>
      <c r="AC1113" s="1" t="b">
        <f t="shared" si="89"/>
        <v>1</v>
      </c>
    </row>
    <row r="1114" spans="1:29" x14ac:dyDescent="0.25">
      <c r="A1114" s="1" t="s">
        <v>441</v>
      </c>
      <c r="B1114">
        <v>50</v>
      </c>
      <c r="D1114" s="2">
        <v>67838.3</v>
      </c>
      <c r="M1114">
        <v>12</v>
      </c>
      <c r="Y1114" s="1">
        <f t="shared" si="85"/>
        <v>1474.0940000000001</v>
      </c>
      <c r="Z1114" s="2">
        <f t="shared" si="86"/>
        <v>67838.3</v>
      </c>
      <c r="AA1114" s="2">
        <f t="shared" si="87"/>
        <v>67838.278969997846</v>
      </c>
      <c r="AB1114" s="1">
        <f t="shared" si="88"/>
        <v>7.3010160468056265E-2</v>
      </c>
      <c r="AC1114" s="1" t="b">
        <f t="shared" si="89"/>
        <v>1</v>
      </c>
    </row>
    <row r="1115" spans="1:29" x14ac:dyDescent="0.25">
      <c r="A1115" s="1" t="s">
        <v>442</v>
      </c>
      <c r="B1115">
        <v>100</v>
      </c>
      <c r="D1115" s="2">
        <v>67842</v>
      </c>
      <c r="M1115">
        <v>12</v>
      </c>
      <c r="Y1115" s="1">
        <f t="shared" si="85"/>
        <v>1474.0129999999999</v>
      </c>
      <c r="Z1115" s="2">
        <f t="shared" si="86"/>
        <v>67842</v>
      </c>
      <c r="AA1115" s="2">
        <f t="shared" si="87"/>
        <v>67842.006820835362</v>
      </c>
      <c r="AB1115" s="1">
        <f t="shared" si="88"/>
        <v>7.3012689447391366E-2</v>
      </c>
      <c r="AC1115" s="1" t="b">
        <f t="shared" si="89"/>
        <v>1</v>
      </c>
    </row>
    <row r="1116" spans="1:29" x14ac:dyDescent="0.25">
      <c r="A1116" s="1" t="s">
        <v>443</v>
      </c>
      <c r="B1116">
        <v>200</v>
      </c>
      <c r="C1116" t="s">
        <v>125</v>
      </c>
      <c r="D1116" s="2">
        <v>67851</v>
      </c>
      <c r="M1116">
        <v>12</v>
      </c>
      <c r="Y1116" s="1">
        <f t="shared" si="85"/>
        <v>1473.818</v>
      </c>
      <c r="Z1116" s="2">
        <f t="shared" si="86"/>
        <v>67851</v>
      </c>
      <c r="AA1116" s="2">
        <f t="shared" si="87"/>
        <v>67850.982957190106</v>
      </c>
      <c r="AB1116" s="1">
        <f t="shared" si="88"/>
        <v>7.3018779441284515E-2</v>
      </c>
      <c r="AC1116" s="1" t="b">
        <f t="shared" si="89"/>
        <v>1</v>
      </c>
    </row>
    <row r="1117" spans="1:29" x14ac:dyDescent="0.25">
      <c r="A1117" s="1" t="s">
        <v>444</v>
      </c>
      <c r="B1117">
        <v>4</v>
      </c>
      <c r="C1117" t="s">
        <v>123</v>
      </c>
      <c r="D1117" s="2">
        <v>67855.5</v>
      </c>
      <c r="M1117">
        <v>12</v>
      </c>
      <c r="Y1117" s="1">
        <f t="shared" si="85"/>
        <v>1473.72</v>
      </c>
      <c r="Z1117" s="2">
        <f t="shared" si="86"/>
        <v>67855.5</v>
      </c>
      <c r="AA1117" s="2">
        <f t="shared" si="87"/>
        <v>67855.494937980082</v>
      </c>
      <c r="AB1117" s="1">
        <f t="shared" si="88"/>
        <v>7.3021840966391208E-2</v>
      </c>
      <c r="AC1117" s="1" t="b">
        <f t="shared" si="89"/>
        <v>1</v>
      </c>
    </row>
    <row r="1118" spans="1:29" x14ac:dyDescent="0.25">
      <c r="A1118" s="1" t="s">
        <v>445</v>
      </c>
      <c r="B1118">
        <v>2</v>
      </c>
      <c r="D1118" s="2">
        <v>67871.899999999994</v>
      </c>
      <c r="M1118">
        <v>12</v>
      </c>
      <c r="Y1118" s="1">
        <f t="shared" si="85"/>
        <v>1473.364</v>
      </c>
      <c r="Z1118" s="2">
        <f t="shared" si="86"/>
        <v>67871.899999999994</v>
      </c>
      <c r="AA1118" s="2">
        <f t="shared" si="87"/>
        <v>67871.890449339058</v>
      </c>
      <c r="AB1118" s="1">
        <f t="shared" si="88"/>
        <v>7.303296756583541E-2</v>
      </c>
      <c r="AC1118" s="1" t="b">
        <f t="shared" si="89"/>
        <v>1</v>
      </c>
    </row>
    <row r="1119" spans="1:29" x14ac:dyDescent="0.25">
      <c r="A1119" s="1" t="s">
        <v>446</v>
      </c>
      <c r="B1119">
        <v>2</v>
      </c>
      <c r="D1119" s="2">
        <v>67881.5</v>
      </c>
      <c r="E1119">
        <v>22747</v>
      </c>
      <c r="F1119" t="s">
        <v>15</v>
      </c>
      <c r="G1119" t="s">
        <v>16</v>
      </c>
      <c r="H1119">
        <v>90629</v>
      </c>
      <c r="I1119" t="s">
        <v>17</v>
      </c>
      <c r="J1119" t="s">
        <v>16</v>
      </c>
      <c r="K1119">
        <v>22747.69</v>
      </c>
      <c r="L1119">
        <v>90629.2</v>
      </c>
      <c r="M1119">
        <v>12</v>
      </c>
      <c r="Y1119" s="1">
        <f t="shared" si="85"/>
        <v>1473.155</v>
      </c>
      <c r="Z1119" s="2">
        <f t="shared" si="86"/>
        <v>67881.5</v>
      </c>
      <c r="AA1119" s="2">
        <f t="shared" si="87"/>
        <v>67881.519595697668</v>
      </c>
      <c r="AB1119" s="1">
        <f t="shared" si="88"/>
        <v>7.3039503513105439E-2</v>
      </c>
      <c r="AC1119" s="1" t="b">
        <f t="shared" si="89"/>
        <v>1</v>
      </c>
    </row>
    <row r="1120" spans="1:29" x14ac:dyDescent="0.25">
      <c r="A1120" s="1" t="s">
        <v>447</v>
      </c>
      <c r="B1120">
        <v>1</v>
      </c>
      <c r="D1120" s="2">
        <v>67888.899999999994</v>
      </c>
      <c r="M1120">
        <v>12</v>
      </c>
      <c r="Y1120" s="1">
        <f t="shared" si="85"/>
        <v>1472.9949999999999</v>
      </c>
      <c r="Z1120" s="2">
        <f t="shared" si="86"/>
        <v>67888.899999999994</v>
      </c>
      <c r="AA1120" s="2">
        <f t="shared" si="87"/>
        <v>67888.893037654576</v>
      </c>
      <c r="AB1120" s="1">
        <f t="shared" si="88"/>
        <v>7.3044508989390522E-2</v>
      </c>
      <c r="AC1120" s="1" t="b">
        <f t="shared" si="89"/>
        <v>1</v>
      </c>
    </row>
    <row r="1121" spans="1:29" x14ac:dyDescent="0.25">
      <c r="A1121" s="1" t="s">
        <v>448</v>
      </c>
      <c r="B1121">
        <v>1</v>
      </c>
      <c r="D1121" s="2">
        <v>67913.7</v>
      </c>
      <c r="M1121">
        <v>12</v>
      </c>
      <c r="Y1121" s="1">
        <f t="shared" si="85"/>
        <v>1472.4559999999999</v>
      </c>
      <c r="Z1121" s="2">
        <f t="shared" si="86"/>
        <v>67913.7</v>
      </c>
      <c r="AA1121" s="2">
        <f t="shared" si="87"/>
        <v>67913.74411187839</v>
      </c>
      <c r="AB1121" s="1">
        <f t="shared" si="88"/>
        <v>7.3061383196468488E-2</v>
      </c>
      <c r="AC1121" s="1" t="b">
        <f t="shared" si="89"/>
        <v>1</v>
      </c>
    </row>
    <row r="1122" spans="1:29" x14ac:dyDescent="0.25">
      <c r="A1122" s="1" t="s">
        <v>449</v>
      </c>
      <c r="B1122">
        <v>20</v>
      </c>
      <c r="D1122" s="2">
        <v>67919.5</v>
      </c>
      <c r="M1122">
        <v>12</v>
      </c>
      <c r="Y1122" s="1">
        <f t="shared" si="85"/>
        <v>1472.3320000000001</v>
      </c>
      <c r="Z1122" s="2">
        <f t="shared" si="86"/>
        <v>67919.5</v>
      </c>
      <c r="AA1122" s="2">
        <f t="shared" si="87"/>
        <v>67919.463816584845</v>
      </c>
      <c r="AB1122" s="1">
        <f t="shared" si="88"/>
        <v>7.3065267825661889E-2</v>
      </c>
      <c r="AC1122" s="1" t="b">
        <f t="shared" si="89"/>
        <v>1</v>
      </c>
    </row>
    <row r="1123" spans="1:29" x14ac:dyDescent="0.25">
      <c r="A1123" s="1" t="s">
        <v>450</v>
      </c>
      <c r="B1123">
        <v>1</v>
      </c>
      <c r="D1123" s="2">
        <v>67928.2</v>
      </c>
      <c r="M1123">
        <v>12</v>
      </c>
      <c r="Y1123" s="1">
        <f t="shared" si="85"/>
        <v>1472.1420000000001</v>
      </c>
      <c r="Z1123" s="2">
        <f t="shared" si="86"/>
        <v>67928.2</v>
      </c>
      <c r="AA1123" s="2">
        <f t="shared" si="87"/>
        <v>67928.229749575781</v>
      </c>
      <c r="AB1123" s="1">
        <f t="shared" si="88"/>
        <v>7.3071221984555762E-2</v>
      </c>
      <c r="AC1123" s="1" t="b">
        <f t="shared" si="89"/>
        <v>1</v>
      </c>
    </row>
    <row r="1124" spans="1:29" x14ac:dyDescent="0.25">
      <c r="A1124" s="1" t="s">
        <v>451</v>
      </c>
      <c r="B1124">
        <v>2</v>
      </c>
      <c r="D1124" s="2">
        <v>67930.100000000006</v>
      </c>
      <c r="M1124">
        <v>12</v>
      </c>
      <c r="Y1124" s="1">
        <f t="shared" si="85"/>
        <v>1472.1020000000001</v>
      </c>
      <c r="Z1124" s="2">
        <f t="shared" si="86"/>
        <v>67930.100000000006</v>
      </c>
      <c r="AA1124" s="2">
        <f t="shared" si="87"/>
        <v>67930.075497485901</v>
      </c>
      <c r="AB1124" s="1">
        <f t="shared" si="88"/>
        <v>7.3072475785470672E-2</v>
      </c>
      <c r="AC1124" s="1" t="b">
        <f t="shared" si="89"/>
        <v>1</v>
      </c>
    </row>
    <row r="1125" spans="1:29" x14ac:dyDescent="0.25">
      <c r="A1125" s="1" t="s">
        <v>452</v>
      </c>
      <c r="B1125">
        <v>3</v>
      </c>
      <c r="D1125" s="2">
        <v>67939.600000000006</v>
      </c>
      <c r="M1125">
        <v>12</v>
      </c>
      <c r="Y1125" s="1">
        <f t="shared" si="85"/>
        <v>1471.895</v>
      </c>
      <c r="Z1125" s="2">
        <f t="shared" si="86"/>
        <v>67939.600000000006</v>
      </c>
      <c r="AA1125" s="2">
        <f t="shared" si="87"/>
        <v>67939.628845807616</v>
      </c>
      <c r="AB1125" s="1">
        <f t="shared" si="88"/>
        <v>7.3078965838530477E-2</v>
      </c>
      <c r="AC1125" s="1" t="b">
        <f t="shared" si="89"/>
        <v>1</v>
      </c>
    </row>
    <row r="1126" spans="1:29" x14ac:dyDescent="0.25">
      <c r="A1126" s="1" t="s">
        <v>453</v>
      </c>
      <c r="B1126">
        <v>30</v>
      </c>
      <c r="D1126" s="2">
        <v>67945.5</v>
      </c>
      <c r="E1126">
        <v>28885</v>
      </c>
      <c r="F1126" t="s">
        <v>15</v>
      </c>
      <c r="G1126" t="s">
        <v>16</v>
      </c>
      <c r="H1126">
        <v>96830</v>
      </c>
      <c r="I1126" t="s">
        <v>17</v>
      </c>
      <c r="J1126" t="s">
        <v>18</v>
      </c>
      <c r="K1126">
        <v>28885.14</v>
      </c>
      <c r="L1126">
        <v>96830.5</v>
      </c>
      <c r="M1126">
        <v>12</v>
      </c>
      <c r="Y1126" s="1">
        <f t="shared" si="85"/>
        <v>1471.7670000000001</v>
      </c>
      <c r="Z1126" s="2">
        <f t="shared" si="86"/>
        <v>67945.5</v>
      </c>
      <c r="AA1126" s="2">
        <f t="shared" si="87"/>
        <v>67945.537574901464</v>
      </c>
      <c r="AB1126" s="1">
        <f t="shared" si="88"/>
        <v>7.3082980381711737E-2</v>
      </c>
      <c r="AC1126" s="1" t="b">
        <f t="shared" si="89"/>
        <v>1</v>
      </c>
    </row>
    <row r="1127" spans="1:29" x14ac:dyDescent="0.25">
      <c r="A1127" s="1" t="s">
        <v>454</v>
      </c>
      <c r="B1127">
        <v>3</v>
      </c>
      <c r="D1127" s="2">
        <v>67957</v>
      </c>
      <c r="M1127">
        <v>12</v>
      </c>
      <c r="Y1127" s="1">
        <f t="shared" si="85"/>
        <v>1471.518</v>
      </c>
      <c r="Z1127" s="2">
        <f t="shared" si="86"/>
        <v>67957</v>
      </c>
      <c r="AA1127" s="2">
        <f t="shared" si="87"/>
        <v>67957.034844290043</v>
      </c>
      <c r="AB1127" s="1">
        <f t="shared" si="88"/>
        <v>7.3090792924140252E-2</v>
      </c>
      <c r="AC1127" s="1" t="b">
        <f t="shared" si="89"/>
        <v>1</v>
      </c>
    </row>
    <row r="1128" spans="1:29" x14ac:dyDescent="0.25">
      <c r="A1128" s="1" t="s">
        <v>455</v>
      </c>
      <c r="B1128">
        <v>5</v>
      </c>
      <c r="D1128" s="2">
        <v>67969.2</v>
      </c>
      <c r="M1128">
        <v>12</v>
      </c>
      <c r="Y1128" s="1">
        <f t="shared" si="85"/>
        <v>1471.2550000000001</v>
      </c>
      <c r="Z1128" s="2">
        <f t="shared" si="86"/>
        <v>67969.2</v>
      </c>
      <c r="AA1128" s="2">
        <f t="shared" si="87"/>
        <v>67969.182772530927</v>
      </c>
      <c r="AB1128" s="1">
        <f t="shared" si="88"/>
        <v>7.3099049033828578E-2</v>
      </c>
      <c r="AC1128" s="1" t="b">
        <f t="shared" si="89"/>
        <v>1</v>
      </c>
    </row>
    <row r="1129" spans="1:29" x14ac:dyDescent="0.25">
      <c r="A1129" s="1" t="s">
        <v>456</v>
      </c>
      <c r="B1129">
        <v>3</v>
      </c>
      <c r="D1129" s="2">
        <v>67985.2</v>
      </c>
      <c r="M1129">
        <v>12</v>
      </c>
      <c r="Y1129" s="1">
        <f t="shared" si="85"/>
        <v>1470.9079999999999</v>
      </c>
      <c r="Z1129" s="2">
        <f t="shared" si="86"/>
        <v>67985.2</v>
      </c>
      <c r="AA1129" s="2">
        <f t="shared" si="87"/>
        <v>67985.217294351518</v>
      </c>
      <c r="AB1129" s="1">
        <f t="shared" si="88"/>
        <v>7.3109948852800977E-2</v>
      </c>
      <c r="AC1129" s="1" t="b">
        <f t="shared" si="89"/>
        <v>1</v>
      </c>
    </row>
    <row r="1130" spans="1:29" x14ac:dyDescent="0.25">
      <c r="A1130" s="1" t="s">
        <v>457</v>
      </c>
      <c r="B1130">
        <v>80</v>
      </c>
      <c r="D1130" s="2">
        <v>67990</v>
      </c>
      <c r="M1130">
        <v>12</v>
      </c>
      <c r="Y1130" s="1">
        <f t="shared" si="85"/>
        <v>1470.8050000000001</v>
      </c>
      <c r="Z1130" s="2">
        <f t="shared" si="86"/>
        <v>67990</v>
      </c>
      <c r="AA1130" s="2">
        <f t="shared" si="87"/>
        <v>67989.978277201939</v>
      </c>
      <c r="AB1130" s="1">
        <f t="shared" si="88"/>
        <v>7.3113185730671965E-2</v>
      </c>
      <c r="AC1130" s="1" t="b">
        <f t="shared" si="89"/>
        <v>1</v>
      </c>
    </row>
    <row r="1131" spans="1:29" x14ac:dyDescent="0.25">
      <c r="A1131" s="1" t="s">
        <v>458</v>
      </c>
      <c r="B1131">
        <v>10</v>
      </c>
      <c r="D1131" s="2">
        <v>68012.2</v>
      </c>
      <c r="M1131">
        <v>12</v>
      </c>
      <c r="Y1131" s="1">
        <f t="shared" si="85"/>
        <v>1470.3240000000001</v>
      </c>
      <c r="Z1131" s="2">
        <f t="shared" si="86"/>
        <v>68012.2</v>
      </c>
      <c r="AA1131" s="2">
        <f t="shared" si="87"/>
        <v>68012.2204357679</v>
      </c>
      <c r="AB1131" s="1">
        <f t="shared" si="88"/>
        <v>7.3128310643017419E-2</v>
      </c>
      <c r="AC1131" s="1" t="b">
        <f t="shared" si="89"/>
        <v>1</v>
      </c>
    </row>
    <row r="1132" spans="1:29" x14ac:dyDescent="0.25">
      <c r="A1132" s="1" t="s">
        <v>459</v>
      </c>
      <c r="B1132">
        <v>20</v>
      </c>
      <c r="C1132" t="s">
        <v>124</v>
      </c>
      <c r="D1132" s="2">
        <v>68015.100000000006</v>
      </c>
      <c r="M1132">
        <v>12</v>
      </c>
      <c r="Y1132" s="1">
        <f t="shared" si="85"/>
        <v>1470.261</v>
      </c>
      <c r="Z1132" s="2">
        <f t="shared" si="86"/>
        <v>68015.100000000006</v>
      </c>
      <c r="AA1132" s="2">
        <f t="shared" si="87"/>
        <v>68015.13472777963</v>
      </c>
      <c r="AB1132" s="1">
        <f t="shared" si="88"/>
        <v>7.3130292760190077E-2</v>
      </c>
      <c r="AC1132" s="1" t="b">
        <f t="shared" si="89"/>
        <v>1</v>
      </c>
    </row>
    <row r="1133" spans="1:29" x14ac:dyDescent="0.25">
      <c r="A1133" s="1" t="s">
        <v>460</v>
      </c>
      <c r="B1133">
        <v>3</v>
      </c>
      <c r="C1133" t="s">
        <v>125</v>
      </c>
      <c r="D1133" s="2">
        <v>68025.100000000006</v>
      </c>
      <c r="M1133">
        <v>12</v>
      </c>
      <c r="Y1133" s="1">
        <f t="shared" si="85"/>
        <v>1470.0450000000001</v>
      </c>
      <c r="Z1133" s="2">
        <f t="shared" si="86"/>
        <v>68025.100000000006</v>
      </c>
      <c r="AA1133" s="2">
        <f t="shared" si="87"/>
        <v>68025.128482461412</v>
      </c>
      <c r="AB1133" s="1">
        <f t="shared" si="88"/>
        <v>7.3137090525276921E-2</v>
      </c>
      <c r="AC1133" s="1" t="b">
        <f t="shared" si="89"/>
        <v>1</v>
      </c>
    </row>
    <row r="1134" spans="1:29" x14ac:dyDescent="0.25">
      <c r="A1134" s="1" t="s">
        <v>461</v>
      </c>
      <c r="B1134">
        <v>2</v>
      </c>
      <c r="D1134" s="2">
        <v>68032.399999999994</v>
      </c>
      <c r="E1134">
        <v>25934</v>
      </c>
      <c r="F1134" t="s">
        <v>15</v>
      </c>
      <c r="G1134" t="s">
        <v>28</v>
      </c>
      <c r="H1134">
        <v>93967</v>
      </c>
      <c r="I1134" t="s">
        <v>17</v>
      </c>
      <c r="J1134" t="s">
        <v>18</v>
      </c>
      <c r="K1134">
        <v>25934.98</v>
      </c>
      <c r="L1134">
        <v>93967.4</v>
      </c>
      <c r="M1134">
        <v>12</v>
      </c>
      <c r="Y1134" s="1">
        <f t="shared" si="85"/>
        <v>1469.8869999999999</v>
      </c>
      <c r="Z1134" s="2">
        <f t="shared" si="86"/>
        <v>68032.399999999994</v>
      </c>
      <c r="AA1134" s="2">
        <f t="shared" si="87"/>
        <v>68032.44058897045</v>
      </c>
      <c r="AB1134" s="1">
        <f t="shared" si="88"/>
        <v>7.3142064862458972E-2</v>
      </c>
      <c r="AC1134" s="1" t="b">
        <f t="shared" si="89"/>
        <v>1</v>
      </c>
    </row>
    <row r="1135" spans="1:29" x14ac:dyDescent="0.25">
      <c r="A1135" s="1" t="s">
        <v>462</v>
      </c>
      <c r="B1135">
        <v>2</v>
      </c>
      <c r="D1135" s="2">
        <v>68043.399999999994</v>
      </c>
      <c r="M1135">
        <v>12</v>
      </c>
      <c r="Y1135" s="1">
        <f t="shared" si="85"/>
        <v>1469.6489999999999</v>
      </c>
      <c r="Z1135" s="2">
        <f t="shared" si="86"/>
        <v>68043.399999999994</v>
      </c>
      <c r="AA1135" s="2">
        <f t="shared" si="87"/>
        <v>68043.457995752731</v>
      </c>
      <c r="AB1135" s="1">
        <f t="shared" si="88"/>
        <v>7.314956088009883E-2</v>
      </c>
      <c r="AC1135" s="1" t="b">
        <f t="shared" si="89"/>
        <v>1</v>
      </c>
    </row>
    <row r="1136" spans="1:29" x14ac:dyDescent="0.25">
      <c r="A1136" s="1" t="s">
        <v>463</v>
      </c>
      <c r="B1136">
        <v>7</v>
      </c>
      <c r="D1136" s="2">
        <v>68049.8</v>
      </c>
      <c r="E1136">
        <v>67395</v>
      </c>
      <c r="F1136" t="s">
        <v>17</v>
      </c>
      <c r="G1136" t="s">
        <v>28</v>
      </c>
      <c r="H1136">
        <v>135445</v>
      </c>
      <c r="I1136" t="s">
        <v>15</v>
      </c>
      <c r="J1136" t="s">
        <v>18</v>
      </c>
      <c r="K1136">
        <v>67395.320000000007</v>
      </c>
      <c r="L1136">
        <v>135445.20000000001</v>
      </c>
      <c r="M1136">
        <v>12</v>
      </c>
      <c r="Y1136" s="1">
        <f t="shared" si="85"/>
        <v>1469.511</v>
      </c>
      <c r="Z1136" s="2">
        <f t="shared" si="86"/>
        <v>68049.8</v>
      </c>
      <c r="AA1136" s="2">
        <f t="shared" si="87"/>
        <v>68049.847874565079</v>
      </c>
      <c r="AB1136" s="1">
        <f t="shared" si="88"/>
        <v>7.3153908978757246E-2</v>
      </c>
      <c r="AC1136" s="1" t="b">
        <f t="shared" si="89"/>
        <v>1</v>
      </c>
    </row>
    <row r="1137" spans="1:29" x14ac:dyDescent="0.25">
      <c r="A1137" s="1" t="s">
        <v>464</v>
      </c>
      <c r="B1137">
        <v>3</v>
      </c>
      <c r="D1137" s="2">
        <v>68056.399999999994</v>
      </c>
      <c r="M1137">
        <v>12</v>
      </c>
      <c r="Y1137" s="1">
        <f t="shared" si="85"/>
        <v>1469.3689999999999</v>
      </c>
      <c r="Z1137" s="2">
        <f t="shared" si="86"/>
        <v>68056.399999999994</v>
      </c>
      <c r="AA1137" s="2">
        <f t="shared" si="87"/>
        <v>68056.424220192479</v>
      </c>
      <c r="AB1137" s="1">
        <f t="shared" si="88"/>
        <v>7.3158384388194012E-2</v>
      </c>
      <c r="AC1137" s="1" t="b">
        <f t="shared" si="89"/>
        <v>1</v>
      </c>
    </row>
    <row r="1138" spans="1:29" x14ac:dyDescent="0.25">
      <c r="A1138" s="1" t="s">
        <v>465</v>
      </c>
      <c r="B1138">
        <v>60</v>
      </c>
      <c r="D1138" s="2">
        <v>68078.100000000006</v>
      </c>
      <c r="M1138">
        <v>12</v>
      </c>
      <c r="Y1138" s="1">
        <f t="shared" si="85"/>
        <v>1468.902</v>
      </c>
      <c r="Z1138" s="2">
        <f t="shared" si="86"/>
        <v>68078.100000000006</v>
      </c>
      <c r="AA1138" s="2">
        <f t="shared" si="87"/>
        <v>68078.061027897027</v>
      </c>
      <c r="AB1138" s="1">
        <f t="shared" si="88"/>
        <v>7.3173111966590362E-2</v>
      </c>
      <c r="AC1138" s="1" t="b">
        <f t="shared" si="89"/>
        <v>1</v>
      </c>
    </row>
    <row r="1139" spans="1:29" x14ac:dyDescent="0.25">
      <c r="A1139" s="1" t="s">
        <v>466</v>
      </c>
      <c r="B1139">
        <v>10</v>
      </c>
      <c r="D1139" s="2">
        <v>68083.8</v>
      </c>
      <c r="E1139">
        <v>24470</v>
      </c>
      <c r="F1139" t="s">
        <v>15</v>
      </c>
      <c r="G1139" t="s">
        <v>18</v>
      </c>
      <c r="H1139">
        <v>92554</v>
      </c>
      <c r="I1139" t="s">
        <v>17</v>
      </c>
      <c r="J1139" t="s">
        <v>28</v>
      </c>
      <c r="K1139">
        <v>24470.9</v>
      </c>
      <c r="L1139">
        <v>92554.8</v>
      </c>
      <c r="M1139">
        <v>12</v>
      </c>
      <c r="Y1139" s="1">
        <f t="shared" si="85"/>
        <v>1468.779</v>
      </c>
      <c r="Z1139" s="2">
        <f t="shared" si="86"/>
        <v>68083.8</v>
      </c>
      <c r="AA1139" s="2">
        <f t="shared" si="87"/>
        <v>68083.762090825097</v>
      </c>
      <c r="AB1139" s="1">
        <f t="shared" si="88"/>
        <v>7.3176993302200372E-2</v>
      </c>
      <c r="AC1139" s="1" t="b">
        <f t="shared" si="89"/>
        <v>1</v>
      </c>
    </row>
    <row r="1140" spans="1:29" x14ac:dyDescent="0.25">
      <c r="A1140" s="1" t="s">
        <v>467</v>
      </c>
      <c r="B1140">
        <v>5</v>
      </c>
      <c r="C1140" t="s">
        <v>125</v>
      </c>
      <c r="D1140" s="2">
        <v>68093.3</v>
      </c>
      <c r="E1140">
        <v>24461</v>
      </c>
      <c r="F1140" t="s">
        <v>15</v>
      </c>
      <c r="G1140" t="s">
        <v>28</v>
      </c>
      <c r="H1140">
        <v>92554</v>
      </c>
      <c r="I1140" t="s">
        <v>17</v>
      </c>
      <c r="J1140" t="s">
        <v>28</v>
      </c>
      <c r="K1140">
        <v>24461.24</v>
      </c>
      <c r="L1140">
        <v>92554.8</v>
      </c>
      <c r="M1140">
        <v>12</v>
      </c>
      <c r="Y1140" s="1">
        <f t="shared" si="85"/>
        <v>1468.5730000000001</v>
      </c>
      <c r="Z1140" s="2">
        <f t="shared" si="86"/>
        <v>68093.3</v>
      </c>
      <c r="AA1140" s="2">
        <f t="shared" si="87"/>
        <v>68093.312351514018</v>
      </c>
      <c r="AB1140" s="1">
        <f t="shared" si="88"/>
        <v>7.3183495935004256E-2</v>
      </c>
      <c r="AC1140" s="1" t="b">
        <f t="shared" si="89"/>
        <v>1</v>
      </c>
    </row>
    <row r="1141" spans="1:29" x14ac:dyDescent="0.25">
      <c r="A1141" s="1" t="s">
        <v>468</v>
      </c>
      <c r="B1141">
        <v>200</v>
      </c>
      <c r="D1141" s="2">
        <v>68101.399999999994</v>
      </c>
      <c r="E1141">
        <v>22527</v>
      </c>
      <c r="F1141" t="s">
        <v>15</v>
      </c>
      <c r="G1141" t="s">
        <v>18</v>
      </c>
      <c r="H1141">
        <v>90629</v>
      </c>
      <c r="I1141" t="s">
        <v>17</v>
      </c>
      <c r="J1141" t="s">
        <v>16</v>
      </c>
      <c r="K1141">
        <v>22527.7</v>
      </c>
      <c r="L1141">
        <v>90629.2</v>
      </c>
      <c r="M1141">
        <v>12</v>
      </c>
      <c r="Y1141" s="1">
        <f t="shared" si="85"/>
        <v>1468.3989999999999</v>
      </c>
      <c r="Z1141" s="2">
        <f t="shared" si="86"/>
        <v>68101.399999999994</v>
      </c>
      <c r="AA1141" s="2">
        <f t="shared" si="87"/>
        <v>68101.381164111401</v>
      </c>
      <c r="AB1141" s="1">
        <f t="shared" si="88"/>
        <v>7.3188990582297941E-2</v>
      </c>
      <c r="AC1141" s="1" t="b">
        <f t="shared" si="89"/>
        <v>1</v>
      </c>
    </row>
    <row r="1142" spans="1:29" x14ac:dyDescent="0.25">
      <c r="A1142" s="1" t="s">
        <v>469</v>
      </c>
      <c r="B1142">
        <v>20</v>
      </c>
      <c r="D1142" s="2">
        <v>68109.3</v>
      </c>
      <c r="E1142">
        <v>28720</v>
      </c>
      <c r="F1142" t="s">
        <v>15</v>
      </c>
      <c r="G1142" t="s">
        <v>16</v>
      </c>
      <c r="H1142">
        <v>96830</v>
      </c>
      <c r="I1142" t="s">
        <v>17</v>
      </c>
      <c r="J1142" t="s">
        <v>18</v>
      </c>
      <c r="K1142">
        <v>28720.71</v>
      </c>
      <c r="L1142">
        <v>96830.5</v>
      </c>
      <c r="M1142">
        <v>12</v>
      </c>
      <c r="Y1142" s="1">
        <f t="shared" si="85"/>
        <v>1468.2270000000001</v>
      </c>
      <c r="Z1142" s="2">
        <f t="shared" si="86"/>
        <v>68109.3</v>
      </c>
      <c r="AA1142" s="2">
        <f t="shared" si="87"/>
        <v>68109.359111363563</v>
      </c>
      <c r="AB1142" s="1">
        <f t="shared" si="88"/>
        <v>7.3194423992803417E-2</v>
      </c>
      <c r="AC1142" s="1" t="b">
        <f t="shared" si="89"/>
        <v>1</v>
      </c>
    </row>
    <row r="1143" spans="1:29" x14ac:dyDescent="0.25">
      <c r="A1143" s="1" t="s">
        <v>470</v>
      </c>
      <c r="B1143">
        <v>100</v>
      </c>
      <c r="C1143" t="s">
        <v>123</v>
      </c>
      <c r="D1143" s="2">
        <v>68133.899999999994</v>
      </c>
      <c r="M1143">
        <v>12</v>
      </c>
      <c r="Y1143" s="1">
        <f t="shared" si="85"/>
        <v>1467.6980000000001</v>
      </c>
      <c r="Z1143" s="2">
        <f t="shared" si="86"/>
        <v>68133.899999999994</v>
      </c>
      <c r="AA1143" s="2">
        <f t="shared" si="87"/>
        <v>68133.907656752272</v>
      </c>
      <c r="AB1143" s="1">
        <f t="shared" si="88"/>
        <v>7.3211146862894233E-2</v>
      </c>
      <c r="AC1143" s="1" t="b">
        <f t="shared" si="89"/>
        <v>1</v>
      </c>
    </row>
    <row r="1144" spans="1:29" x14ac:dyDescent="0.25">
      <c r="A1144" s="1" t="s">
        <v>471</v>
      </c>
      <c r="B1144">
        <v>3</v>
      </c>
      <c r="D1144" s="2">
        <v>68136.3</v>
      </c>
      <c r="M1144">
        <v>12</v>
      </c>
      <c r="Y1144" s="1">
        <f t="shared" si="85"/>
        <v>1467.646</v>
      </c>
      <c r="Z1144" s="2">
        <f t="shared" si="86"/>
        <v>68136.3</v>
      </c>
      <c r="AA1144" s="2">
        <f t="shared" si="87"/>
        <v>68136.321701554742</v>
      </c>
      <c r="AB1144" s="1">
        <f t="shared" si="88"/>
        <v>7.3212791675088804E-2</v>
      </c>
      <c r="AC1144" s="1" t="b">
        <f t="shared" si="89"/>
        <v>1</v>
      </c>
    </row>
    <row r="1145" spans="1:29" x14ac:dyDescent="0.25">
      <c r="A1145" s="1" t="s">
        <v>472</v>
      </c>
      <c r="B1145">
        <v>10</v>
      </c>
      <c r="D1145" s="2">
        <v>68138.7</v>
      </c>
      <c r="M1145">
        <v>12</v>
      </c>
      <c r="Y1145" s="1">
        <f t="shared" si="85"/>
        <v>1467.595</v>
      </c>
      <c r="Z1145" s="2">
        <f t="shared" si="86"/>
        <v>68138.7</v>
      </c>
      <c r="AA1145" s="2">
        <f t="shared" si="87"/>
        <v>68138.689488585063</v>
      </c>
      <c r="AB1145" s="1">
        <f t="shared" si="88"/>
        <v>7.321440502610907E-2</v>
      </c>
      <c r="AC1145" s="1" t="b">
        <f t="shared" si="89"/>
        <v>1</v>
      </c>
    </row>
    <row r="1146" spans="1:29" x14ac:dyDescent="0.25">
      <c r="A1146" s="1" t="s">
        <v>473</v>
      </c>
      <c r="B1146">
        <v>4</v>
      </c>
      <c r="D1146" s="2">
        <v>68147.3</v>
      </c>
      <c r="M1146">
        <v>12</v>
      </c>
      <c r="Y1146" s="1">
        <f t="shared" si="85"/>
        <v>1467.4090000000001</v>
      </c>
      <c r="Z1146" s="2">
        <f t="shared" si="86"/>
        <v>68147.3</v>
      </c>
      <c r="AA1146" s="2">
        <f t="shared" si="87"/>
        <v>68147.326341871958</v>
      </c>
      <c r="AB1146" s="1">
        <f t="shared" si="88"/>
        <v>7.3220290437727986E-2</v>
      </c>
      <c r="AC1146" s="1" t="b">
        <f t="shared" si="89"/>
        <v>1</v>
      </c>
    </row>
    <row r="1147" spans="1:29" x14ac:dyDescent="0.25">
      <c r="A1147" s="1" t="s">
        <v>474</v>
      </c>
      <c r="B1147">
        <v>3</v>
      </c>
      <c r="D1147" s="2">
        <v>68154.8</v>
      </c>
      <c r="M1147">
        <v>12</v>
      </c>
      <c r="Y1147" s="1">
        <f t="shared" si="85"/>
        <v>1467.2470000000001</v>
      </c>
      <c r="Z1147" s="2">
        <f t="shared" si="86"/>
        <v>68154.8</v>
      </c>
      <c r="AA1147" s="2">
        <f t="shared" si="87"/>
        <v>68154.850546635978</v>
      </c>
      <c r="AB1147" s="1">
        <f t="shared" si="88"/>
        <v>7.3225418265171427E-2</v>
      </c>
      <c r="AC1147" s="1" t="b">
        <f t="shared" si="89"/>
        <v>1</v>
      </c>
    </row>
    <row r="1148" spans="1:29" x14ac:dyDescent="0.25">
      <c r="A1148" s="1" t="s">
        <v>475</v>
      </c>
      <c r="B1148">
        <v>7</v>
      </c>
      <c r="D1148" s="2">
        <v>68159.199999999997</v>
      </c>
      <c r="M1148">
        <v>12</v>
      </c>
      <c r="Y1148" s="1">
        <f t="shared" si="85"/>
        <v>1467.153</v>
      </c>
      <c r="Z1148" s="2">
        <f t="shared" si="86"/>
        <v>68159.199999999997</v>
      </c>
      <c r="AA1148" s="2">
        <f t="shared" si="87"/>
        <v>68159.217205022243</v>
      </c>
      <c r="AB1148" s="1">
        <f t="shared" si="88"/>
        <v>7.3228394450007006E-2</v>
      </c>
      <c r="AC1148" s="1" t="b">
        <f t="shared" si="89"/>
        <v>1</v>
      </c>
    </row>
    <row r="1149" spans="1:29" x14ac:dyDescent="0.25">
      <c r="A1149" s="1" t="s">
        <v>476</v>
      </c>
      <c r="B1149">
        <v>10</v>
      </c>
      <c r="C1149" t="s">
        <v>123</v>
      </c>
      <c r="D1149" s="2">
        <v>68162.600000000006</v>
      </c>
      <c r="M1149">
        <v>12</v>
      </c>
      <c r="Y1149" s="1">
        <f t="shared" si="85"/>
        <v>1467.0809999999999</v>
      </c>
      <c r="Z1149" s="2">
        <f t="shared" si="86"/>
        <v>68162.600000000006</v>
      </c>
      <c r="AA1149" s="2">
        <f t="shared" si="87"/>
        <v>68162.562257980302</v>
      </c>
      <c r="AB1149" s="1">
        <f t="shared" si="88"/>
        <v>7.3230674467865214E-2</v>
      </c>
      <c r="AC1149" s="1" t="b">
        <f t="shared" si="89"/>
        <v>1</v>
      </c>
    </row>
    <row r="1150" spans="1:29" x14ac:dyDescent="0.25">
      <c r="A1150" s="1" t="s">
        <v>477</v>
      </c>
      <c r="B1150">
        <v>2</v>
      </c>
      <c r="D1150" s="2">
        <v>68167.7</v>
      </c>
      <c r="M1150">
        <v>12</v>
      </c>
      <c r="Y1150" s="1">
        <f t="shared" si="85"/>
        <v>1466.971</v>
      </c>
      <c r="Z1150" s="2">
        <f t="shared" si="86"/>
        <v>68167.7</v>
      </c>
      <c r="AA1150" s="2">
        <f t="shared" si="87"/>
        <v>68167.673389589836</v>
      </c>
      <c r="AB1150" s="1">
        <f t="shared" si="88"/>
        <v>7.3234158476748981E-2</v>
      </c>
      <c r="AC1150" s="1" t="b">
        <f t="shared" si="89"/>
        <v>1</v>
      </c>
    </row>
    <row r="1151" spans="1:29" x14ac:dyDescent="0.25">
      <c r="A1151" s="1" t="s">
        <v>478</v>
      </c>
      <c r="B1151">
        <v>1</v>
      </c>
      <c r="D1151" s="2">
        <v>68197.899999999994</v>
      </c>
      <c r="M1151">
        <v>12</v>
      </c>
      <c r="Y1151" s="1">
        <f t="shared" si="85"/>
        <v>1466.32</v>
      </c>
      <c r="Z1151" s="2">
        <f t="shared" si="86"/>
        <v>68197.899999999994</v>
      </c>
      <c r="AA1151" s="2">
        <f t="shared" si="87"/>
        <v>68197.937694364125</v>
      </c>
      <c r="AB1151" s="1">
        <f t="shared" si="88"/>
        <v>7.325479352882186E-2</v>
      </c>
      <c r="AC1151" s="1" t="b">
        <f t="shared" si="89"/>
        <v>1</v>
      </c>
    </row>
    <row r="1152" spans="1:29" x14ac:dyDescent="0.25">
      <c r="A1152" s="1" t="s">
        <v>479</v>
      </c>
      <c r="B1152">
        <v>1</v>
      </c>
      <c r="D1152" s="2">
        <v>68212.3</v>
      </c>
      <c r="M1152">
        <v>12</v>
      </c>
      <c r="Y1152" s="1">
        <f t="shared" si="85"/>
        <v>1466.011</v>
      </c>
      <c r="Z1152" s="2">
        <f t="shared" si="86"/>
        <v>68212.3</v>
      </c>
      <c r="AA1152" s="2">
        <f t="shared" si="87"/>
        <v>68212.312185924937</v>
      </c>
      <c r="AB1152" s="1">
        <f t="shared" si="88"/>
        <v>7.3264597668750417E-2</v>
      </c>
      <c r="AC1152" s="1" t="b">
        <f t="shared" si="89"/>
        <v>1</v>
      </c>
    </row>
    <row r="1153" spans="1:29" x14ac:dyDescent="0.25">
      <c r="A1153" s="1" t="s">
        <v>480</v>
      </c>
      <c r="B1153">
        <v>1</v>
      </c>
      <c r="D1153" s="2">
        <v>68213.600000000006</v>
      </c>
      <c r="M1153">
        <v>12</v>
      </c>
      <c r="Y1153" s="1">
        <f t="shared" si="85"/>
        <v>1465.9839999999999</v>
      </c>
      <c r="Z1153" s="2">
        <f t="shared" si="86"/>
        <v>68213.600000000006</v>
      </c>
      <c r="AA1153" s="2">
        <f t="shared" si="87"/>
        <v>68213.56849733695</v>
      </c>
      <c r="AB1153" s="1">
        <f t="shared" si="88"/>
        <v>7.32654546357044E-2</v>
      </c>
      <c r="AC1153" s="1" t="b">
        <f t="shared" si="89"/>
        <v>1</v>
      </c>
    </row>
    <row r="1154" spans="1:29" x14ac:dyDescent="0.25">
      <c r="A1154" s="1" t="s">
        <v>481</v>
      </c>
      <c r="B1154">
        <v>2</v>
      </c>
      <c r="D1154" s="2">
        <v>68217.5</v>
      </c>
      <c r="M1154">
        <v>12</v>
      </c>
      <c r="Y1154" s="1">
        <f t="shared" si="85"/>
        <v>1465.8989999999999</v>
      </c>
      <c r="Z1154" s="2">
        <f t="shared" si="86"/>
        <v>68217.5</v>
      </c>
      <c r="AA1154" s="2">
        <f t="shared" si="87"/>
        <v>68217.523853962659</v>
      </c>
      <c r="AB1154" s="1">
        <f t="shared" si="88"/>
        <v>7.3268152803829825E-2</v>
      </c>
      <c r="AC1154" s="1" t="b">
        <f t="shared" si="89"/>
        <v>1</v>
      </c>
    </row>
    <row r="1155" spans="1:29" x14ac:dyDescent="0.25">
      <c r="A1155" s="1" t="s">
        <v>482</v>
      </c>
      <c r="B1155">
        <v>2</v>
      </c>
      <c r="D1155" s="2">
        <v>68249.3</v>
      </c>
      <c r="E1155">
        <v>15454</v>
      </c>
      <c r="F1155" t="s">
        <v>15</v>
      </c>
      <c r="G1155" t="s">
        <v>50</v>
      </c>
      <c r="H1155">
        <v>83703</v>
      </c>
      <c r="I1155" t="s">
        <v>17</v>
      </c>
      <c r="J1155" t="s">
        <v>50</v>
      </c>
      <c r="K1155">
        <v>15454.16</v>
      </c>
      <c r="L1155">
        <v>83703.429999999993</v>
      </c>
      <c r="M1155">
        <v>12</v>
      </c>
      <c r="Y1155" s="1">
        <f t="shared" ref="Y1155:Y1218" si="90">ROUND($A1155,3)+0</f>
        <v>1465.2159999999999</v>
      </c>
      <c r="Z1155" s="2">
        <f t="shared" ref="Z1155:Z1218" si="91">ROUND($D1155,1)+0</f>
        <v>68249.3</v>
      </c>
      <c r="AA1155" s="2">
        <f t="shared" ref="AA1155:AA1218" si="92">100000000/Y1155</f>
        <v>68249.32296671618</v>
      </c>
      <c r="AB1155" s="1">
        <f t="shared" ref="AB1155:AB1218" si="93">0.0005/$Y1155*AA1155+0.05</f>
        <v>7.328985042707567E-2</v>
      </c>
      <c r="AC1155" s="1" t="b">
        <f t="shared" ref="AC1155:AC1218" si="94">ABS(Z1155-AA1155)&lt;AB1155</f>
        <v>1</v>
      </c>
    </row>
    <row r="1156" spans="1:29" x14ac:dyDescent="0.25">
      <c r="A1156" s="1" t="s">
        <v>483</v>
      </c>
      <c r="B1156">
        <v>200</v>
      </c>
      <c r="D1156" s="2">
        <v>68253.600000000006</v>
      </c>
      <c r="M1156">
        <v>12</v>
      </c>
      <c r="Y1156" s="1">
        <f t="shared" si="90"/>
        <v>1465.124</v>
      </c>
      <c r="Z1156" s="2">
        <f t="shared" si="91"/>
        <v>68253.600000000006</v>
      </c>
      <c r="AA1156" s="2">
        <f t="shared" si="92"/>
        <v>68253.60856828501</v>
      </c>
      <c r="AB1156" s="1">
        <f t="shared" si="93"/>
        <v>7.3292775412963349E-2</v>
      </c>
      <c r="AC1156" s="1" t="b">
        <f t="shared" si="94"/>
        <v>1</v>
      </c>
    </row>
    <row r="1157" spans="1:29" x14ac:dyDescent="0.25">
      <c r="A1157" s="1" t="s">
        <v>484</v>
      </c>
      <c r="B1157">
        <v>200</v>
      </c>
      <c r="D1157" s="2">
        <v>68258.399999999994</v>
      </c>
      <c r="M1157">
        <v>12</v>
      </c>
      <c r="Y1157" s="1">
        <f t="shared" si="90"/>
        <v>1465.021</v>
      </c>
      <c r="Z1157" s="2">
        <f t="shared" si="91"/>
        <v>68258.399999999994</v>
      </c>
      <c r="AA1157" s="2">
        <f t="shared" si="92"/>
        <v>68258.407217370943</v>
      </c>
      <c r="AB1157" s="1">
        <f t="shared" si="93"/>
        <v>7.3296050779262184E-2</v>
      </c>
      <c r="AC1157" s="1" t="b">
        <f t="shared" si="94"/>
        <v>1</v>
      </c>
    </row>
    <row r="1158" spans="1:29" x14ac:dyDescent="0.25">
      <c r="A1158" s="1" t="s">
        <v>485</v>
      </c>
      <c r="B1158">
        <v>3</v>
      </c>
      <c r="D1158" s="2">
        <v>68266.2</v>
      </c>
      <c r="M1158">
        <v>12</v>
      </c>
      <c r="Y1158" s="1">
        <f t="shared" si="90"/>
        <v>1464.8530000000001</v>
      </c>
      <c r="Z1158" s="2">
        <f t="shared" si="91"/>
        <v>68266.2</v>
      </c>
      <c r="AA1158" s="2">
        <f t="shared" si="92"/>
        <v>68266.235588144336</v>
      </c>
      <c r="AB1158" s="1">
        <f t="shared" si="93"/>
        <v>7.3301394606880121E-2</v>
      </c>
      <c r="AC1158" s="1" t="b">
        <f t="shared" si="94"/>
        <v>1</v>
      </c>
    </row>
    <row r="1159" spans="1:29" x14ac:dyDescent="0.25">
      <c r="A1159" s="1" t="s">
        <v>486</v>
      </c>
      <c r="B1159">
        <v>5</v>
      </c>
      <c r="C1159" t="s">
        <v>124</v>
      </c>
      <c r="D1159" s="2">
        <v>68271.399999999994</v>
      </c>
      <c r="M1159">
        <v>12</v>
      </c>
      <c r="Y1159" s="1">
        <f t="shared" si="90"/>
        <v>1464.742</v>
      </c>
      <c r="Z1159" s="2">
        <f t="shared" si="91"/>
        <v>68271.399999999994</v>
      </c>
      <c r="AA1159" s="2">
        <f t="shared" si="92"/>
        <v>68271.408889756698</v>
      </c>
      <c r="AB1159" s="1">
        <f t="shared" si="93"/>
        <v>7.3304926358961756E-2</v>
      </c>
      <c r="AC1159" s="1" t="b">
        <f t="shared" si="94"/>
        <v>1</v>
      </c>
    </row>
    <row r="1160" spans="1:29" x14ac:dyDescent="0.25">
      <c r="A1160" s="1" t="s">
        <v>487</v>
      </c>
      <c r="B1160">
        <v>60</v>
      </c>
      <c r="C1160" t="s">
        <v>125</v>
      </c>
      <c r="D1160" s="2">
        <v>68282.600000000006</v>
      </c>
      <c r="M1160">
        <v>12</v>
      </c>
      <c r="Y1160" s="1">
        <f t="shared" si="90"/>
        <v>1464.502</v>
      </c>
      <c r="Z1160" s="2">
        <f t="shared" si="91"/>
        <v>68282.600000000006</v>
      </c>
      <c r="AA1160" s="2">
        <f t="shared" si="92"/>
        <v>68282.597087610673</v>
      </c>
      <c r="AB1160" s="1">
        <f t="shared" si="93"/>
        <v>7.3312565325144893E-2</v>
      </c>
      <c r="AC1160" s="1" t="b">
        <f t="shared" si="94"/>
        <v>1</v>
      </c>
    </row>
    <row r="1161" spans="1:29" x14ac:dyDescent="0.25">
      <c r="A1161" s="1" t="s">
        <v>488</v>
      </c>
      <c r="B1161">
        <v>1</v>
      </c>
      <c r="D1161" s="2">
        <v>68287.3</v>
      </c>
      <c r="M1161">
        <v>12</v>
      </c>
      <c r="Y1161" s="1">
        <f t="shared" si="90"/>
        <v>1464.4</v>
      </c>
      <c r="Z1161" s="2">
        <f t="shared" si="91"/>
        <v>68287.3</v>
      </c>
      <c r="AA1161" s="2">
        <f t="shared" si="92"/>
        <v>68287.353182190651</v>
      </c>
      <c r="AB1161" s="1">
        <f t="shared" si="93"/>
        <v>7.3315813023146215E-2</v>
      </c>
      <c r="AC1161" s="1" t="b">
        <f t="shared" si="94"/>
        <v>1</v>
      </c>
    </row>
    <row r="1162" spans="1:29" x14ac:dyDescent="0.25">
      <c r="A1162" s="1" t="s">
        <v>489</v>
      </c>
      <c r="B1162">
        <v>40</v>
      </c>
      <c r="D1162" s="2">
        <v>68305.399999999994</v>
      </c>
      <c r="M1162">
        <v>12</v>
      </c>
      <c r="Y1162" s="1">
        <f t="shared" si="90"/>
        <v>1464.0129999999999</v>
      </c>
      <c r="Z1162" s="2">
        <f t="shared" si="91"/>
        <v>68305.399999999994</v>
      </c>
      <c r="AA1162" s="2">
        <f t="shared" si="92"/>
        <v>68305.404391900898</v>
      </c>
      <c r="AB1162" s="1">
        <f t="shared" si="93"/>
        <v>7.3328141345705575E-2</v>
      </c>
      <c r="AC1162" s="1" t="b">
        <f t="shared" si="94"/>
        <v>1</v>
      </c>
    </row>
    <row r="1163" spans="1:29" x14ac:dyDescent="0.25">
      <c r="A1163" s="1" t="s">
        <v>490</v>
      </c>
      <c r="B1163">
        <v>100</v>
      </c>
      <c r="D1163" s="2">
        <v>68314.2</v>
      </c>
      <c r="M1163">
        <v>12</v>
      </c>
      <c r="Y1163" s="1">
        <f t="shared" si="90"/>
        <v>1463.825</v>
      </c>
      <c r="Z1163" s="2">
        <f t="shared" si="91"/>
        <v>68314.2</v>
      </c>
      <c r="AA1163" s="2">
        <f t="shared" si="92"/>
        <v>68314.176899561076</v>
      </c>
      <c r="AB1163" s="1">
        <f t="shared" si="93"/>
        <v>7.3334133827322623E-2</v>
      </c>
      <c r="AC1163" s="1" t="b">
        <f t="shared" si="94"/>
        <v>1</v>
      </c>
    </row>
    <row r="1164" spans="1:29" x14ac:dyDescent="0.25">
      <c r="A1164" s="1" t="s">
        <v>491</v>
      </c>
      <c r="B1164">
        <v>10</v>
      </c>
      <c r="D1164" s="2">
        <v>68317.399999999994</v>
      </c>
      <c r="M1164">
        <v>12</v>
      </c>
      <c r="Y1164" s="1">
        <f t="shared" si="90"/>
        <v>1463.7560000000001</v>
      </c>
      <c r="Z1164" s="2">
        <f t="shared" si="91"/>
        <v>68317.399999999994</v>
      </c>
      <c r="AA1164" s="2">
        <f t="shared" si="92"/>
        <v>68317.397161822053</v>
      </c>
      <c r="AB1164" s="1">
        <f t="shared" si="93"/>
        <v>7.3336333774830662E-2</v>
      </c>
      <c r="AC1164" s="1" t="b">
        <f t="shared" si="94"/>
        <v>1</v>
      </c>
    </row>
    <row r="1165" spans="1:29" x14ac:dyDescent="0.25">
      <c r="A1165" s="1" t="s">
        <v>492</v>
      </c>
      <c r="B1165">
        <v>400</v>
      </c>
      <c r="D1165" s="2">
        <v>68326.8</v>
      </c>
      <c r="M1165">
        <v>12</v>
      </c>
      <c r="Y1165" s="1">
        <f t="shared" si="90"/>
        <v>1463.5540000000001</v>
      </c>
      <c r="Z1165" s="2">
        <f t="shared" si="91"/>
        <v>68326.8</v>
      </c>
      <c r="AA1165" s="2">
        <f t="shared" si="92"/>
        <v>68326.8263419047</v>
      </c>
      <c r="AB1165" s="1">
        <f t="shared" si="93"/>
        <v>7.3342775989784018E-2</v>
      </c>
      <c r="AC1165" s="1" t="b">
        <f t="shared" si="94"/>
        <v>1</v>
      </c>
    </row>
    <row r="1166" spans="1:29" x14ac:dyDescent="0.25">
      <c r="A1166" s="1" t="s">
        <v>493</v>
      </c>
      <c r="B1166">
        <v>200</v>
      </c>
      <c r="D1166" s="2">
        <v>68337.2</v>
      </c>
      <c r="M1166">
        <v>12</v>
      </c>
      <c r="Y1166" s="1">
        <f t="shared" si="90"/>
        <v>1463.3320000000001</v>
      </c>
      <c r="Z1166" s="2">
        <f t="shared" si="91"/>
        <v>68337.2</v>
      </c>
      <c r="AA1166" s="2">
        <f t="shared" si="92"/>
        <v>68337.19210678096</v>
      </c>
      <c r="AB1166" s="1">
        <f t="shared" si="93"/>
        <v>7.3349859125195427E-2</v>
      </c>
      <c r="AC1166" s="1" t="b">
        <f t="shared" si="94"/>
        <v>1</v>
      </c>
    </row>
    <row r="1167" spans="1:29" x14ac:dyDescent="0.25">
      <c r="A1167" s="1" t="s">
        <v>494</v>
      </c>
      <c r="B1167">
        <v>400</v>
      </c>
      <c r="D1167" s="2">
        <v>68341.8</v>
      </c>
      <c r="M1167">
        <v>12</v>
      </c>
      <c r="Y1167" s="1">
        <f t="shared" si="90"/>
        <v>1463.2329999999999</v>
      </c>
      <c r="Z1167" s="2">
        <f t="shared" si="91"/>
        <v>68341.8</v>
      </c>
      <c r="AA1167" s="2">
        <f t="shared" si="92"/>
        <v>68341.815691690936</v>
      </c>
      <c r="AB1167" s="1">
        <f t="shared" si="93"/>
        <v>7.3353018860185276E-2</v>
      </c>
      <c r="AC1167" s="1" t="b">
        <f t="shared" si="94"/>
        <v>1</v>
      </c>
    </row>
    <row r="1168" spans="1:29" x14ac:dyDescent="0.25">
      <c r="A1168" s="1" t="s">
        <v>495</v>
      </c>
      <c r="B1168">
        <v>30</v>
      </c>
      <c r="D1168" s="2">
        <v>68366.7</v>
      </c>
      <c r="M1168">
        <v>12</v>
      </c>
      <c r="Y1168" s="1">
        <f t="shared" si="90"/>
        <v>1462.7</v>
      </c>
      <c r="Z1168" s="2">
        <f t="shared" si="91"/>
        <v>68366.7</v>
      </c>
      <c r="AA1168" s="2">
        <f t="shared" si="92"/>
        <v>68366.719081151299</v>
      </c>
      <c r="AB1168" s="1">
        <f t="shared" si="93"/>
        <v>7.3370041389605289E-2</v>
      </c>
      <c r="AC1168" s="1" t="b">
        <f t="shared" si="94"/>
        <v>1</v>
      </c>
    </row>
    <row r="1169" spans="1:29" x14ac:dyDescent="0.25">
      <c r="A1169" s="1" t="s">
        <v>496</v>
      </c>
      <c r="B1169">
        <v>20</v>
      </c>
      <c r="D1169" s="2">
        <v>68372.100000000006</v>
      </c>
      <c r="M1169">
        <v>12</v>
      </c>
      <c r="Y1169" s="1">
        <f t="shared" si="90"/>
        <v>1462.585</v>
      </c>
      <c r="Z1169" s="2">
        <f t="shared" si="91"/>
        <v>68372.100000000006</v>
      </c>
      <c r="AA1169" s="2">
        <f t="shared" si="92"/>
        <v>68372.094613304522</v>
      </c>
      <c r="AB1169" s="1">
        <f t="shared" si="93"/>
        <v>7.3373716609053327E-2</v>
      </c>
      <c r="AC1169" s="1" t="b">
        <f t="shared" si="94"/>
        <v>1</v>
      </c>
    </row>
    <row r="1170" spans="1:29" x14ac:dyDescent="0.25">
      <c r="A1170" s="1" t="s">
        <v>497</v>
      </c>
      <c r="B1170">
        <v>50</v>
      </c>
      <c r="D1170" s="2">
        <v>68392.2</v>
      </c>
      <c r="M1170">
        <v>12</v>
      </c>
      <c r="Y1170" s="1">
        <f t="shared" si="90"/>
        <v>1462.155</v>
      </c>
      <c r="Z1170" s="2">
        <f t="shared" si="91"/>
        <v>68392.2</v>
      </c>
      <c r="AA1170" s="2">
        <f t="shared" si="92"/>
        <v>68392.201921136948</v>
      </c>
      <c r="AB1170" s="1">
        <f t="shared" si="93"/>
        <v>7.3387466418107838E-2</v>
      </c>
      <c r="AC1170" s="1" t="b">
        <f t="shared" si="94"/>
        <v>1</v>
      </c>
    </row>
    <row r="1171" spans="1:29" x14ac:dyDescent="0.25">
      <c r="A1171" s="1" t="s">
        <v>498</v>
      </c>
      <c r="B1171">
        <v>1</v>
      </c>
      <c r="D1171" s="2">
        <v>68398.600000000006</v>
      </c>
      <c r="M1171">
        <v>12</v>
      </c>
      <c r="Y1171" s="1">
        <f t="shared" si="90"/>
        <v>1462.019</v>
      </c>
      <c r="Z1171" s="2">
        <f t="shared" si="91"/>
        <v>68398.600000000006</v>
      </c>
      <c r="AA1171" s="2">
        <f t="shared" si="92"/>
        <v>68398.563903752278</v>
      </c>
      <c r="AB1171" s="1">
        <f t="shared" si="93"/>
        <v>7.3391817720478425E-2</v>
      </c>
      <c r="AC1171" s="1" t="b">
        <f t="shared" si="94"/>
        <v>1</v>
      </c>
    </row>
    <row r="1172" spans="1:29" x14ac:dyDescent="0.25">
      <c r="A1172" s="1" t="s">
        <v>499</v>
      </c>
      <c r="B1172">
        <v>100</v>
      </c>
      <c r="C1172" t="s">
        <v>123</v>
      </c>
      <c r="D1172" s="2">
        <v>68417.399999999994</v>
      </c>
      <c r="M1172">
        <v>12</v>
      </c>
      <c r="Y1172" s="1">
        <f t="shared" si="90"/>
        <v>1461.616</v>
      </c>
      <c r="Z1172" s="2">
        <f t="shared" si="91"/>
        <v>68417.399999999994</v>
      </c>
      <c r="AA1172" s="2">
        <f t="shared" si="92"/>
        <v>68417.422907247863</v>
      </c>
      <c r="AB1172" s="1">
        <f t="shared" si="93"/>
        <v>7.3404718786346024E-2</v>
      </c>
      <c r="AC1172" s="1" t="b">
        <f t="shared" si="94"/>
        <v>1</v>
      </c>
    </row>
    <row r="1173" spans="1:29" x14ac:dyDescent="0.25">
      <c r="A1173" s="1" t="s">
        <v>500</v>
      </c>
      <c r="B1173">
        <v>1</v>
      </c>
      <c r="D1173" s="2">
        <v>68422.7</v>
      </c>
      <c r="M1173">
        <v>12</v>
      </c>
      <c r="Y1173" s="1">
        <f t="shared" si="90"/>
        <v>1461.5039999999999</v>
      </c>
      <c r="Z1173" s="2">
        <f t="shared" si="91"/>
        <v>68422.7</v>
      </c>
      <c r="AA1173" s="2">
        <f t="shared" si="92"/>
        <v>68422.665966018569</v>
      </c>
      <c r="AB1173" s="1">
        <f t="shared" si="93"/>
        <v>7.3408306089486786E-2</v>
      </c>
      <c r="AC1173" s="1" t="b">
        <f t="shared" si="94"/>
        <v>1</v>
      </c>
    </row>
    <row r="1174" spans="1:29" x14ac:dyDescent="0.25">
      <c r="A1174" s="1" t="s">
        <v>501</v>
      </c>
      <c r="B1174">
        <v>4</v>
      </c>
      <c r="D1174" s="2">
        <v>68427.3</v>
      </c>
      <c r="M1174">
        <v>12</v>
      </c>
      <c r="Y1174" s="1">
        <f t="shared" si="90"/>
        <v>1461.405</v>
      </c>
      <c r="Z1174" s="2">
        <f t="shared" si="91"/>
        <v>68427.3</v>
      </c>
      <c r="AA1174" s="2">
        <f t="shared" si="92"/>
        <v>68427.301124602702</v>
      </c>
      <c r="AB1174" s="1">
        <f t="shared" si="93"/>
        <v>7.3411477695985272E-2</v>
      </c>
      <c r="AC1174" s="1" t="b">
        <f t="shared" si="94"/>
        <v>1</v>
      </c>
    </row>
    <row r="1175" spans="1:29" x14ac:dyDescent="0.25">
      <c r="A1175" s="1" t="s">
        <v>502</v>
      </c>
      <c r="B1175">
        <v>2</v>
      </c>
      <c r="D1175" s="2">
        <v>68436</v>
      </c>
      <c r="M1175">
        <v>12</v>
      </c>
      <c r="Y1175" s="1">
        <f t="shared" si="90"/>
        <v>1461.2180000000001</v>
      </c>
      <c r="Z1175" s="2">
        <f t="shared" si="91"/>
        <v>68436</v>
      </c>
      <c r="AA1175" s="2">
        <f t="shared" si="92"/>
        <v>68436.058137800108</v>
      </c>
      <c r="AB1175" s="1">
        <f t="shared" si="93"/>
        <v>7.3417470267201787E-2</v>
      </c>
      <c r="AC1175" s="1" t="b">
        <f t="shared" si="94"/>
        <v>1</v>
      </c>
    </row>
    <row r="1176" spans="1:29" x14ac:dyDescent="0.25">
      <c r="A1176" s="1" t="s">
        <v>503</v>
      </c>
      <c r="B1176">
        <v>2</v>
      </c>
      <c r="D1176" s="2">
        <v>68463.5</v>
      </c>
      <c r="M1176">
        <v>12</v>
      </c>
      <c r="Y1176" s="1">
        <f t="shared" si="90"/>
        <v>1460.6320000000001</v>
      </c>
      <c r="Z1176" s="2">
        <f t="shared" si="91"/>
        <v>68463.5</v>
      </c>
      <c r="AA1176" s="2">
        <f t="shared" si="92"/>
        <v>68463.514423893212</v>
      </c>
      <c r="AB1176" s="1">
        <f t="shared" si="93"/>
        <v>7.3436264036353172E-2</v>
      </c>
      <c r="AC1176" s="1" t="b">
        <f t="shared" si="94"/>
        <v>1</v>
      </c>
    </row>
    <row r="1177" spans="1:29" x14ac:dyDescent="0.25">
      <c r="A1177" s="1" t="s">
        <v>504</v>
      </c>
      <c r="B1177">
        <v>2</v>
      </c>
      <c r="D1177" s="2">
        <v>68472.5</v>
      </c>
      <c r="M1177">
        <v>12</v>
      </c>
      <c r="Y1177" s="1">
        <f t="shared" si="90"/>
        <v>1460.44</v>
      </c>
      <c r="Z1177" s="2">
        <f t="shared" si="91"/>
        <v>68472.5</v>
      </c>
      <c r="AA1177" s="2">
        <f t="shared" si="92"/>
        <v>68472.515132425848</v>
      </c>
      <c r="AB1177" s="1">
        <f t="shared" si="93"/>
        <v>7.3442426642801428E-2</v>
      </c>
      <c r="AC1177" s="1" t="b">
        <f t="shared" si="94"/>
        <v>1</v>
      </c>
    </row>
    <row r="1178" spans="1:29" x14ac:dyDescent="0.25">
      <c r="A1178" s="1" t="s">
        <v>505</v>
      </c>
      <c r="B1178">
        <v>1</v>
      </c>
      <c r="D1178" s="2">
        <v>68482.7</v>
      </c>
      <c r="M1178">
        <v>12</v>
      </c>
      <c r="Y1178" s="1">
        <f t="shared" si="90"/>
        <v>1460.223</v>
      </c>
      <c r="Z1178" s="2">
        <f t="shared" si="91"/>
        <v>68482.7</v>
      </c>
      <c r="AA1178" s="2">
        <f t="shared" si="92"/>
        <v>68482.690657522864</v>
      </c>
      <c r="AB1178" s="1">
        <f t="shared" si="93"/>
        <v>7.3449394598469844E-2</v>
      </c>
      <c r="AC1178" s="1" t="b">
        <f t="shared" si="94"/>
        <v>1</v>
      </c>
    </row>
    <row r="1179" spans="1:29" x14ac:dyDescent="0.25">
      <c r="A1179" s="1" t="s">
        <v>506</v>
      </c>
      <c r="B1179">
        <v>40</v>
      </c>
      <c r="D1179" s="2">
        <v>68490.8</v>
      </c>
      <c r="M1179">
        <v>12</v>
      </c>
      <c r="Y1179" s="1">
        <f t="shared" si="90"/>
        <v>1460.05</v>
      </c>
      <c r="Z1179" s="2">
        <f t="shared" si="91"/>
        <v>68490.8</v>
      </c>
      <c r="AA1179" s="2">
        <f t="shared" si="92"/>
        <v>68490.805109414068</v>
      </c>
      <c r="AB1179" s="1">
        <f t="shared" si="93"/>
        <v>7.3454951922678702E-2</v>
      </c>
      <c r="AC1179" s="1" t="b">
        <f t="shared" si="94"/>
        <v>1</v>
      </c>
    </row>
    <row r="1180" spans="1:29" x14ac:dyDescent="0.25">
      <c r="A1180" s="1" t="s">
        <v>507</v>
      </c>
      <c r="B1180">
        <v>40</v>
      </c>
      <c r="D1180" s="2">
        <v>68508.399999999994</v>
      </c>
      <c r="E1180">
        <v>24788</v>
      </c>
      <c r="F1180" t="s">
        <v>15</v>
      </c>
      <c r="G1180" t="s">
        <v>16</v>
      </c>
      <c r="H1180">
        <v>93296</v>
      </c>
      <c r="I1180" t="s">
        <v>17</v>
      </c>
      <c r="J1180" t="s">
        <v>23</v>
      </c>
      <c r="K1180">
        <v>24788.02</v>
      </c>
      <c r="L1180">
        <v>93296.5</v>
      </c>
      <c r="M1180">
        <v>12</v>
      </c>
      <c r="Y1180" s="1">
        <f t="shared" si="90"/>
        <v>1459.674</v>
      </c>
      <c r="Z1180" s="2">
        <f t="shared" si="91"/>
        <v>68508.399999999994</v>
      </c>
      <c r="AA1180" s="2">
        <f t="shared" si="92"/>
        <v>68508.44777669535</v>
      </c>
      <c r="AB1180" s="1">
        <f t="shared" si="93"/>
        <v>7.3467037083860973E-2</v>
      </c>
      <c r="AC1180" s="1" t="b">
        <f t="shared" si="94"/>
        <v>1</v>
      </c>
    </row>
    <row r="1181" spans="1:29" x14ac:dyDescent="0.25">
      <c r="A1181" s="1" t="s">
        <v>508</v>
      </c>
      <c r="B1181">
        <v>3</v>
      </c>
      <c r="D1181" s="2">
        <v>68521.100000000006</v>
      </c>
      <c r="M1181">
        <v>12</v>
      </c>
      <c r="Y1181" s="1">
        <f t="shared" si="90"/>
        <v>1459.405</v>
      </c>
      <c r="Z1181" s="2">
        <f t="shared" si="91"/>
        <v>68521.100000000006</v>
      </c>
      <c r="AA1181" s="2">
        <f t="shared" si="92"/>
        <v>68521.075369756858</v>
      </c>
      <c r="AB1181" s="1">
        <f t="shared" si="93"/>
        <v>7.3475688849139506E-2</v>
      </c>
      <c r="AC1181" s="1" t="b">
        <f t="shared" si="94"/>
        <v>1</v>
      </c>
    </row>
    <row r="1182" spans="1:29" x14ac:dyDescent="0.25">
      <c r="A1182" s="1" t="s">
        <v>509</v>
      </c>
      <c r="B1182">
        <v>100</v>
      </c>
      <c r="D1182" s="2">
        <v>68524.2</v>
      </c>
      <c r="M1182">
        <v>12</v>
      </c>
      <c r="Y1182" s="1">
        <f t="shared" si="90"/>
        <v>1459.3389999999999</v>
      </c>
      <c r="Z1182" s="2">
        <f t="shared" si="91"/>
        <v>68524.2</v>
      </c>
      <c r="AA1182" s="2">
        <f t="shared" si="92"/>
        <v>68524.174300830724</v>
      </c>
      <c r="AB1182" s="1">
        <f t="shared" si="93"/>
        <v>7.3477812318053143E-2</v>
      </c>
      <c r="AC1182" s="1" t="b">
        <f t="shared" si="94"/>
        <v>1</v>
      </c>
    </row>
    <row r="1183" spans="1:29" x14ac:dyDescent="0.25">
      <c r="A1183" s="1" t="s">
        <v>510</v>
      </c>
      <c r="B1183">
        <v>2</v>
      </c>
      <c r="C1183" t="s">
        <v>123</v>
      </c>
      <c r="D1183" s="2">
        <v>68528</v>
      </c>
      <c r="E1183">
        <v>64865</v>
      </c>
      <c r="F1183" t="s">
        <v>17</v>
      </c>
      <c r="G1183" t="s">
        <v>23</v>
      </c>
      <c r="H1183">
        <v>133393</v>
      </c>
      <c r="I1183" t="s">
        <v>15</v>
      </c>
      <c r="J1183" t="s">
        <v>50</v>
      </c>
      <c r="K1183">
        <v>64865.15</v>
      </c>
      <c r="L1183">
        <v>133393.20000000001</v>
      </c>
      <c r="M1183">
        <v>12</v>
      </c>
      <c r="Y1183" s="1">
        <f t="shared" si="90"/>
        <v>1459.2570000000001</v>
      </c>
      <c r="Z1183" s="2">
        <f t="shared" si="91"/>
        <v>68528</v>
      </c>
      <c r="AA1183" s="2">
        <f t="shared" si="92"/>
        <v>68528.024878414144</v>
      </c>
      <c r="AB1183" s="1">
        <f t="shared" si="93"/>
        <v>7.3480450968682748E-2</v>
      </c>
      <c r="AC1183" s="1" t="b">
        <f t="shared" si="94"/>
        <v>1</v>
      </c>
    </row>
    <row r="1184" spans="1:29" x14ac:dyDescent="0.25">
      <c r="A1184" s="1" t="s">
        <v>511</v>
      </c>
      <c r="B1184">
        <v>1</v>
      </c>
      <c r="D1184" s="2">
        <v>68538.5</v>
      </c>
      <c r="M1184">
        <v>12</v>
      </c>
      <c r="Y1184" s="1">
        <f t="shared" si="90"/>
        <v>1459.0329999999999</v>
      </c>
      <c r="Z1184" s="2">
        <f t="shared" si="91"/>
        <v>68538.5</v>
      </c>
      <c r="AA1184" s="2">
        <f t="shared" si="92"/>
        <v>68538.545735428881</v>
      </c>
      <c r="AB1184" s="1">
        <f t="shared" si="93"/>
        <v>7.3487661257637379E-2</v>
      </c>
      <c r="AC1184" s="1" t="b">
        <f t="shared" si="94"/>
        <v>1</v>
      </c>
    </row>
    <row r="1185" spans="1:29" x14ac:dyDescent="0.25">
      <c r="A1185" s="1" t="s">
        <v>512</v>
      </c>
      <c r="B1185">
        <v>8</v>
      </c>
      <c r="D1185" s="2">
        <v>68550.8</v>
      </c>
      <c r="M1185">
        <v>12</v>
      </c>
      <c r="Y1185" s="1">
        <f t="shared" si="90"/>
        <v>1458.771</v>
      </c>
      <c r="Z1185" s="2">
        <f t="shared" si="91"/>
        <v>68550.8</v>
      </c>
      <c r="AA1185" s="2">
        <f t="shared" si="92"/>
        <v>68550.855480400976</v>
      </c>
      <c r="AB1185" s="1">
        <f t="shared" si="93"/>
        <v>7.3496098935474111E-2</v>
      </c>
      <c r="AC1185" s="1" t="b">
        <f t="shared" si="94"/>
        <v>1</v>
      </c>
    </row>
    <row r="1186" spans="1:29" x14ac:dyDescent="0.25">
      <c r="A1186" s="1" t="s">
        <v>513</v>
      </c>
      <c r="B1186">
        <v>2</v>
      </c>
      <c r="D1186" s="2">
        <v>68554.100000000006</v>
      </c>
      <c r="M1186">
        <v>12</v>
      </c>
      <c r="Y1186" s="1">
        <f t="shared" si="90"/>
        <v>1458.701</v>
      </c>
      <c r="Z1186" s="2">
        <f t="shared" si="91"/>
        <v>68554.100000000006</v>
      </c>
      <c r="AA1186" s="2">
        <f t="shared" si="92"/>
        <v>68554.145092105915</v>
      </c>
      <c r="AB1186" s="1">
        <f t="shared" si="93"/>
        <v>7.3498354046547559E-2</v>
      </c>
      <c r="AC1186" s="1" t="b">
        <f t="shared" si="94"/>
        <v>1</v>
      </c>
    </row>
    <row r="1187" spans="1:29" x14ac:dyDescent="0.25">
      <c r="A1187" s="1" t="s">
        <v>514</v>
      </c>
      <c r="B1187">
        <v>30</v>
      </c>
      <c r="C1187" t="s">
        <v>123</v>
      </c>
      <c r="D1187" s="2">
        <v>68558.2</v>
      </c>
      <c r="M1187">
        <v>12</v>
      </c>
      <c r="Y1187" s="1">
        <f t="shared" si="90"/>
        <v>1458.614</v>
      </c>
      <c r="Z1187" s="2">
        <f t="shared" si="91"/>
        <v>68558.2</v>
      </c>
      <c r="AA1187" s="2">
        <f t="shared" si="92"/>
        <v>68558.234049584062</v>
      </c>
      <c r="AB1187" s="1">
        <f t="shared" si="93"/>
        <v>7.3501157279987739E-2</v>
      </c>
      <c r="AC1187" s="1" t="b">
        <f t="shared" si="94"/>
        <v>1</v>
      </c>
    </row>
    <row r="1188" spans="1:29" x14ac:dyDescent="0.25">
      <c r="A1188" s="1" t="s">
        <v>515</v>
      </c>
      <c r="B1188">
        <v>10</v>
      </c>
      <c r="D1188" s="2">
        <v>68577.600000000006</v>
      </c>
      <c r="M1188">
        <v>12</v>
      </c>
      <c r="Y1188" s="1">
        <f t="shared" si="90"/>
        <v>1458.202</v>
      </c>
      <c r="Z1188" s="2">
        <f t="shared" si="91"/>
        <v>68577.600000000006</v>
      </c>
      <c r="AA1188" s="2">
        <f t="shared" si="92"/>
        <v>68577.604474551539</v>
      </c>
      <c r="AB1188" s="1">
        <f t="shared" si="93"/>
        <v>7.3514439177340157E-2</v>
      </c>
      <c r="AC1188" s="1" t="b">
        <f t="shared" si="94"/>
        <v>1</v>
      </c>
    </row>
    <row r="1189" spans="1:29" x14ac:dyDescent="0.25">
      <c r="A1189" s="1" t="s">
        <v>516</v>
      </c>
      <c r="B1189">
        <v>100</v>
      </c>
      <c r="D1189" s="2">
        <v>68581</v>
      </c>
      <c r="M1189">
        <v>12</v>
      </c>
      <c r="Y1189" s="1">
        <f t="shared" si="90"/>
        <v>1458.13</v>
      </c>
      <c r="Z1189" s="2">
        <f t="shared" si="91"/>
        <v>68581</v>
      </c>
      <c r="AA1189" s="2">
        <f t="shared" si="92"/>
        <v>68580.990720991947</v>
      </c>
      <c r="AB1189" s="1">
        <f t="shared" si="93"/>
        <v>7.3516761441363931E-2</v>
      </c>
      <c r="AC1189" s="1" t="b">
        <f t="shared" si="94"/>
        <v>1</v>
      </c>
    </row>
    <row r="1190" spans="1:29" x14ac:dyDescent="0.25">
      <c r="A1190" s="1" t="s">
        <v>517</v>
      </c>
      <c r="B1190">
        <v>2</v>
      </c>
      <c r="D1190" s="2">
        <v>68592.100000000006</v>
      </c>
      <c r="E1190">
        <v>66852</v>
      </c>
      <c r="F1190" t="s">
        <v>17</v>
      </c>
      <c r="G1190" t="s">
        <v>18</v>
      </c>
      <c r="H1190">
        <v>135445</v>
      </c>
      <c r="I1190" t="s">
        <v>15</v>
      </c>
      <c r="J1190" t="s">
        <v>18</v>
      </c>
      <c r="K1190">
        <v>66852.87</v>
      </c>
      <c r="L1190">
        <v>135445.20000000001</v>
      </c>
      <c r="M1190">
        <v>12</v>
      </c>
      <c r="Y1190" s="1">
        <f t="shared" si="90"/>
        <v>1457.894</v>
      </c>
      <c r="Z1190" s="2">
        <f t="shared" si="91"/>
        <v>68592.100000000006</v>
      </c>
      <c r="AA1190" s="2">
        <f t="shared" si="92"/>
        <v>68592.092429216384</v>
      </c>
      <c r="AB1190" s="1">
        <f t="shared" si="93"/>
        <v>7.3524375719090818E-2</v>
      </c>
      <c r="AC1190" s="1" t="b">
        <f t="shared" si="94"/>
        <v>1</v>
      </c>
    </row>
    <row r="1191" spans="1:29" x14ac:dyDescent="0.25">
      <c r="A1191" s="1" t="s">
        <v>518</v>
      </c>
      <c r="B1191">
        <v>10</v>
      </c>
      <c r="D1191" s="2">
        <v>68597.3</v>
      </c>
      <c r="E1191">
        <v>23844</v>
      </c>
      <c r="F1191" t="s">
        <v>15</v>
      </c>
      <c r="G1191" t="s">
        <v>16</v>
      </c>
      <c r="H1191">
        <v>92441</v>
      </c>
      <c r="I1191" t="s">
        <v>17</v>
      </c>
      <c r="J1191" t="s">
        <v>18</v>
      </c>
      <c r="K1191">
        <v>23844.58</v>
      </c>
      <c r="L1191">
        <v>92441.7</v>
      </c>
      <c r="M1191">
        <v>12</v>
      </c>
      <c r="Y1191" s="1">
        <f t="shared" si="90"/>
        <v>1457.7840000000001</v>
      </c>
      <c r="Z1191" s="2">
        <f t="shared" si="91"/>
        <v>68597.3</v>
      </c>
      <c r="AA1191" s="2">
        <f t="shared" si="92"/>
        <v>68597.268182391897</v>
      </c>
      <c r="AB1191" s="1">
        <f t="shared" si="93"/>
        <v>7.352792601043498E-2</v>
      </c>
      <c r="AC1191" s="1" t="b">
        <f t="shared" si="94"/>
        <v>1</v>
      </c>
    </row>
    <row r="1192" spans="1:29" x14ac:dyDescent="0.25">
      <c r="A1192" s="1" t="s">
        <v>519</v>
      </c>
      <c r="B1192">
        <v>30</v>
      </c>
      <c r="D1192" s="2">
        <v>68610.100000000006</v>
      </c>
      <c r="M1192">
        <v>12</v>
      </c>
      <c r="Y1192" s="1">
        <f t="shared" si="90"/>
        <v>1457.5119999999999</v>
      </c>
      <c r="Z1192" s="2">
        <f t="shared" si="91"/>
        <v>68610.100000000006</v>
      </c>
      <c r="AA1192" s="2">
        <f t="shared" si="92"/>
        <v>68610.069762718937</v>
      </c>
      <c r="AB1192" s="1">
        <f t="shared" si="93"/>
        <v>7.3536708364225795E-2</v>
      </c>
      <c r="AC1192" s="1" t="b">
        <f t="shared" si="94"/>
        <v>1</v>
      </c>
    </row>
    <row r="1193" spans="1:29" x14ac:dyDescent="0.25">
      <c r="A1193" s="1" t="s">
        <v>520</v>
      </c>
      <c r="B1193">
        <v>4</v>
      </c>
      <c r="C1193" t="s">
        <v>123</v>
      </c>
      <c r="D1193" s="2">
        <v>68613.8</v>
      </c>
      <c r="M1193">
        <v>12</v>
      </c>
      <c r="Y1193" s="1">
        <f t="shared" si="90"/>
        <v>1457.433</v>
      </c>
      <c r="Z1193" s="2">
        <f t="shared" si="91"/>
        <v>68613.8</v>
      </c>
      <c r="AA1193" s="2">
        <f t="shared" si="92"/>
        <v>68613.788764217636</v>
      </c>
      <c r="AB1193" s="1">
        <f t="shared" si="93"/>
        <v>7.3539260042903398E-2</v>
      </c>
      <c r="AC1193" s="1" t="b">
        <f t="shared" si="94"/>
        <v>1</v>
      </c>
    </row>
    <row r="1194" spans="1:29" x14ac:dyDescent="0.25">
      <c r="A1194" s="1" t="s">
        <v>521</v>
      </c>
      <c r="B1194">
        <v>3</v>
      </c>
      <c r="C1194" t="s">
        <v>123</v>
      </c>
      <c r="D1194" s="2">
        <v>68617.399999999994</v>
      </c>
      <c r="M1194">
        <v>12</v>
      </c>
      <c r="Y1194" s="1">
        <f t="shared" si="90"/>
        <v>1457.357</v>
      </c>
      <c r="Z1194" s="2">
        <f t="shared" si="91"/>
        <v>68617.399999999994</v>
      </c>
      <c r="AA1194" s="2">
        <f t="shared" si="92"/>
        <v>68617.366918332293</v>
      </c>
      <c r="AB1194" s="1">
        <f t="shared" si="93"/>
        <v>7.3541715214025222E-2</v>
      </c>
      <c r="AC1194" s="1" t="b">
        <f t="shared" si="94"/>
        <v>1</v>
      </c>
    </row>
    <row r="1195" spans="1:29" x14ac:dyDescent="0.25">
      <c r="A1195" s="1" t="s">
        <v>522</v>
      </c>
      <c r="B1195">
        <v>5</v>
      </c>
      <c r="D1195" s="2">
        <v>68622.100000000006</v>
      </c>
      <c r="M1195">
        <v>12</v>
      </c>
      <c r="Y1195" s="1">
        <f t="shared" si="90"/>
        <v>1457.2570000000001</v>
      </c>
      <c r="Z1195" s="2">
        <f t="shared" si="91"/>
        <v>68622.100000000006</v>
      </c>
      <c r="AA1195" s="2">
        <f t="shared" si="92"/>
        <v>68622.075584471371</v>
      </c>
      <c r="AB1195" s="1">
        <f t="shared" si="93"/>
        <v>7.354494628760451E-2</v>
      </c>
      <c r="AC1195" s="1" t="b">
        <f t="shared" si="94"/>
        <v>1</v>
      </c>
    </row>
    <row r="1196" spans="1:29" x14ac:dyDescent="0.25">
      <c r="A1196" s="1" t="s">
        <v>523</v>
      </c>
      <c r="B1196">
        <v>40</v>
      </c>
      <c r="D1196" s="2">
        <v>68636.600000000006</v>
      </c>
      <c r="M1196">
        <v>12</v>
      </c>
      <c r="Y1196" s="1">
        <f t="shared" si="90"/>
        <v>1456.9490000000001</v>
      </c>
      <c r="Z1196" s="2">
        <f t="shared" si="91"/>
        <v>68636.600000000006</v>
      </c>
      <c r="AA1196" s="2">
        <f t="shared" si="92"/>
        <v>68636.582337473723</v>
      </c>
      <c r="AB1196" s="1">
        <f t="shared" si="93"/>
        <v>7.3554902174844047E-2</v>
      </c>
      <c r="AC1196" s="1" t="b">
        <f t="shared" si="94"/>
        <v>1</v>
      </c>
    </row>
    <row r="1197" spans="1:29" x14ac:dyDescent="0.25">
      <c r="A1197" s="1" t="s">
        <v>524</v>
      </c>
      <c r="B1197">
        <v>1</v>
      </c>
      <c r="D1197" s="2">
        <v>68644.2</v>
      </c>
      <c r="M1197">
        <v>12</v>
      </c>
      <c r="Y1197" s="1">
        <f t="shared" si="90"/>
        <v>1456.787</v>
      </c>
      <c r="Z1197" s="2">
        <f t="shared" si="91"/>
        <v>68644.2</v>
      </c>
      <c r="AA1197" s="2">
        <f t="shared" si="92"/>
        <v>68644.21497446092</v>
      </c>
      <c r="AB1197" s="1">
        <f t="shared" si="93"/>
        <v>7.3560141247300023E-2</v>
      </c>
      <c r="AC1197" s="1" t="b">
        <f t="shared" si="94"/>
        <v>1</v>
      </c>
    </row>
    <row r="1198" spans="1:29" x14ac:dyDescent="0.25">
      <c r="A1198" s="1" t="s">
        <v>525</v>
      </c>
      <c r="B1198">
        <v>1</v>
      </c>
      <c r="D1198" s="2">
        <v>68646.5</v>
      </c>
      <c r="E1198">
        <v>64857</v>
      </c>
      <c r="F1198" t="s">
        <v>17</v>
      </c>
      <c r="G1198" t="s">
        <v>16</v>
      </c>
      <c r="H1198">
        <v>133503</v>
      </c>
      <c r="I1198" t="s">
        <v>15</v>
      </c>
      <c r="J1198" t="s">
        <v>23</v>
      </c>
      <c r="K1198">
        <v>64857.15</v>
      </c>
      <c r="L1198">
        <v>133503.9</v>
      </c>
      <c r="M1198">
        <v>12</v>
      </c>
      <c r="Y1198" s="1">
        <f t="shared" si="90"/>
        <v>1456.7380000000001</v>
      </c>
      <c r="Z1198" s="2">
        <f t="shared" si="91"/>
        <v>68646.5</v>
      </c>
      <c r="AA1198" s="2">
        <f t="shared" si="92"/>
        <v>68646.523945966939</v>
      </c>
      <c r="AB1198" s="1">
        <f t="shared" si="93"/>
        <v>7.3561726249321072E-2</v>
      </c>
      <c r="AC1198" s="1" t="b">
        <f t="shared" si="94"/>
        <v>1</v>
      </c>
    </row>
    <row r="1199" spans="1:29" x14ac:dyDescent="0.25">
      <c r="A1199" s="1" t="s">
        <v>526</v>
      </c>
      <c r="B1199">
        <v>2</v>
      </c>
      <c r="D1199" s="2">
        <v>68654.2</v>
      </c>
      <c r="M1199">
        <v>12</v>
      </c>
      <c r="Y1199" s="1">
        <f t="shared" si="90"/>
        <v>1456.5740000000001</v>
      </c>
      <c r="Z1199" s="2">
        <f t="shared" si="91"/>
        <v>68654.2</v>
      </c>
      <c r="AA1199" s="2">
        <f t="shared" si="92"/>
        <v>68654.253062322954</v>
      </c>
      <c r="AB1199" s="1">
        <f t="shared" si="93"/>
        <v>7.3567032317727404E-2</v>
      </c>
      <c r="AC1199" s="1" t="b">
        <f t="shared" si="94"/>
        <v>1</v>
      </c>
    </row>
    <row r="1200" spans="1:29" x14ac:dyDescent="0.25">
      <c r="A1200" s="1" t="s">
        <v>527</v>
      </c>
      <c r="B1200">
        <v>30</v>
      </c>
      <c r="D1200" s="2">
        <v>68701</v>
      </c>
      <c r="E1200">
        <v>26446</v>
      </c>
      <c r="F1200" t="s">
        <v>15</v>
      </c>
      <c r="G1200" t="s">
        <v>18</v>
      </c>
      <c r="H1200">
        <v>95147</v>
      </c>
      <c r="I1200" t="s">
        <v>17</v>
      </c>
      <c r="J1200" t="s">
        <v>16</v>
      </c>
      <c r="K1200">
        <v>26446.97</v>
      </c>
      <c r="L1200">
        <v>95147.9</v>
      </c>
      <c r="M1200">
        <v>12</v>
      </c>
      <c r="Y1200" s="1">
        <f t="shared" si="90"/>
        <v>1455.5830000000001</v>
      </c>
      <c r="Z1200" s="2">
        <f t="shared" si="91"/>
        <v>68701</v>
      </c>
      <c r="AA1200" s="2">
        <f t="shared" si="92"/>
        <v>68700.994721702576</v>
      </c>
      <c r="AB1200" s="1">
        <f t="shared" si="93"/>
        <v>7.3599133378757037E-2</v>
      </c>
      <c r="AC1200" s="1" t="b">
        <f t="shared" si="94"/>
        <v>1</v>
      </c>
    </row>
    <row r="1201" spans="1:29" x14ac:dyDescent="0.25">
      <c r="A1201" s="1">
        <v>1454.9570000000001</v>
      </c>
      <c r="B1201">
        <v>400</v>
      </c>
      <c r="C1201" t="s">
        <v>124</v>
      </c>
      <c r="D1201" s="2">
        <v>68730.600000000006</v>
      </c>
      <c r="M1201">
        <v>13</v>
      </c>
      <c r="Y1201" s="1">
        <f t="shared" si="90"/>
        <v>1454.9570000000001</v>
      </c>
      <c r="Z1201" s="2">
        <f t="shared" si="91"/>
        <v>68730.600000000006</v>
      </c>
      <c r="AA1201" s="2">
        <f t="shared" si="92"/>
        <v>68730.553549005228</v>
      </c>
      <c r="AB1201" s="1">
        <f t="shared" si="93"/>
        <v>7.3619444955763377E-2</v>
      </c>
      <c r="AC1201" s="1" t="b">
        <f t="shared" si="94"/>
        <v>1</v>
      </c>
    </row>
    <row r="1202" spans="1:29" x14ac:dyDescent="0.25">
      <c r="A1202" s="1">
        <v>1454.8320000000001</v>
      </c>
      <c r="B1202">
        <v>4</v>
      </c>
      <c r="D1202" s="2">
        <v>68736.399999999994</v>
      </c>
      <c r="M1202">
        <v>13</v>
      </c>
      <c r="Y1202" s="1">
        <f t="shared" si="90"/>
        <v>1454.8320000000001</v>
      </c>
      <c r="Z1202" s="2">
        <f t="shared" si="91"/>
        <v>68736.399999999994</v>
      </c>
      <c r="AA1202" s="2">
        <f t="shared" si="92"/>
        <v>68736.458917593234</v>
      </c>
      <c r="AB1202" s="1">
        <f t="shared" si="93"/>
        <v>7.3623503922649908E-2</v>
      </c>
      <c r="AC1202" s="1" t="b">
        <f t="shared" si="94"/>
        <v>1</v>
      </c>
    </row>
    <row r="1203" spans="1:29" x14ac:dyDescent="0.25">
      <c r="A1203" s="1">
        <v>1454.7750000000001</v>
      </c>
      <c r="B1203">
        <v>5</v>
      </c>
      <c r="D1203" s="2">
        <v>68739.199999999997</v>
      </c>
      <c r="M1203">
        <v>13</v>
      </c>
      <c r="Y1203" s="1">
        <f t="shared" si="90"/>
        <v>1454.7750000000001</v>
      </c>
      <c r="Z1203" s="2">
        <f t="shared" si="91"/>
        <v>68739.199999999997</v>
      </c>
      <c r="AA1203" s="2">
        <f t="shared" si="92"/>
        <v>68739.152102558815</v>
      </c>
      <c r="AB1203" s="1">
        <f t="shared" si="93"/>
        <v>7.3625355158893582E-2</v>
      </c>
      <c r="AC1203" s="1" t="b">
        <f t="shared" si="94"/>
        <v>1</v>
      </c>
    </row>
    <row r="1204" spans="1:29" x14ac:dyDescent="0.25">
      <c r="A1204" s="1">
        <v>1454.6020000000001</v>
      </c>
      <c r="B1204">
        <v>5</v>
      </c>
      <c r="C1204" t="s">
        <v>27</v>
      </c>
      <c r="D1204" s="2">
        <v>68747.3</v>
      </c>
      <c r="E1204">
        <v>46673</v>
      </c>
      <c r="F1204" t="s">
        <v>15</v>
      </c>
      <c r="G1204" t="s">
        <v>18</v>
      </c>
      <c r="H1204">
        <v>115420</v>
      </c>
      <c r="I1204" t="s">
        <v>17</v>
      </c>
      <c r="J1204" t="s">
        <v>18</v>
      </c>
      <c r="K1204">
        <v>46673.78</v>
      </c>
      <c r="L1204">
        <v>115420.8</v>
      </c>
      <c r="M1204">
        <v>13</v>
      </c>
      <c r="Y1204" s="1">
        <f t="shared" si="90"/>
        <v>1454.6020000000001</v>
      </c>
      <c r="Z1204" s="2">
        <f t="shared" si="91"/>
        <v>68747.3</v>
      </c>
      <c r="AA1204" s="2">
        <f t="shared" si="92"/>
        <v>68747.327447645468</v>
      </c>
      <c r="AB1204" s="1">
        <f t="shared" si="93"/>
        <v>7.3630975155968947E-2</v>
      </c>
      <c r="AC1204" s="1" t="b">
        <f t="shared" si="94"/>
        <v>1</v>
      </c>
    </row>
    <row r="1205" spans="1:29" x14ac:dyDescent="0.25">
      <c r="A1205" s="1">
        <v>1454.6020000000001</v>
      </c>
      <c r="B1205">
        <v>5</v>
      </c>
      <c r="C1205" t="s">
        <v>27</v>
      </c>
      <c r="D1205" s="2">
        <v>68747.3</v>
      </c>
      <c r="E1205">
        <v>14859</v>
      </c>
      <c r="F1205" t="s">
        <v>15</v>
      </c>
      <c r="G1205" t="s">
        <v>23</v>
      </c>
      <c r="H1205">
        <v>83607</v>
      </c>
      <c r="I1205" t="s">
        <v>17</v>
      </c>
      <c r="J1205" t="s">
        <v>23</v>
      </c>
      <c r="K1205">
        <v>14859.96</v>
      </c>
      <c r="L1205">
        <v>83607.320000000007</v>
      </c>
      <c r="M1205">
        <v>13</v>
      </c>
      <c r="Y1205" s="1">
        <f t="shared" si="90"/>
        <v>1454.6020000000001</v>
      </c>
      <c r="Z1205" s="2">
        <f t="shared" si="91"/>
        <v>68747.3</v>
      </c>
      <c r="AA1205" s="2">
        <f t="shared" si="92"/>
        <v>68747.327447645468</v>
      </c>
      <c r="AB1205" s="1">
        <f t="shared" si="93"/>
        <v>7.3630975155968947E-2</v>
      </c>
      <c r="AC1205" s="1" t="b">
        <f t="shared" si="94"/>
        <v>1</v>
      </c>
    </row>
    <row r="1206" spans="1:29" x14ac:dyDescent="0.25">
      <c r="A1206" s="1">
        <v>1454.2650000000001</v>
      </c>
      <c r="B1206">
        <v>20</v>
      </c>
      <c r="D1206" s="2">
        <v>68763.199999999997</v>
      </c>
      <c r="M1206">
        <v>13</v>
      </c>
      <c r="Y1206" s="1">
        <f t="shared" si="90"/>
        <v>1454.2650000000001</v>
      </c>
      <c r="Z1206" s="2">
        <f t="shared" si="91"/>
        <v>68763.199999999997</v>
      </c>
      <c r="AA1206" s="2">
        <f t="shared" si="92"/>
        <v>68763.258415763281</v>
      </c>
      <c r="AB1206" s="1">
        <f t="shared" si="93"/>
        <v>7.36419285397652E-2</v>
      </c>
      <c r="AC1206" s="1" t="b">
        <f t="shared" si="94"/>
        <v>1</v>
      </c>
    </row>
    <row r="1207" spans="1:29" x14ac:dyDescent="0.25">
      <c r="A1207" s="1">
        <v>1454.029</v>
      </c>
      <c r="B1207">
        <v>40</v>
      </c>
      <c r="D1207" s="2">
        <v>68774.399999999994</v>
      </c>
      <c r="M1207">
        <v>13</v>
      </c>
      <c r="Y1207" s="1">
        <f t="shared" si="90"/>
        <v>1454.029</v>
      </c>
      <c r="Z1207" s="2">
        <f t="shared" si="91"/>
        <v>68774.399999999994</v>
      </c>
      <c r="AA1207" s="2">
        <f t="shared" si="92"/>
        <v>68774.419217223316</v>
      </c>
      <c r="AB1207" s="1">
        <f t="shared" si="93"/>
        <v>7.3649603693331886E-2</v>
      </c>
      <c r="AC1207" s="1" t="b">
        <f t="shared" si="94"/>
        <v>1</v>
      </c>
    </row>
    <row r="1208" spans="1:29" x14ac:dyDescent="0.25">
      <c r="A1208" s="1">
        <v>1453.934</v>
      </c>
      <c r="B1208">
        <v>5</v>
      </c>
      <c r="D1208" s="2">
        <v>68778.899999999994</v>
      </c>
      <c r="M1208">
        <v>13</v>
      </c>
      <c r="Y1208" s="1">
        <f t="shared" si="90"/>
        <v>1453.934</v>
      </c>
      <c r="Z1208" s="2">
        <f t="shared" si="91"/>
        <v>68778.899999999994</v>
      </c>
      <c r="AA1208" s="2">
        <f t="shared" si="92"/>
        <v>68778.912935525266</v>
      </c>
      <c r="AB1208" s="1">
        <f t="shared" si="93"/>
        <v>7.3652694322962828E-2</v>
      </c>
      <c r="AC1208" s="1" t="b">
        <f t="shared" si="94"/>
        <v>1</v>
      </c>
    </row>
    <row r="1209" spans="1:29" x14ac:dyDescent="0.25">
      <c r="A1209" s="1">
        <v>1453.7049999999999</v>
      </c>
      <c r="B1209">
        <v>7</v>
      </c>
      <c r="D1209" s="2">
        <v>68789.8</v>
      </c>
      <c r="E1209">
        <v>16516</v>
      </c>
      <c r="F1209" t="s">
        <v>15</v>
      </c>
      <c r="G1209" t="s">
        <v>18</v>
      </c>
      <c r="H1209">
        <v>85306</v>
      </c>
      <c r="I1209" t="s">
        <v>17</v>
      </c>
      <c r="J1209" t="s">
        <v>28</v>
      </c>
      <c r="K1209">
        <v>16516.150000000001</v>
      </c>
      <c r="L1209">
        <v>85306.1</v>
      </c>
      <c r="M1209">
        <v>13</v>
      </c>
      <c r="Y1209" s="1">
        <f t="shared" si="90"/>
        <v>1453.7049999999999</v>
      </c>
      <c r="Z1209" s="2">
        <f t="shared" si="91"/>
        <v>68789.8</v>
      </c>
      <c r="AA1209" s="2">
        <f t="shared" si="92"/>
        <v>68789.747576021269</v>
      </c>
      <c r="AB1209" s="1">
        <f t="shared" si="93"/>
        <v>7.3660146857863623E-2</v>
      </c>
      <c r="AC1209" s="1" t="b">
        <f t="shared" si="94"/>
        <v>1</v>
      </c>
    </row>
    <row r="1210" spans="1:29" x14ac:dyDescent="0.25">
      <c r="A1210" s="1">
        <v>1453.5409999999999</v>
      </c>
      <c r="B1210">
        <v>15</v>
      </c>
      <c r="D1210" s="2">
        <v>68797.5</v>
      </c>
      <c r="M1210">
        <v>13</v>
      </c>
      <c r="Y1210" s="1">
        <f t="shared" si="90"/>
        <v>1453.5409999999999</v>
      </c>
      <c r="Z1210" s="2">
        <f t="shared" si="91"/>
        <v>68797.5</v>
      </c>
      <c r="AA1210" s="2">
        <f t="shared" si="92"/>
        <v>68797.50897979486</v>
      </c>
      <c r="AB1210" s="1">
        <f t="shared" si="93"/>
        <v>7.3665486209124775E-2</v>
      </c>
      <c r="AC1210" s="1" t="b">
        <f t="shared" si="94"/>
        <v>1</v>
      </c>
    </row>
    <row r="1211" spans="1:29" x14ac:dyDescent="0.25">
      <c r="A1211" s="1">
        <v>1453.405</v>
      </c>
      <c r="B1211">
        <v>30</v>
      </c>
      <c r="D1211" s="2">
        <v>68803.899999999994</v>
      </c>
      <c r="M1211">
        <v>13</v>
      </c>
      <c r="Y1211" s="1">
        <f t="shared" si="90"/>
        <v>1453.405</v>
      </c>
      <c r="Z1211" s="2">
        <f t="shared" si="91"/>
        <v>68803.899999999994</v>
      </c>
      <c r="AA1211" s="2">
        <f t="shared" si="92"/>
        <v>68803.946594376655</v>
      </c>
      <c r="AB1211" s="1">
        <f t="shared" si="93"/>
        <v>7.3669915334809183E-2</v>
      </c>
      <c r="AC1211" s="1" t="b">
        <f t="shared" si="94"/>
        <v>1</v>
      </c>
    </row>
    <row r="1212" spans="1:29" x14ac:dyDescent="0.25">
      <c r="A1212" s="1">
        <v>1453.0940000000001</v>
      </c>
      <c r="B1212">
        <v>20</v>
      </c>
      <c r="C1212" t="s">
        <v>123</v>
      </c>
      <c r="D1212" s="2">
        <v>68818.7</v>
      </c>
      <c r="M1212">
        <v>13</v>
      </c>
      <c r="Y1212" s="1">
        <f t="shared" si="90"/>
        <v>1453.0940000000001</v>
      </c>
      <c r="Z1212" s="2">
        <f t="shared" si="91"/>
        <v>68818.7</v>
      </c>
      <c r="AA1212" s="2">
        <f t="shared" si="92"/>
        <v>68818.672432753825</v>
      </c>
      <c r="AB1212" s="1">
        <f t="shared" si="93"/>
        <v>7.3680048377033361E-2</v>
      </c>
      <c r="AC1212" s="1" t="b">
        <f t="shared" si="94"/>
        <v>1</v>
      </c>
    </row>
    <row r="1213" spans="1:29" x14ac:dyDescent="0.25">
      <c r="A1213" s="1">
        <v>1453.0139999999999</v>
      </c>
      <c r="B1213">
        <v>100</v>
      </c>
      <c r="C1213" t="s">
        <v>123</v>
      </c>
      <c r="D1213" s="2">
        <v>68822.5</v>
      </c>
      <c r="M1213">
        <v>13</v>
      </c>
      <c r="Y1213" s="1">
        <f t="shared" si="90"/>
        <v>1453.0139999999999</v>
      </c>
      <c r="Z1213" s="2">
        <f t="shared" si="91"/>
        <v>68822.5</v>
      </c>
      <c r="AA1213" s="2">
        <f t="shared" si="92"/>
        <v>68822.46144909822</v>
      </c>
      <c r="AB1213" s="1">
        <f t="shared" si="93"/>
        <v>7.3682655999563057E-2</v>
      </c>
      <c r="AC1213" s="1" t="b">
        <f t="shared" si="94"/>
        <v>1</v>
      </c>
    </row>
    <row r="1214" spans="1:29" x14ac:dyDescent="0.25">
      <c r="A1214" s="1">
        <v>1452.8869999999999</v>
      </c>
      <c r="B1214">
        <v>40</v>
      </c>
      <c r="D1214" s="2">
        <v>68828.5</v>
      </c>
      <c r="M1214">
        <v>13</v>
      </c>
      <c r="Y1214" s="1">
        <f t="shared" si="90"/>
        <v>1452.8869999999999</v>
      </c>
      <c r="Z1214" s="2">
        <f t="shared" si="91"/>
        <v>68828.5</v>
      </c>
      <c r="AA1214" s="2">
        <f t="shared" si="92"/>
        <v>68828.477369540793</v>
      </c>
      <c r="AB1214" s="1">
        <f t="shared" si="93"/>
        <v>7.3686796485046946E-2</v>
      </c>
      <c r="AC1214" s="1" t="b">
        <f t="shared" si="94"/>
        <v>1</v>
      </c>
    </row>
    <row r="1215" spans="1:29" x14ac:dyDescent="0.25">
      <c r="A1215" s="1">
        <v>1452.569</v>
      </c>
      <c r="B1215">
        <v>1</v>
      </c>
      <c r="D1215" s="2">
        <v>68843.600000000006</v>
      </c>
      <c r="E1215">
        <v>14859</v>
      </c>
      <c r="F1215" t="s">
        <v>15</v>
      </c>
      <c r="G1215" t="s">
        <v>23</v>
      </c>
      <c r="H1215">
        <v>83703</v>
      </c>
      <c r="I1215" t="s">
        <v>17</v>
      </c>
      <c r="J1215" t="s">
        <v>50</v>
      </c>
      <c r="K1215">
        <v>14859.96</v>
      </c>
      <c r="L1215">
        <v>83703.429999999993</v>
      </c>
      <c r="M1215">
        <v>13</v>
      </c>
      <c r="Y1215" s="1">
        <f t="shared" si="90"/>
        <v>1452.569</v>
      </c>
      <c r="Z1215" s="2">
        <f t="shared" si="91"/>
        <v>68843.600000000006</v>
      </c>
      <c r="AA1215" s="2">
        <f t="shared" si="92"/>
        <v>68843.545470129131</v>
      </c>
      <c r="AB1215" s="1">
        <f t="shared" si="93"/>
        <v>7.3697168764488688E-2</v>
      </c>
      <c r="AC1215" s="1" t="b">
        <f t="shared" si="94"/>
        <v>1</v>
      </c>
    </row>
    <row r="1216" spans="1:29" x14ac:dyDescent="0.25">
      <c r="A1216" s="1">
        <v>1452.4780000000001</v>
      </c>
      <c r="B1216">
        <v>1</v>
      </c>
      <c r="D1216" s="2">
        <v>68847.8</v>
      </c>
      <c r="M1216">
        <v>13</v>
      </c>
      <c r="Y1216" s="1">
        <f t="shared" si="90"/>
        <v>1452.4780000000001</v>
      </c>
      <c r="Z1216" s="2">
        <f t="shared" si="91"/>
        <v>68847.8</v>
      </c>
      <c r="AA1216" s="2">
        <f t="shared" si="92"/>
        <v>68847.858625053181</v>
      </c>
      <c r="AB1216" s="1">
        <f t="shared" si="93"/>
        <v>7.3700138186276548E-2</v>
      </c>
      <c r="AC1216" s="1" t="b">
        <f t="shared" si="94"/>
        <v>1</v>
      </c>
    </row>
    <row r="1217" spans="1:29" x14ac:dyDescent="0.25">
      <c r="A1217" s="1">
        <v>1452.3520000000001</v>
      </c>
      <c r="B1217">
        <v>400</v>
      </c>
      <c r="D1217" s="2">
        <v>68853.8</v>
      </c>
      <c r="M1217">
        <v>13</v>
      </c>
      <c r="Y1217" s="1">
        <f t="shared" si="90"/>
        <v>1452.3520000000001</v>
      </c>
      <c r="Z1217" s="2">
        <f t="shared" si="91"/>
        <v>68853.8</v>
      </c>
      <c r="AA1217" s="2">
        <f t="shared" si="92"/>
        <v>68853.831578019643</v>
      </c>
      <c r="AB1217" s="1">
        <f t="shared" si="93"/>
        <v>7.3704250614871486E-2</v>
      </c>
      <c r="AC1217" s="1" t="b">
        <f t="shared" si="94"/>
        <v>1</v>
      </c>
    </row>
    <row r="1218" spans="1:29" x14ac:dyDescent="0.25">
      <c r="A1218" s="1">
        <v>1452.0050000000001</v>
      </c>
      <c r="B1218">
        <v>8</v>
      </c>
      <c r="C1218" t="s">
        <v>123</v>
      </c>
      <c r="D1218" s="2">
        <v>68870.3</v>
      </c>
      <c r="M1218">
        <v>13</v>
      </c>
      <c r="Y1218" s="1">
        <f t="shared" si="90"/>
        <v>1452.0050000000001</v>
      </c>
      <c r="Z1218" s="2">
        <f t="shared" si="91"/>
        <v>68870.3</v>
      </c>
      <c r="AA1218" s="2">
        <f t="shared" si="92"/>
        <v>68870.286259344837</v>
      </c>
      <c r="AB1218" s="1">
        <f t="shared" si="93"/>
        <v>7.3715581647220516E-2</v>
      </c>
      <c r="AC1218" s="1" t="b">
        <f t="shared" si="94"/>
        <v>1</v>
      </c>
    </row>
    <row r="1219" spans="1:29" x14ac:dyDescent="0.25">
      <c r="A1219" s="1">
        <v>1451.7829999999999</v>
      </c>
      <c r="B1219">
        <v>100</v>
      </c>
      <c r="D1219" s="2">
        <v>68880.800000000003</v>
      </c>
      <c r="E1219">
        <v>21238</v>
      </c>
      <c r="F1219" t="s">
        <v>15</v>
      </c>
      <c r="G1219" t="s">
        <v>50</v>
      </c>
      <c r="H1219">
        <v>90119</v>
      </c>
      <c r="I1219" t="s">
        <v>17</v>
      </c>
      <c r="J1219" t="s">
        <v>23</v>
      </c>
      <c r="K1219">
        <v>21238.78</v>
      </c>
      <c r="L1219">
        <v>90119.8</v>
      </c>
      <c r="M1219">
        <v>13</v>
      </c>
      <c r="Y1219" s="1">
        <f t="shared" ref="Y1219:Y1282" si="95">ROUND($A1219,3)+0</f>
        <v>1451.7829999999999</v>
      </c>
      <c r="Z1219" s="2">
        <f t="shared" ref="Z1219:Z1282" si="96">ROUND($D1219,1)+0</f>
        <v>68880.800000000003</v>
      </c>
      <c r="AA1219" s="2">
        <f t="shared" ref="AA1219:AA1282" si="97">100000000/Y1219</f>
        <v>68880.817587752448</v>
      </c>
      <c r="AB1219" s="1">
        <f t="shared" ref="AB1219:AB1282" si="98">0.0005/$Y1219*AA1219+0.05</f>
        <v>7.3722835157786132E-2</v>
      </c>
      <c r="AC1219" s="1" t="b">
        <f t="shared" ref="AC1219:AC1282" si="99">ABS(Z1219-AA1219)&lt;AB1219</f>
        <v>1</v>
      </c>
    </row>
    <row r="1220" spans="1:29" x14ac:dyDescent="0.25">
      <c r="A1220" s="1">
        <v>1451.3579999999999</v>
      </c>
      <c r="B1220">
        <v>300</v>
      </c>
      <c r="C1220" t="s">
        <v>123</v>
      </c>
      <c r="D1220" s="2">
        <v>68901</v>
      </c>
      <c r="M1220">
        <v>13</v>
      </c>
      <c r="Y1220" s="1">
        <f t="shared" si="95"/>
        <v>1451.3579999999999</v>
      </c>
      <c r="Z1220" s="2">
        <f t="shared" si="96"/>
        <v>68901</v>
      </c>
      <c r="AA1220" s="2">
        <f t="shared" si="97"/>
        <v>68900.987902364548</v>
      </c>
      <c r="AB1220" s="1">
        <f t="shared" si="98"/>
        <v>7.3736730669608924E-2</v>
      </c>
      <c r="AC1220" s="1" t="b">
        <f t="shared" si="99"/>
        <v>1</v>
      </c>
    </row>
    <row r="1221" spans="1:29" x14ac:dyDescent="0.25">
      <c r="A1221" s="1">
        <v>1451.193</v>
      </c>
      <c r="B1221">
        <v>30</v>
      </c>
      <c r="D1221" s="2">
        <v>68908.800000000003</v>
      </c>
      <c r="E1221">
        <v>23532</v>
      </c>
      <c r="F1221" t="s">
        <v>15</v>
      </c>
      <c r="G1221" t="s">
        <v>28</v>
      </c>
      <c r="H1221">
        <v>92441</v>
      </c>
      <c r="I1221" t="s">
        <v>17</v>
      </c>
      <c r="J1221" t="s">
        <v>18</v>
      </c>
      <c r="K1221">
        <v>23532.86</v>
      </c>
      <c r="L1221">
        <v>92441.7</v>
      </c>
      <c r="M1221">
        <v>13</v>
      </c>
      <c r="Y1221" s="1">
        <f t="shared" si="95"/>
        <v>1451.193</v>
      </c>
      <c r="Z1221" s="2">
        <f t="shared" si="96"/>
        <v>68908.800000000003</v>
      </c>
      <c r="AA1221" s="2">
        <f t="shared" si="97"/>
        <v>68908.821914107917</v>
      </c>
      <c r="AB1221" s="1">
        <f t="shared" si="98"/>
        <v>7.37421286879512E-2</v>
      </c>
      <c r="AC1221" s="1" t="b">
        <f t="shared" si="99"/>
        <v>1</v>
      </c>
    </row>
    <row r="1222" spans="1:29" x14ac:dyDescent="0.25">
      <c r="A1222" s="1">
        <v>1450.96</v>
      </c>
      <c r="B1222">
        <v>4</v>
      </c>
      <c r="C1222" t="s">
        <v>123</v>
      </c>
      <c r="D1222" s="2">
        <v>68919.899999999994</v>
      </c>
      <c r="M1222">
        <v>13</v>
      </c>
      <c r="Y1222" s="1">
        <f t="shared" si="95"/>
        <v>1450.96</v>
      </c>
      <c r="Z1222" s="2">
        <f t="shared" si="96"/>
        <v>68919.899999999994</v>
      </c>
      <c r="AA1222" s="2">
        <f t="shared" si="97"/>
        <v>68919.887522743564</v>
      </c>
      <c r="AB1222" s="1">
        <f t="shared" si="98"/>
        <v>7.3749754480738117E-2</v>
      </c>
      <c r="AC1222" s="1" t="b">
        <f t="shared" si="99"/>
        <v>1</v>
      </c>
    </row>
    <row r="1223" spans="1:29" x14ac:dyDescent="0.25">
      <c r="A1223" s="1">
        <v>1450.5</v>
      </c>
      <c r="B1223">
        <v>2</v>
      </c>
      <c r="D1223" s="2">
        <v>68941.7</v>
      </c>
      <c r="M1223">
        <v>13</v>
      </c>
      <c r="Y1223" s="1">
        <f t="shared" si="95"/>
        <v>1450.5</v>
      </c>
      <c r="Z1223" s="2">
        <f t="shared" si="96"/>
        <v>68941.7</v>
      </c>
      <c r="AA1223" s="2">
        <f t="shared" si="97"/>
        <v>68941.744226128925</v>
      </c>
      <c r="AB1223" s="1">
        <f t="shared" si="98"/>
        <v>7.376482048470491E-2</v>
      </c>
      <c r="AC1223" s="1" t="b">
        <f t="shared" si="99"/>
        <v>1</v>
      </c>
    </row>
    <row r="1224" spans="1:29" x14ac:dyDescent="0.25">
      <c r="A1224" s="1">
        <v>1450.403</v>
      </c>
      <c r="B1224">
        <v>4</v>
      </c>
      <c r="D1224" s="2">
        <v>68946.399999999994</v>
      </c>
      <c r="M1224">
        <v>13</v>
      </c>
      <c r="Y1224" s="1">
        <f t="shared" si="95"/>
        <v>1450.403</v>
      </c>
      <c r="Z1224" s="2">
        <f t="shared" si="96"/>
        <v>68946.399999999994</v>
      </c>
      <c r="AA1224" s="2">
        <f t="shared" si="97"/>
        <v>68946.354909635455</v>
      </c>
      <c r="AB1224" s="1">
        <f t="shared" si="98"/>
        <v>7.3767999276627069E-2</v>
      </c>
      <c r="AC1224" s="1" t="b">
        <f t="shared" si="99"/>
        <v>1</v>
      </c>
    </row>
    <row r="1225" spans="1:29" x14ac:dyDescent="0.25">
      <c r="A1225" s="1">
        <v>1450.241</v>
      </c>
      <c r="B1225">
        <v>10</v>
      </c>
      <c r="C1225" t="s">
        <v>123</v>
      </c>
      <c r="D1225" s="2">
        <v>68954</v>
      </c>
      <c r="M1225">
        <v>13</v>
      </c>
      <c r="Y1225" s="1">
        <f t="shared" si="95"/>
        <v>1450.241</v>
      </c>
      <c r="Z1225" s="2">
        <f t="shared" si="96"/>
        <v>68954</v>
      </c>
      <c r="AA1225" s="2">
        <f t="shared" si="97"/>
        <v>68954.0566016269</v>
      </c>
      <c r="AB1225" s="1">
        <f t="shared" si="98"/>
        <v>7.3773309609101834E-2</v>
      </c>
      <c r="AC1225" s="1" t="b">
        <f t="shared" si="99"/>
        <v>1</v>
      </c>
    </row>
    <row r="1226" spans="1:29" x14ac:dyDescent="0.25">
      <c r="A1226" s="1">
        <v>1448.8140000000001</v>
      </c>
      <c r="B1226">
        <v>5</v>
      </c>
      <c r="D1226" s="2">
        <v>69022</v>
      </c>
      <c r="E1226">
        <v>23532</v>
      </c>
      <c r="F1226" t="s">
        <v>15</v>
      </c>
      <c r="G1226" t="s">
        <v>28</v>
      </c>
      <c r="H1226">
        <v>92554</v>
      </c>
      <c r="I1226" t="s">
        <v>17</v>
      </c>
      <c r="J1226" t="s">
        <v>28</v>
      </c>
      <c r="K1226">
        <v>23532.86</v>
      </c>
      <c r="L1226">
        <v>92554.8</v>
      </c>
      <c r="M1226">
        <v>13</v>
      </c>
      <c r="Y1226" s="1">
        <f t="shared" si="95"/>
        <v>1448.8140000000001</v>
      </c>
      <c r="Z1226" s="2">
        <f t="shared" si="96"/>
        <v>69022</v>
      </c>
      <c r="AA1226" s="2">
        <f t="shared" si="97"/>
        <v>69021.972454711227</v>
      </c>
      <c r="AB1226" s="1">
        <f t="shared" si="98"/>
        <v>7.3820163407694581E-2</v>
      </c>
      <c r="AC1226" s="1" t="b">
        <f t="shared" si="99"/>
        <v>1</v>
      </c>
    </row>
    <row r="1227" spans="1:29" x14ac:dyDescent="0.25">
      <c r="A1227" s="1">
        <v>1448.5239999999999</v>
      </c>
      <c r="B1227">
        <v>10</v>
      </c>
      <c r="C1227" t="s">
        <v>123</v>
      </c>
      <c r="D1227" s="2">
        <v>69035.8</v>
      </c>
      <c r="M1227">
        <v>13</v>
      </c>
      <c r="Y1227" s="1">
        <f t="shared" si="95"/>
        <v>1448.5239999999999</v>
      </c>
      <c r="Z1227" s="2">
        <f t="shared" si="96"/>
        <v>69035.8</v>
      </c>
      <c r="AA1227" s="2">
        <f t="shared" si="97"/>
        <v>69035.790915442209</v>
      </c>
      <c r="AB1227" s="1">
        <f t="shared" si="98"/>
        <v>7.3829702136603267E-2</v>
      </c>
      <c r="AC1227" s="1" t="b">
        <f t="shared" si="99"/>
        <v>1</v>
      </c>
    </row>
    <row r="1228" spans="1:29" x14ac:dyDescent="0.25">
      <c r="A1228" s="1">
        <v>1448.1679999999999</v>
      </c>
      <c r="B1228">
        <v>100</v>
      </c>
      <c r="D1228" s="2">
        <v>69052.800000000003</v>
      </c>
      <c r="E1228">
        <v>26095</v>
      </c>
      <c r="F1228" t="s">
        <v>15</v>
      </c>
      <c r="G1228" t="s">
        <v>23</v>
      </c>
      <c r="H1228">
        <v>95147</v>
      </c>
      <c r="I1228" t="s">
        <v>17</v>
      </c>
      <c r="J1228" t="s">
        <v>16</v>
      </c>
      <c r="K1228">
        <v>26095.23</v>
      </c>
      <c r="L1228">
        <v>95147.9</v>
      </c>
      <c r="M1228">
        <v>13</v>
      </c>
      <c r="Y1228" s="1">
        <f t="shared" si="95"/>
        <v>1448.1679999999999</v>
      </c>
      <c r="Z1228" s="2">
        <f t="shared" si="96"/>
        <v>69052.800000000003</v>
      </c>
      <c r="AA1228" s="2">
        <f t="shared" si="97"/>
        <v>69052.761834262332</v>
      </c>
      <c r="AB1228" s="1">
        <f t="shared" si="98"/>
        <v>7.3841419584696782E-2</v>
      </c>
      <c r="AC1228" s="1" t="b">
        <f t="shared" si="99"/>
        <v>1</v>
      </c>
    </row>
    <row r="1229" spans="1:29" x14ac:dyDescent="0.25">
      <c r="A1229" s="1">
        <v>1447.963</v>
      </c>
      <c r="B1229">
        <v>4</v>
      </c>
      <c r="D1229" s="2">
        <v>69062.5</v>
      </c>
      <c r="M1229">
        <v>13</v>
      </c>
      <c r="Y1229" s="1">
        <f t="shared" si="95"/>
        <v>1447.963</v>
      </c>
      <c r="Z1229" s="2">
        <f t="shared" si="96"/>
        <v>69062.5</v>
      </c>
      <c r="AA1229" s="2">
        <f t="shared" si="97"/>
        <v>69062.538200216441</v>
      </c>
      <c r="AB1229" s="1">
        <f t="shared" si="98"/>
        <v>7.3848170913281774E-2</v>
      </c>
      <c r="AC1229" s="1" t="b">
        <f t="shared" si="99"/>
        <v>1</v>
      </c>
    </row>
    <row r="1230" spans="1:29" x14ac:dyDescent="0.25">
      <c r="A1230" s="1">
        <v>1447.616</v>
      </c>
      <c r="B1230">
        <v>100</v>
      </c>
      <c r="D1230" s="2">
        <v>69079.100000000006</v>
      </c>
      <c r="M1230">
        <v>13</v>
      </c>
      <c r="Y1230" s="1">
        <f t="shared" si="95"/>
        <v>1447.616</v>
      </c>
      <c r="Z1230" s="2">
        <f t="shared" si="96"/>
        <v>69079.100000000006</v>
      </c>
      <c r="AA1230" s="2">
        <f t="shared" si="97"/>
        <v>69079.092798090103</v>
      </c>
      <c r="AB1230" s="1">
        <f t="shared" si="98"/>
        <v>7.3859605309035722E-2</v>
      </c>
      <c r="AC1230" s="1" t="b">
        <f t="shared" si="99"/>
        <v>1</v>
      </c>
    </row>
    <row r="1231" spans="1:29" x14ac:dyDescent="0.25">
      <c r="A1231" s="1">
        <v>1447.3009999999999</v>
      </c>
      <c r="B1231">
        <v>3</v>
      </c>
      <c r="D1231" s="2">
        <v>69094.100000000006</v>
      </c>
      <c r="E1231">
        <v>21535</v>
      </c>
      <c r="F1231" t="s">
        <v>15</v>
      </c>
      <c r="G1231" t="s">
        <v>16</v>
      </c>
      <c r="H1231">
        <v>90629</v>
      </c>
      <c r="I1231" t="s">
        <v>17</v>
      </c>
      <c r="J1231" t="s">
        <v>16</v>
      </c>
      <c r="K1231">
        <v>21535.17</v>
      </c>
      <c r="L1231">
        <v>90629.2</v>
      </c>
      <c r="M1231">
        <v>13</v>
      </c>
      <c r="Y1231" s="1">
        <f t="shared" si="95"/>
        <v>1447.3009999999999</v>
      </c>
      <c r="Z1231" s="2">
        <f t="shared" si="96"/>
        <v>69094.100000000006</v>
      </c>
      <c r="AA1231" s="2">
        <f t="shared" si="97"/>
        <v>69094.127620999367</v>
      </c>
      <c r="AB1231" s="1">
        <f t="shared" si="98"/>
        <v>7.3869992358534739E-2</v>
      </c>
      <c r="AC1231" s="1" t="b">
        <f t="shared" si="99"/>
        <v>1</v>
      </c>
    </row>
    <row r="1232" spans="1:29" x14ac:dyDescent="0.25">
      <c r="A1232" s="1">
        <v>1446.3610000000001</v>
      </c>
      <c r="B1232">
        <v>1</v>
      </c>
      <c r="D1232" s="2">
        <v>69139</v>
      </c>
      <c r="E1232">
        <v>48401</v>
      </c>
      <c r="F1232" t="s">
        <v>15</v>
      </c>
      <c r="G1232" t="s">
        <v>29</v>
      </c>
      <c r="H1232">
        <v>117540</v>
      </c>
      <c r="I1232" t="s">
        <v>17</v>
      </c>
      <c r="J1232" t="s">
        <v>29</v>
      </c>
      <c r="K1232">
        <v>48401.64</v>
      </c>
      <c r="L1232">
        <v>117540.5</v>
      </c>
      <c r="M1232">
        <v>13</v>
      </c>
      <c r="Y1232" s="1">
        <f t="shared" si="95"/>
        <v>1446.3610000000001</v>
      </c>
      <c r="Z1232" s="2">
        <f t="shared" si="96"/>
        <v>69139</v>
      </c>
      <c r="AA1232" s="2">
        <f t="shared" si="97"/>
        <v>69139.032371586349</v>
      </c>
      <c r="AB1232" s="1">
        <f t="shared" si="98"/>
        <v>7.3901028986396333E-2</v>
      </c>
      <c r="AC1232" s="1" t="b">
        <f t="shared" si="99"/>
        <v>1</v>
      </c>
    </row>
    <row r="1233" spans="1:29" x14ac:dyDescent="0.25">
      <c r="A1233" s="1">
        <v>1445.8219999999999</v>
      </c>
      <c r="B1233">
        <v>50</v>
      </c>
      <c r="C1233" t="s">
        <v>123</v>
      </c>
      <c r="D1233" s="2">
        <v>69164.800000000003</v>
      </c>
      <c r="M1233">
        <v>13</v>
      </c>
      <c r="Y1233" s="1">
        <f t="shared" si="95"/>
        <v>1445.8219999999999</v>
      </c>
      <c r="Z1233" s="2">
        <f t="shared" si="96"/>
        <v>69164.800000000003</v>
      </c>
      <c r="AA1233" s="2">
        <f t="shared" si="97"/>
        <v>69164.807286097464</v>
      </c>
      <c r="AB1233" s="1">
        <f t="shared" si="98"/>
        <v>7.3918852834615009E-2</v>
      </c>
      <c r="AC1233" s="1" t="b">
        <f t="shared" si="99"/>
        <v>1</v>
      </c>
    </row>
    <row r="1234" spans="1:29" x14ac:dyDescent="0.25">
      <c r="A1234" s="1">
        <v>1445.6590000000001</v>
      </c>
      <c r="B1234">
        <v>4</v>
      </c>
      <c r="D1234" s="2">
        <v>69172.600000000006</v>
      </c>
      <c r="M1234">
        <v>13</v>
      </c>
      <c r="Y1234" s="1">
        <f t="shared" si="95"/>
        <v>1445.6590000000001</v>
      </c>
      <c r="Z1234" s="2">
        <f t="shared" si="96"/>
        <v>69172.600000000006</v>
      </c>
      <c r="AA1234" s="2">
        <f t="shared" si="97"/>
        <v>69172.605711305354</v>
      </c>
      <c r="AB1234" s="1">
        <f t="shared" si="98"/>
        <v>7.3924246904458576E-2</v>
      </c>
      <c r="AC1234" s="1" t="b">
        <f t="shared" si="99"/>
        <v>1</v>
      </c>
    </row>
    <row r="1235" spans="1:29" x14ac:dyDescent="0.25">
      <c r="A1235" s="1">
        <v>1445.5170000000001</v>
      </c>
      <c r="B1235">
        <v>300</v>
      </c>
      <c r="D1235" s="2">
        <v>69179.399999999994</v>
      </c>
      <c r="E1235">
        <v>24788</v>
      </c>
      <c r="F1235" t="s">
        <v>15</v>
      </c>
      <c r="G1235" t="s">
        <v>16</v>
      </c>
      <c r="H1235">
        <v>93967</v>
      </c>
      <c r="I1235" t="s">
        <v>17</v>
      </c>
      <c r="J1235" t="s">
        <v>18</v>
      </c>
      <c r="K1235">
        <v>24788.02</v>
      </c>
      <c r="L1235">
        <v>93967.4</v>
      </c>
      <c r="M1235">
        <v>13</v>
      </c>
      <c r="Y1235" s="1">
        <f t="shared" si="95"/>
        <v>1445.5170000000001</v>
      </c>
      <c r="Z1235" s="2">
        <f t="shared" si="96"/>
        <v>69179.399999999994</v>
      </c>
      <c r="AA1235" s="2">
        <f t="shared" si="97"/>
        <v>69179.400864880867</v>
      </c>
      <c r="AB1235" s="1">
        <f t="shared" si="98"/>
        <v>7.3928947520119401E-2</v>
      </c>
      <c r="AC1235" s="1" t="b">
        <f t="shared" si="99"/>
        <v>1</v>
      </c>
    </row>
    <row r="1236" spans="1:29" x14ac:dyDescent="0.25">
      <c r="A1236" s="1">
        <v>1445.279</v>
      </c>
      <c r="B1236">
        <v>2</v>
      </c>
      <c r="D1236" s="2">
        <v>69190.8</v>
      </c>
      <c r="M1236">
        <v>13</v>
      </c>
      <c r="Y1236" s="1">
        <f t="shared" si="95"/>
        <v>1445.279</v>
      </c>
      <c r="Z1236" s="2">
        <f t="shared" si="96"/>
        <v>69190.8</v>
      </c>
      <c r="AA1236" s="2">
        <f t="shared" si="97"/>
        <v>69190.792919567786</v>
      </c>
      <c r="AB1236" s="1">
        <f t="shared" si="98"/>
        <v>7.3936829124192555E-2</v>
      </c>
      <c r="AC1236" s="1" t="b">
        <f t="shared" si="99"/>
        <v>1</v>
      </c>
    </row>
    <row r="1237" spans="1:29" x14ac:dyDescent="0.25">
      <c r="A1237" s="1">
        <v>1445.0329999999999</v>
      </c>
      <c r="B1237">
        <v>3</v>
      </c>
      <c r="C1237" t="s">
        <v>123</v>
      </c>
      <c r="D1237" s="2">
        <v>69202.600000000006</v>
      </c>
      <c r="M1237">
        <v>13</v>
      </c>
      <c r="Y1237" s="1">
        <f t="shared" si="95"/>
        <v>1445.0329999999999</v>
      </c>
      <c r="Z1237" s="2">
        <f t="shared" si="96"/>
        <v>69202.600000000006</v>
      </c>
      <c r="AA1237" s="2">
        <f t="shared" si="97"/>
        <v>69202.571844380029</v>
      </c>
      <c r="AB1237" s="1">
        <f t="shared" si="98"/>
        <v>7.3944979749382897E-2</v>
      </c>
      <c r="AC1237" s="1" t="b">
        <f t="shared" si="99"/>
        <v>1</v>
      </c>
    </row>
    <row r="1238" spans="1:29" x14ac:dyDescent="0.25">
      <c r="A1238" s="1">
        <v>1444.5509999999999</v>
      </c>
      <c r="B1238">
        <v>50</v>
      </c>
      <c r="C1238" t="s">
        <v>123</v>
      </c>
      <c r="D1238" s="2">
        <v>69225.7</v>
      </c>
      <c r="M1238">
        <v>13</v>
      </c>
      <c r="Y1238" s="1">
        <f t="shared" si="95"/>
        <v>1444.5509999999999</v>
      </c>
      <c r="Z1238" s="2">
        <f t="shared" si="96"/>
        <v>69225.7</v>
      </c>
      <c r="AA1238" s="2">
        <f t="shared" si="97"/>
        <v>69225.66250689661</v>
      </c>
      <c r="AB1238" s="1">
        <f t="shared" si="98"/>
        <v>7.3960961747593756E-2</v>
      </c>
      <c r="AC1238" s="1" t="b">
        <f t="shared" si="99"/>
        <v>1</v>
      </c>
    </row>
    <row r="1239" spans="1:29" x14ac:dyDescent="0.25">
      <c r="A1239" s="1">
        <v>1444.3309999999999</v>
      </c>
      <c r="B1239">
        <v>2</v>
      </c>
      <c r="D1239" s="2">
        <v>69236.2</v>
      </c>
      <c r="M1239">
        <v>13</v>
      </c>
      <c r="Y1239" s="1">
        <f t="shared" si="95"/>
        <v>1444.3309999999999</v>
      </c>
      <c r="Z1239" s="2">
        <f t="shared" si="96"/>
        <v>69236.2</v>
      </c>
      <c r="AA1239" s="2">
        <f t="shared" si="97"/>
        <v>69236.206935944749</v>
      </c>
      <c r="AB1239" s="1">
        <f t="shared" si="98"/>
        <v>7.3968261754384812E-2</v>
      </c>
      <c r="AC1239" s="1" t="b">
        <f t="shared" si="99"/>
        <v>1</v>
      </c>
    </row>
    <row r="1240" spans="1:29" x14ac:dyDescent="0.25">
      <c r="A1240" s="1">
        <v>1444.106</v>
      </c>
      <c r="B1240">
        <v>20</v>
      </c>
      <c r="D1240" s="2">
        <v>69247</v>
      </c>
      <c r="M1240">
        <v>13</v>
      </c>
      <c r="Y1240" s="1">
        <f t="shared" si="95"/>
        <v>1444.106</v>
      </c>
      <c r="Z1240" s="2">
        <f t="shared" si="96"/>
        <v>69247</v>
      </c>
      <c r="AA1240" s="2">
        <f t="shared" si="97"/>
        <v>69246.994334210918</v>
      </c>
      <c r="AB1240" s="1">
        <f t="shared" si="98"/>
        <v>7.3975731121611196E-2</v>
      </c>
      <c r="AC1240" s="1" t="b">
        <f t="shared" si="99"/>
        <v>1</v>
      </c>
    </row>
    <row r="1241" spans="1:29" x14ac:dyDescent="0.25">
      <c r="A1241" s="1">
        <v>1443.6590000000001</v>
      </c>
      <c r="B1241">
        <v>2</v>
      </c>
      <c r="C1241" t="s">
        <v>123</v>
      </c>
      <c r="D1241" s="2">
        <v>69268.399999999994</v>
      </c>
      <c r="E1241">
        <v>64235</v>
      </c>
      <c r="F1241" t="s">
        <v>17</v>
      </c>
      <c r="G1241" t="s">
        <v>16</v>
      </c>
      <c r="H1241">
        <v>133503</v>
      </c>
      <c r="I1241" t="s">
        <v>15</v>
      </c>
      <c r="J1241" t="s">
        <v>23</v>
      </c>
      <c r="K1241">
        <v>64235.61</v>
      </c>
      <c r="L1241">
        <v>133503.9</v>
      </c>
      <c r="M1241">
        <v>13</v>
      </c>
      <c r="Y1241" s="1">
        <f t="shared" si="95"/>
        <v>1443.6590000000001</v>
      </c>
      <c r="Z1241" s="2">
        <f t="shared" si="96"/>
        <v>69268.399999999994</v>
      </c>
      <c r="AA1241" s="2">
        <f t="shared" si="97"/>
        <v>69268.435274535048</v>
      </c>
      <c r="AB1241" s="1">
        <f t="shared" si="98"/>
        <v>7.3990580626912258E-2</v>
      </c>
      <c r="AC1241" s="1" t="b">
        <f t="shared" si="99"/>
        <v>1</v>
      </c>
    </row>
    <row r="1242" spans="1:29" x14ac:dyDescent="0.25">
      <c r="A1242" s="1">
        <v>1443.47</v>
      </c>
      <c r="B1242">
        <v>400</v>
      </c>
      <c r="D1242" s="2">
        <v>69277.5</v>
      </c>
      <c r="M1242">
        <v>13</v>
      </c>
      <c r="Y1242" s="1">
        <f t="shared" si="95"/>
        <v>1443.47</v>
      </c>
      <c r="Z1242" s="2">
        <f t="shared" si="96"/>
        <v>69277.5</v>
      </c>
      <c r="AA1242" s="2">
        <f t="shared" si="97"/>
        <v>69277.504901383465</v>
      </c>
      <c r="AB1242" s="1">
        <f t="shared" si="98"/>
        <v>7.3996863426806059E-2</v>
      </c>
      <c r="AC1242" s="1" t="b">
        <f t="shared" si="99"/>
        <v>1</v>
      </c>
    </row>
    <row r="1243" spans="1:29" x14ac:dyDescent="0.25">
      <c r="A1243" s="1">
        <v>1443.0050000000001</v>
      </c>
      <c r="B1243">
        <v>1</v>
      </c>
      <c r="D1243" s="2">
        <v>69299.8</v>
      </c>
      <c r="E1243">
        <v>18211</v>
      </c>
      <c r="F1243" t="s">
        <v>15</v>
      </c>
      <c r="G1243" t="s">
        <v>28</v>
      </c>
      <c r="H1243">
        <v>87511</v>
      </c>
      <c r="I1243" t="s">
        <v>17</v>
      </c>
      <c r="J1243" t="s">
        <v>18</v>
      </c>
      <c r="K1243">
        <v>18211.759999999998</v>
      </c>
      <c r="L1243">
        <v>87511.6</v>
      </c>
      <c r="M1243">
        <v>13</v>
      </c>
      <c r="Y1243" s="1">
        <f t="shared" si="95"/>
        <v>1443.0050000000001</v>
      </c>
      <c r="Z1243" s="2">
        <f t="shared" si="96"/>
        <v>69299.8</v>
      </c>
      <c r="AA1243" s="2">
        <f t="shared" si="97"/>
        <v>69299.82917592107</v>
      </c>
      <c r="AB1243" s="1">
        <f t="shared" si="98"/>
        <v>7.4012331619059207E-2</v>
      </c>
      <c r="AC1243" s="1" t="b">
        <f t="shared" si="99"/>
        <v>1</v>
      </c>
    </row>
    <row r="1244" spans="1:29" x14ac:dyDescent="0.25">
      <c r="A1244" s="1">
        <v>1442.865</v>
      </c>
      <c r="B1244">
        <v>3</v>
      </c>
      <c r="C1244" t="s">
        <v>123</v>
      </c>
      <c r="D1244" s="2">
        <v>69306.600000000006</v>
      </c>
      <c r="M1244">
        <v>13</v>
      </c>
      <c r="Y1244" s="1">
        <f t="shared" si="95"/>
        <v>1442.865</v>
      </c>
      <c r="Z1244" s="2">
        <f t="shared" si="96"/>
        <v>69306.600000000006</v>
      </c>
      <c r="AA1244" s="2">
        <f t="shared" si="97"/>
        <v>69306.553281145505</v>
      </c>
      <c r="AB1244" s="1">
        <f t="shared" si="98"/>
        <v>7.4016991638561305E-2</v>
      </c>
      <c r="AC1244" s="1" t="b">
        <f t="shared" si="99"/>
        <v>1</v>
      </c>
    </row>
    <row r="1245" spans="1:29" x14ac:dyDescent="0.25">
      <c r="A1245" s="1">
        <v>1442.75</v>
      </c>
      <c r="B1245">
        <v>5</v>
      </c>
      <c r="C1245" t="s">
        <v>123</v>
      </c>
      <c r="D1245" s="2">
        <v>69312.100000000006</v>
      </c>
      <c r="M1245">
        <v>13</v>
      </c>
      <c r="Y1245" s="1">
        <f t="shared" si="95"/>
        <v>1442.75</v>
      </c>
      <c r="Z1245" s="2">
        <f t="shared" si="96"/>
        <v>69312.100000000006</v>
      </c>
      <c r="AA1245" s="2">
        <f t="shared" si="97"/>
        <v>69312.077629526946</v>
      </c>
      <c r="AB1245" s="1">
        <f t="shared" si="98"/>
        <v>7.4020820526607856E-2</v>
      </c>
      <c r="AC1245" s="1" t="b">
        <f t="shared" si="99"/>
        <v>1</v>
      </c>
    </row>
    <row r="1246" spans="1:29" x14ac:dyDescent="0.25">
      <c r="A1246" s="1">
        <v>1442.29</v>
      </c>
      <c r="B1246">
        <v>10</v>
      </c>
      <c r="D1246" s="2">
        <v>69334.2</v>
      </c>
      <c r="E1246">
        <v>21294</v>
      </c>
      <c r="F1246" t="s">
        <v>15</v>
      </c>
      <c r="G1246" t="s">
        <v>18</v>
      </c>
      <c r="H1246">
        <v>90629</v>
      </c>
      <c r="I1246" t="s">
        <v>17</v>
      </c>
      <c r="J1246" t="s">
        <v>16</v>
      </c>
      <c r="K1246">
        <v>21294.89</v>
      </c>
      <c r="L1246">
        <v>90629.2</v>
      </c>
      <c r="M1246">
        <v>13</v>
      </c>
      <c r="Y1246" s="1">
        <f t="shared" si="95"/>
        <v>1442.29</v>
      </c>
      <c r="Z1246" s="2">
        <f t="shared" si="96"/>
        <v>69334.2</v>
      </c>
      <c r="AA1246" s="2">
        <f t="shared" si="97"/>
        <v>69334.183832655021</v>
      </c>
      <c r="AB1246" s="1">
        <f t="shared" si="98"/>
        <v>7.4036145238702E-2</v>
      </c>
      <c r="AC1246" s="1" t="b">
        <f t="shared" si="99"/>
        <v>1</v>
      </c>
    </row>
    <row r="1247" spans="1:29" x14ac:dyDescent="0.25">
      <c r="A1247" s="1">
        <v>1442.085</v>
      </c>
      <c r="B1247">
        <v>7</v>
      </c>
      <c r="D1247" s="2">
        <v>69344</v>
      </c>
      <c r="M1247">
        <v>13</v>
      </c>
      <c r="Y1247" s="1">
        <f t="shared" si="95"/>
        <v>1442.085</v>
      </c>
      <c r="Z1247" s="2">
        <f t="shared" si="96"/>
        <v>69344</v>
      </c>
      <c r="AA1247" s="2">
        <f t="shared" si="97"/>
        <v>69344.04005311754</v>
      </c>
      <c r="AB1247" s="1">
        <f t="shared" si="98"/>
        <v>7.4042979454441854E-2</v>
      </c>
      <c r="AC1247" s="1" t="b">
        <f t="shared" si="99"/>
        <v>1</v>
      </c>
    </row>
    <row r="1248" spans="1:29" x14ac:dyDescent="0.25">
      <c r="A1248" s="1">
        <v>1441.73</v>
      </c>
      <c r="B1248">
        <v>7</v>
      </c>
      <c r="D1248" s="2">
        <v>69361.100000000006</v>
      </c>
      <c r="M1248">
        <v>13</v>
      </c>
      <c r="Y1248" s="1">
        <f t="shared" si="95"/>
        <v>1441.73</v>
      </c>
      <c r="Z1248" s="2">
        <f t="shared" si="96"/>
        <v>69361.100000000006</v>
      </c>
      <c r="AA1248" s="2">
        <f t="shared" si="97"/>
        <v>69361.114771836612</v>
      </c>
      <c r="AB1248" s="1">
        <f t="shared" si="98"/>
        <v>7.4054821211959457E-2</v>
      </c>
      <c r="AC1248" s="1" t="b">
        <f t="shared" si="99"/>
        <v>1</v>
      </c>
    </row>
    <row r="1249" spans="1:29" x14ac:dyDescent="0.25">
      <c r="A1249" s="1">
        <v>1441.3879999999999</v>
      </c>
      <c r="B1249">
        <v>20</v>
      </c>
      <c r="D1249" s="2">
        <v>69377.600000000006</v>
      </c>
      <c r="E1249">
        <v>27452</v>
      </c>
      <c r="F1249" t="s">
        <v>15</v>
      </c>
      <c r="G1249" t="s">
        <v>28</v>
      </c>
      <c r="H1249">
        <v>96830</v>
      </c>
      <c r="I1249" t="s">
        <v>17</v>
      </c>
      <c r="J1249" t="s">
        <v>18</v>
      </c>
      <c r="K1249">
        <v>27452.45</v>
      </c>
      <c r="L1249">
        <v>96830.5</v>
      </c>
      <c r="M1249">
        <v>13</v>
      </c>
      <c r="Y1249" s="1">
        <f t="shared" si="95"/>
        <v>1441.3879999999999</v>
      </c>
      <c r="Z1249" s="2">
        <f t="shared" si="96"/>
        <v>69377.600000000006</v>
      </c>
      <c r="AA1249" s="2">
        <f t="shared" si="97"/>
        <v>69377.572173488341</v>
      </c>
      <c r="AB1249" s="1">
        <f t="shared" si="98"/>
        <v>7.4066237603437918E-2</v>
      </c>
      <c r="AC1249" s="1" t="b">
        <f t="shared" si="99"/>
        <v>1</v>
      </c>
    </row>
    <row r="1250" spans="1:29" x14ac:dyDescent="0.25">
      <c r="A1250" s="1">
        <v>1440.9480000000001</v>
      </c>
      <c r="B1250">
        <v>20</v>
      </c>
      <c r="C1250" t="s">
        <v>123</v>
      </c>
      <c r="D1250" s="2">
        <v>69398.8</v>
      </c>
      <c r="M1250">
        <v>13</v>
      </c>
      <c r="Y1250" s="1">
        <f t="shared" si="95"/>
        <v>1440.9480000000001</v>
      </c>
      <c r="Z1250" s="2">
        <f t="shared" si="96"/>
        <v>69398.8</v>
      </c>
      <c r="AA1250" s="2">
        <f t="shared" si="97"/>
        <v>69398.756929465875</v>
      </c>
      <c r="AB1250" s="1">
        <f t="shared" si="98"/>
        <v>7.4080937316775439E-2</v>
      </c>
      <c r="AC1250" s="1" t="b">
        <f t="shared" si="99"/>
        <v>1</v>
      </c>
    </row>
    <row r="1251" spans="1:29" x14ac:dyDescent="0.25">
      <c r="A1251" s="1">
        <v>1440.8440000000001</v>
      </c>
      <c r="B1251">
        <v>1</v>
      </c>
      <c r="C1251" t="s">
        <v>123</v>
      </c>
      <c r="D1251" s="2">
        <v>69403.8</v>
      </c>
      <c r="M1251">
        <v>13</v>
      </c>
      <c r="Y1251" s="1">
        <f t="shared" si="95"/>
        <v>1440.8440000000001</v>
      </c>
      <c r="Z1251" s="2">
        <f t="shared" si="96"/>
        <v>69403.8</v>
      </c>
      <c r="AA1251" s="2">
        <f t="shared" si="97"/>
        <v>69403.766125965063</v>
      </c>
      <c r="AB1251" s="1">
        <f t="shared" si="98"/>
        <v>7.4084413762338278E-2</v>
      </c>
      <c r="AC1251" s="1" t="b">
        <f t="shared" si="99"/>
        <v>1</v>
      </c>
    </row>
    <row r="1252" spans="1:29" x14ac:dyDescent="0.25">
      <c r="A1252" s="1">
        <v>1440.7329999999999</v>
      </c>
      <c r="B1252">
        <v>10</v>
      </c>
      <c r="C1252" t="s">
        <v>123</v>
      </c>
      <c r="D1252" s="2">
        <v>69409.100000000006</v>
      </c>
      <c r="M1252">
        <v>13</v>
      </c>
      <c r="Y1252" s="1">
        <f t="shared" si="95"/>
        <v>1440.7329999999999</v>
      </c>
      <c r="Z1252" s="2">
        <f t="shared" si="96"/>
        <v>69409.100000000006</v>
      </c>
      <c r="AA1252" s="2">
        <f t="shared" si="97"/>
        <v>69409.113277755139</v>
      </c>
      <c r="AB1252" s="1">
        <f t="shared" si="98"/>
        <v>7.4088125030021226E-2</v>
      </c>
      <c r="AC1252" s="1" t="b">
        <f t="shared" si="99"/>
        <v>1</v>
      </c>
    </row>
    <row r="1253" spans="1:29" x14ac:dyDescent="0.25">
      <c r="A1253" s="1">
        <v>1440.2339999999999</v>
      </c>
      <c r="B1253">
        <v>5</v>
      </c>
      <c r="D1253" s="2">
        <v>69433.2</v>
      </c>
      <c r="M1253">
        <v>13</v>
      </c>
      <c r="Y1253" s="1">
        <f t="shared" si="95"/>
        <v>1440.2339999999999</v>
      </c>
      <c r="Z1253" s="2">
        <f t="shared" si="96"/>
        <v>69433.2</v>
      </c>
      <c r="AA1253" s="2">
        <f t="shared" si="97"/>
        <v>69433.161555691651</v>
      </c>
      <c r="AB1253" s="1">
        <f t="shared" si="98"/>
        <v>7.4104819618093884E-2</v>
      </c>
      <c r="AC1253" s="1" t="b">
        <f t="shared" si="99"/>
        <v>1</v>
      </c>
    </row>
    <row r="1254" spans="1:29" x14ac:dyDescent="0.25">
      <c r="A1254" s="1">
        <v>1439.922</v>
      </c>
      <c r="B1254">
        <v>30</v>
      </c>
      <c r="D1254" s="2">
        <v>69448.2</v>
      </c>
      <c r="E1254">
        <v>18063</v>
      </c>
      <c r="F1254" t="s">
        <v>15</v>
      </c>
      <c r="G1254" t="s">
        <v>16</v>
      </c>
      <c r="H1254">
        <v>87511</v>
      </c>
      <c r="I1254" t="s">
        <v>17</v>
      </c>
      <c r="J1254" t="s">
        <v>18</v>
      </c>
      <c r="K1254">
        <v>18063.36</v>
      </c>
      <c r="L1254">
        <v>87511.6</v>
      </c>
      <c r="M1254">
        <v>13</v>
      </c>
      <c r="Y1254" s="1">
        <f t="shared" si="95"/>
        <v>1439.922</v>
      </c>
      <c r="Z1254" s="2">
        <f t="shared" si="96"/>
        <v>69448.2</v>
      </c>
      <c r="AA1254" s="2">
        <f t="shared" si="97"/>
        <v>69448.206222281486</v>
      </c>
      <c r="AB1254" s="1">
        <f t="shared" si="98"/>
        <v>7.4115266737462687E-2</v>
      </c>
      <c r="AC1254" s="1" t="b">
        <f t="shared" si="99"/>
        <v>1</v>
      </c>
    </row>
    <row r="1255" spans="1:29" x14ac:dyDescent="0.25">
      <c r="A1255" s="1">
        <v>1439.54</v>
      </c>
      <c r="B1255">
        <v>100</v>
      </c>
      <c r="D1255" s="2">
        <v>69466.600000000006</v>
      </c>
      <c r="M1255">
        <v>13</v>
      </c>
      <c r="Y1255" s="1">
        <f t="shared" si="95"/>
        <v>1439.54</v>
      </c>
      <c r="Z1255" s="2">
        <f t="shared" si="96"/>
        <v>69466.600000000006</v>
      </c>
      <c r="AA1255" s="2">
        <f t="shared" si="97"/>
        <v>69466.635175125382</v>
      </c>
      <c r="AB1255" s="1">
        <f t="shared" si="98"/>
        <v>7.4128067012769833E-2</v>
      </c>
      <c r="AC1255" s="1" t="b">
        <f t="shared" si="99"/>
        <v>1</v>
      </c>
    </row>
    <row r="1256" spans="1:29" x14ac:dyDescent="0.25">
      <c r="A1256" s="1">
        <v>1439.42</v>
      </c>
      <c r="B1256">
        <v>10</v>
      </c>
      <c r="C1256" t="s">
        <v>123</v>
      </c>
      <c r="D1256" s="2">
        <v>69472.399999999994</v>
      </c>
      <c r="M1256">
        <v>13</v>
      </c>
      <c r="Y1256" s="1">
        <f t="shared" si="95"/>
        <v>1439.42</v>
      </c>
      <c r="Z1256" s="2">
        <f t="shared" si="96"/>
        <v>69472.399999999994</v>
      </c>
      <c r="AA1256" s="2">
        <f t="shared" si="97"/>
        <v>69472.426393964226</v>
      </c>
      <c r="AB1256" s="1">
        <f t="shared" si="98"/>
        <v>7.413209014532389E-2</v>
      </c>
      <c r="AC1256" s="1" t="b">
        <f t="shared" si="99"/>
        <v>1</v>
      </c>
    </row>
    <row r="1257" spans="1:29" x14ac:dyDescent="0.25">
      <c r="A1257" s="1">
        <v>1438.925</v>
      </c>
      <c r="B1257">
        <v>2</v>
      </c>
      <c r="D1257" s="2">
        <v>69496.3</v>
      </c>
      <c r="E1257">
        <v>24470</v>
      </c>
      <c r="F1257" t="s">
        <v>15</v>
      </c>
      <c r="G1257" t="s">
        <v>18</v>
      </c>
      <c r="H1257">
        <v>93967</v>
      </c>
      <c r="I1257" t="s">
        <v>17</v>
      </c>
      <c r="J1257" t="s">
        <v>18</v>
      </c>
      <c r="K1257">
        <v>24470.9</v>
      </c>
      <c r="L1257">
        <v>93967.4</v>
      </c>
      <c r="M1257">
        <v>13</v>
      </c>
      <c r="Y1257" s="1">
        <f t="shared" si="95"/>
        <v>1438.925</v>
      </c>
      <c r="Z1257" s="2">
        <f t="shared" si="96"/>
        <v>69496.3</v>
      </c>
      <c r="AA1257" s="2">
        <f t="shared" si="97"/>
        <v>69496.325381795439</v>
      </c>
      <c r="AB1257" s="1">
        <f t="shared" si="98"/>
        <v>7.4148696207861936E-2</v>
      </c>
      <c r="AC1257" s="1" t="b">
        <f t="shared" si="99"/>
        <v>1</v>
      </c>
    </row>
    <row r="1258" spans="1:29" x14ac:dyDescent="0.25">
      <c r="A1258" s="1">
        <v>1438.7660000000001</v>
      </c>
      <c r="B1258">
        <v>3</v>
      </c>
      <c r="D1258" s="2">
        <v>69504</v>
      </c>
      <c r="E1258">
        <v>23050</v>
      </c>
      <c r="F1258" t="s">
        <v>15</v>
      </c>
      <c r="G1258" t="s">
        <v>29</v>
      </c>
      <c r="H1258">
        <v>92554</v>
      </c>
      <c r="I1258" t="s">
        <v>17</v>
      </c>
      <c r="J1258" t="s">
        <v>28</v>
      </c>
      <c r="K1258">
        <v>23050.61</v>
      </c>
      <c r="L1258">
        <v>92554.8</v>
      </c>
      <c r="M1258">
        <v>13</v>
      </c>
      <c r="Y1258" s="1">
        <f t="shared" si="95"/>
        <v>1438.7660000000001</v>
      </c>
      <c r="Z1258" s="2">
        <f t="shared" si="96"/>
        <v>69504</v>
      </c>
      <c r="AA1258" s="2">
        <f t="shared" si="97"/>
        <v>69504.005515837867</v>
      </c>
      <c r="AB1258" s="1">
        <f t="shared" si="98"/>
        <v>7.4154033913728115E-2</v>
      </c>
      <c r="AC1258" s="1" t="b">
        <f t="shared" si="99"/>
        <v>1</v>
      </c>
    </row>
    <row r="1259" spans="1:29" x14ac:dyDescent="0.25">
      <c r="A1259" s="1">
        <v>1438.7190000000001</v>
      </c>
      <c r="B1259">
        <v>5</v>
      </c>
      <c r="D1259" s="2">
        <v>69506.3</v>
      </c>
      <c r="E1259">
        <v>24461</v>
      </c>
      <c r="F1259" t="s">
        <v>15</v>
      </c>
      <c r="G1259" t="s">
        <v>28</v>
      </c>
      <c r="H1259">
        <v>93967</v>
      </c>
      <c r="I1259" t="s">
        <v>17</v>
      </c>
      <c r="J1259" t="s">
        <v>18</v>
      </c>
      <c r="K1259">
        <v>24461.24</v>
      </c>
      <c r="L1259">
        <v>93967.4</v>
      </c>
      <c r="M1259">
        <v>13</v>
      </c>
      <c r="Y1259" s="1">
        <f t="shared" si="95"/>
        <v>1438.7190000000001</v>
      </c>
      <c r="Z1259" s="2">
        <f t="shared" si="96"/>
        <v>69506.3</v>
      </c>
      <c r="AA1259" s="2">
        <f t="shared" si="97"/>
        <v>69506.276069197673</v>
      </c>
      <c r="AB1259" s="1">
        <f t="shared" si="98"/>
        <v>7.415561206503761E-2</v>
      </c>
      <c r="AC1259" s="1" t="b">
        <f t="shared" si="99"/>
        <v>1</v>
      </c>
    </row>
    <row r="1260" spans="1:29" x14ac:dyDescent="0.25">
      <c r="A1260" s="1">
        <v>1438.5319999999999</v>
      </c>
      <c r="B1260">
        <v>20</v>
      </c>
      <c r="C1260" t="s">
        <v>123</v>
      </c>
      <c r="D1260" s="2">
        <v>69515.3</v>
      </c>
      <c r="M1260">
        <v>13</v>
      </c>
      <c r="Y1260" s="1">
        <f t="shared" si="95"/>
        <v>1438.5319999999999</v>
      </c>
      <c r="Z1260" s="2">
        <f t="shared" si="96"/>
        <v>69515.3</v>
      </c>
      <c r="AA1260" s="2">
        <f t="shared" si="97"/>
        <v>69515.311442498321</v>
      </c>
      <c r="AB1260" s="1">
        <f t="shared" si="98"/>
        <v>7.4161892624737699E-2</v>
      </c>
      <c r="AC1260" s="1" t="b">
        <f t="shared" si="99"/>
        <v>1</v>
      </c>
    </row>
    <row r="1261" spans="1:29" x14ac:dyDescent="0.25">
      <c r="A1261" s="1">
        <v>1438.037</v>
      </c>
      <c r="B1261">
        <v>50</v>
      </c>
      <c r="C1261" t="s">
        <v>123</v>
      </c>
      <c r="D1261" s="2">
        <v>69539.199999999997</v>
      </c>
      <c r="M1261">
        <v>13</v>
      </c>
      <c r="Y1261" s="1">
        <f t="shared" si="95"/>
        <v>1438.037</v>
      </c>
      <c r="Z1261" s="2">
        <f t="shared" si="96"/>
        <v>69539.199999999997</v>
      </c>
      <c r="AA1261" s="2">
        <f t="shared" si="97"/>
        <v>69539.239950015195</v>
      </c>
      <c r="AB1261" s="1">
        <f t="shared" si="98"/>
        <v>7.4178529464128951E-2</v>
      </c>
      <c r="AC1261" s="1" t="b">
        <f t="shared" si="99"/>
        <v>1</v>
      </c>
    </row>
    <row r="1262" spans="1:29" x14ac:dyDescent="0.25">
      <c r="A1262" s="1">
        <v>1437.8710000000001</v>
      </c>
      <c r="B1262">
        <v>1</v>
      </c>
      <c r="D1262" s="2">
        <v>69547.3</v>
      </c>
      <c r="M1262">
        <v>13</v>
      </c>
      <c r="Y1262" s="1">
        <f t="shared" si="95"/>
        <v>1437.8710000000001</v>
      </c>
      <c r="Z1262" s="2">
        <f t="shared" si="96"/>
        <v>69547.3</v>
      </c>
      <c r="AA1262" s="2">
        <f t="shared" si="97"/>
        <v>69547.268148533491</v>
      </c>
      <c r="AB1262" s="1">
        <f t="shared" si="98"/>
        <v>7.4184112534620109E-2</v>
      </c>
      <c r="AC1262" s="1" t="b">
        <f t="shared" si="99"/>
        <v>1</v>
      </c>
    </row>
    <row r="1263" spans="1:29" x14ac:dyDescent="0.25">
      <c r="A1263" s="1">
        <v>1437.405</v>
      </c>
      <c r="B1263">
        <v>7</v>
      </c>
      <c r="D1263" s="2">
        <v>69569.8</v>
      </c>
      <c r="M1263">
        <v>13</v>
      </c>
      <c r="Y1263" s="1">
        <f t="shared" si="95"/>
        <v>1437.405</v>
      </c>
      <c r="Z1263" s="2">
        <f t="shared" si="96"/>
        <v>69569.8</v>
      </c>
      <c r="AA1263" s="2">
        <f t="shared" si="97"/>
        <v>69569.815048646691</v>
      </c>
      <c r="AB1263" s="1">
        <f t="shared" si="98"/>
        <v>7.4199795829514539E-2</v>
      </c>
      <c r="AC1263" s="1" t="b">
        <f t="shared" si="99"/>
        <v>1</v>
      </c>
    </row>
    <row r="1264" spans="1:29" x14ac:dyDescent="0.25">
      <c r="A1264" s="1">
        <v>1435.9770000000001</v>
      </c>
      <c r="B1264">
        <v>10</v>
      </c>
      <c r="D1264" s="2">
        <v>69639</v>
      </c>
      <c r="M1264">
        <v>13</v>
      </c>
      <c r="Y1264" s="1">
        <f t="shared" si="95"/>
        <v>1435.9770000000001</v>
      </c>
      <c r="Z1264" s="2">
        <f t="shared" si="96"/>
        <v>69639</v>
      </c>
      <c r="AA1264" s="2">
        <f t="shared" si="97"/>
        <v>69638.998396213865</v>
      </c>
      <c r="AB1264" s="1">
        <f t="shared" si="98"/>
        <v>7.4247950488139397E-2</v>
      </c>
      <c r="AC1264" s="1" t="b">
        <f t="shared" si="99"/>
        <v>1</v>
      </c>
    </row>
    <row r="1265" spans="1:29" x14ac:dyDescent="0.25">
      <c r="A1265" s="1">
        <v>1434.845</v>
      </c>
      <c r="B1265">
        <v>40</v>
      </c>
      <c r="D1265" s="2">
        <v>69693.899999999994</v>
      </c>
      <c r="E1265">
        <v>45805</v>
      </c>
      <c r="F1265" t="s">
        <v>15</v>
      </c>
      <c r="G1265" t="s">
        <v>16</v>
      </c>
      <c r="H1265">
        <v>115499</v>
      </c>
      <c r="I1265" t="s">
        <v>17</v>
      </c>
      <c r="J1265" t="s">
        <v>16</v>
      </c>
      <c r="K1265">
        <v>45805.95</v>
      </c>
      <c r="L1265">
        <v>115499.8</v>
      </c>
      <c r="M1265">
        <v>13</v>
      </c>
      <c r="Y1265" s="1">
        <f t="shared" si="95"/>
        <v>1434.845</v>
      </c>
      <c r="Z1265" s="2">
        <f t="shared" si="96"/>
        <v>69693.899999999994</v>
      </c>
      <c r="AA1265" s="2">
        <f t="shared" si="97"/>
        <v>69693.939066589068</v>
      </c>
      <c r="AB1265" s="1">
        <f t="shared" si="98"/>
        <v>7.4286225713087156E-2</v>
      </c>
      <c r="AC1265" s="1" t="b">
        <f t="shared" si="99"/>
        <v>1</v>
      </c>
    </row>
    <row r="1266" spans="1:29" x14ac:dyDescent="0.25">
      <c r="A1266" s="1">
        <v>1434.6289999999999</v>
      </c>
      <c r="B1266">
        <v>40</v>
      </c>
      <c r="C1266" t="s">
        <v>123</v>
      </c>
      <c r="D1266" s="2">
        <v>69704.399999999994</v>
      </c>
      <c r="M1266">
        <v>13</v>
      </c>
      <c r="Y1266" s="1">
        <f t="shared" si="95"/>
        <v>1434.6289999999999</v>
      </c>
      <c r="Z1266" s="2">
        <f t="shared" si="96"/>
        <v>69704.399999999994</v>
      </c>
      <c r="AA1266" s="2">
        <f t="shared" si="97"/>
        <v>69704.432295736391</v>
      </c>
      <c r="AB1266" s="1">
        <f t="shared" si="98"/>
        <v>7.4293539408354495E-2</v>
      </c>
      <c r="AC1266" s="1" t="b">
        <f t="shared" si="99"/>
        <v>1</v>
      </c>
    </row>
    <row r="1267" spans="1:29" x14ac:dyDescent="0.25">
      <c r="A1267" s="1">
        <v>1434.54</v>
      </c>
      <c r="B1267">
        <v>5</v>
      </c>
      <c r="C1267" t="s">
        <v>123</v>
      </c>
      <c r="D1267" s="2">
        <v>69708.800000000003</v>
      </c>
      <c r="M1267">
        <v>13</v>
      </c>
      <c r="Y1267" s="1">
        <f t="shared" si="95"/>
        <v>1434.54</v>
      </c>
      <c r="Z1267" s="2">
        <f t="shared" si="96"/>
        <v>69708.800000000003</v>
      </c>
      <c r="AA1267" s="2">
        <f t="shared" si="97"/>
        <v>69708.756814030974</v>
      </c>
      <c r="AB1267" s="1">
        <f t="shared" si="98"/>
        <v>7.4296553882788552E-2</v>
      </c>
      <c r="AC1267" s="1" t="b">
        <f t="shared" si="99"/>
        <v>1</v>
      </c>
    </row>
    <row r="1268" spans="1:29" x14ac:dyDescent="0.25">
      <c r="A1268" s="1">
        <v>1434.1869999999999</v>
      </c>
      <c r="B1268">
        <v>20</v>
      </c>
      <c r="C1268" t="s">
        <v>123</v>
      </c>
      <c r="D1268" s="2">
        <v>69725.899999999994</v>
      </c>
      <c r="M1268">
        <v>13</v>
      </c>
      <c r="Y1268" s="1">
        <f t="shared" si="95"/>
        <v>1434.1869999999999</v>
      </c>
      <c r="Z1268" s="2">
        <f t="shared" si="96"/>
        <v>69725.899999999994</v>
      </c>
      <c r="AA1268" s="2">
        <f t="shared" si="97"/>
        <v>69725.914403072966</v>
      </c>
      <c r="AB1268" s="1">
        <f t="shared" si="98"/>
        <v>7.4308515696723296E-2</v>
      </c>
      <c r="AC1268" s="1" t="b">
        <f t="shared" si="99"/>
        <v>1</v>
      </c>
    </row>
    <row r="1269" spans="1:29" x14ac:dyDescent="0.25">
      <c r="A1269" s="1">
        <v>1434.09</v>
      </c>
      <c r="B1269">
        <v>10</v>
      </c>
      <c r="C1269" t="s">
        <v>123</v>
      </c>
      <c r="D1269" s="2">
        <v>69730.600000000006</v>
      </c>
      <c r="M1269">
        <v>13</v>
      </c>
      <c r="Y1269" s="1">
        <f t="shared" si="95"/>
        <v>1434.09</v>
      </c>
      <c r="Z1269" s="2">
        <f t="shared" si="96"/>
        <v>69730.600000000006</v>
      </c>
      <c r="AA1269" s="2">
        <f t="shared" si="97"/>
        <v>69730.630574092283</v>
      </c>
      <c r="AB1269" s="1">
        <f t="shared" si="98"/>
        <v>7.4311804201302678E-2</v>
      </c>
      <c r="AC1269" s="1" t="b">
        <f t="shared" si="99"/>
        <v>1</v>
      </c>
    </row>
    <row r="1270" spans="1:29" x14ac:dyDescent="0.25">
      <c r="A1270" s="1">
        <v>1433.9359999999999</v>
      </c>
      <c r="B1270">
        <v>20</v>
      </c>
      <c r="D1270" s="2">
        <v>69738.100000000006</v>
      </c>
      <c r="E1270">
        <v>25409</v>
      </c>
      <c r="F1270" t="s">
        <v>15</v>
      </c>
      <c r="G1270" t="s">
        <v>18</v>
      </c>
      <c r="H1270">
        <v>95147</v>
      </c>
      <c r="I1270" t="s">
        <v>17</v>
      </c>
      <c r="J1270" t="s">
        <v>16</v>
      </c>
      <c r="K1270">
        <v>25409.74</v>
      </c>
      <c r="L1270">
        <v>95147.9</v>
      </c>
      <c r="M1270">
        <v>13</v>
      </c>
      <c r="Y1270" s="1">
        <f t="shared" si="95"/>
        <v>1433.9359999999999</v>
      </c>
      <c r="Z1270" s="2">
        <f t="shared" si="96"/>
        <v>69738.100000000006</v>
      </c>
      <c r="AA1270" s="2">
        <f t="shared" si="97"/>
        <v>69738.119413976645</v>
      </c>
      <c r="AB1270" s="1">
        <f t="shared" si="98"/>
        <v>7.4317026496990332E-2</v>
      </c>
      <c r="AC1270" s="1" t="b">
        <f t="shared" si="99"/>
        <v>1</v>
      </c>
    </row>
    <row r="1271" spans="1:29" x14ac:dyDescent="0.25">
      <c r="A1271" s="1">
        <v>1432.971</v>
      </c>
      <c r="B1271">
        <v>5</v>
      </c>
      <c r="C1271" t="s">
        <v>123</v>
      </c>
      <c r="D1271" s="2">
        <v>69785.100000000006</v>
      </c>
      <c r="M1271">
        <v>13</v>
      </c>
      <c r="Y1271" s="1">
        <f t="shared" si="95"/>
        <v>1432.971</v>
      </c>
      <c r="Z1271" s="2">
        <f t="shared" si="96"/>
        <v>69785.100000000006</v>
      </c>
      <c r="AA1271" s="2">
        <f t="shared" si="97"/>
        <v>69785.082880253685</v>
      </c>
      <c r="AB1271" s="1">
        <f t="shared" si="98"/>
        <v>7.4349788963019386E-2</v>
      </c>
      <c r="AC1271" s="1" t="b">
        <f t="shared" si="99"/>
        <v>1</v>
      </c>
    </row>
    <row r="1272" spans="1:29" x14ac:dyDescent="0.25">
      <c r="A1272" s="1">
        <v>1432.0150000000001</v>
      </c>
      <c r="B1272">
        <v>5</v>
      </c>
      <c r="C1272" t="s">
        <v>123</v>
      </c>
      <c r="D1272" s="2">
        <v>69831.7</v>
      </c>
      <c r="M1272">
        <v>13</v>
      </c>
      <c r="Y1272" s="1">
        <f t="shared" si="95"/>
        <v>1432.0150000000001</v>
      </c>
      <c r="Z1272" s="2">
        <f t="shared" si="96"/>
        <v>69831.7</v>
      </c>
      <c r="AA1272" s="2">
        <f t="shared" si="97"/>
        <v>69831.670757638713</v>
      </c>
      <c r="AB1272" s="1">
        <f t="shared" si="98"/>
        <v>7.4382311204016269E-2</v>
      </c>
      <c r="AC1272" s="1" t="b">
        <f t="shared" si="99"/>
        <v>1</v>
      </c>
    </row>
    <row r="1273" spans="1:29" x14ac:dyDescent="0.25">
      <c r="A1273" s="1">
        <v>1431.711</v>
      </c>
      <c r="B1273">
        <v>5</v>
      </c>
      <c r="C1273" t="s">
        <v>125</v>
      </c>
      <c r="D1273" s="2">
        <v>69846.5</v>
      </c>
      <c r="M1273">
        <v>13</v>
      </c>
      <c r="Y1273" s="1">
        <f t="shared" si="95"/>
        <v>1431.711</v>
      </c>
      <c r="Z1273" s="2">
        <f t="shared" si="96"/>
        <v>69846.5</v>
      </c>
      <c r="AA1273" s="2">
        <f t="shared" si="97"/>
        <v>69846.498350574941</v>
      </c>
      <c r="AB1273" s="1">
        <f t="shared" si="98"/>
        <v>7.4392666659184342E-2</v>
      </c>
      <c r="AC1273" s="1" t="b">
        <f t="shared" si="99"/>
        <v>1</v>
      </c>
    </row>
    <row r="1274" spans="1:29" x14ac:dyDescent="0.25">
      <c r="A1274" s="1">
        <v>1431.5540000000001</v>
      </c>
      <c r="B1274">
        <v>3</v>
      </c>
      <c r="D1274" s="2">
        <v>69854.100000000006</v>
      </c>
      <c r="E1274">
        <v>23442</v>
      </c>
      <c r="F1274" t="s">
        <v>15</v>
      </c>
      <c r="G1274" t="s">
        <v>23</v>
      </c>
      <c r="H1274">
        <v>93296</v>
      </c>
      <c r="I1274" t="s">
        <v>17</v>
      </c>
      <c r="J1274" t="s">
        <v>23</v>
      </c>
      <c r="K1274">
        <v>23442.25</v>
      </c>
      <c r="L1274">
        <v>93296.5</v>
      </c>
      <c r="M1274">
        <v>13</v>
      </c>
      <c r="Y1274" s="1">
        <f t="shared" si="95"/>
        <v>1431.5540000000001</v>
      </c>
      <c r="Z1274" s="2">
        <f t="shared" si="96"/>
        <v>69854.100000000006</v>
      </c>
      <c r="AA1274" s="2">
        <f t="shared" si="97"/>
        <v>69854.158487908935</v>
      </c>
      <c r="AB1274" s="1">
        <f t="shared" si="98"/>
        <v>7.43980172902695E-2</v>
      </c>
      <c r="AC1274" s="1" t="b">
        <f t="shared" si="99"/>
        <v>1</v>
      </c>
    </row>
    <row r="1275" spans="1:29" x14ac:dyDescent="0.25">
      <c r="A1275" s="1">
        <v>1431.2439999999999</v>
      </c>
      <c r="B1275">
        <v>20</v>
      </c>
      <c r="D1275" s="2">
        <v>69869.3</v>
      </c>
      <c r="E1275">
        <v>61357</v>
      </c>
      <c r="F1275" t="s">
        <v>17</v>
      </c>
      <c r="G1275" t="s">
        <v>16</v>
      </c>
      <c r="H1275">
        <v>131226</v>
      </c>
      <c r="I1275" t="s">
        <v>15</v>
      </c>
      <c r="J1275" t="s">
        <v>16</v>
      </c>
      <c r="K1275">
        <v>61357.04</v>
      </c>
      <c r="L1275">
        <v>131226.29999999999</v>
      </c>
      <c r="M1275">
        <v>13</v>
      </c>
      <c r="Y1275" s="1">
        <f t="shared" si="95"/>
        <v>1431.2439999999999</v>
      </c>
      <c r="Z1275" s="2">
        <f t="shared" si="96"/>
        <v>69869.3</v>
      </c>
      <c r="AA1275" s="2">
        <f t="shared" si="97"/>
        <v>69869.288535008716</v>
      </c>
      <c r="AB1275" s="1">
        <f t="shared" si="98"/>
        <v>7.4408587401941506E-2</v>
      </c>
      <c r="AC1275" s="1" t="b">
        <f t="shared" si="99"/>
        <v>1</v>
      </c>
    </row>
    <row r="1276" spans="1:29" x14ac:dyDescent="0.25">
      <c r="A1276" s="1">
        <v>1431.1030000000001</v>
      </c>
      <c r="B1276">
        <v>40</v>
      </c>
      <c r="D1276" s="2">
        <v>69876.2</v>
      </c>
      <c r="M1276">
        <v>13</v>
      </c>
      <c r="Y1276" s="1">
        <f t="shared" si="95"/>
        <v>1431.1030000000001</v>
      </c>
      <c r="Z1276" s="2">
        <f t="shared" si="96"/>
        <v>69876.2</v>
      </c>
      <c r="AA1276" s="2">
        <f t="shared" si="97"/>
        <v>69876.172434828244</v>
      </c>
      <c r="AB1276" s="1">
        <f t="shared" si="98"/>
        <v>7.4413397370709261E-2</v>
      </c>
      <c r="AC1276" s="1" t="b">
        <f t="shared" si="99"/>
        <v>1</v>
      </c>
    </row>
    <row r="1277" spans="1:29" x14ac:dyDescent="0.25">
      <c r="A1277" s="1">
        <v>1431.0139999999999</v>
      </c>
      <c r="B1277">
        <v>100</v>
      </c>
      <c r="D1277" s="2">
        <v>69880.5</v>
      </c>
      <c r="M1277">
        <v>13</v>
      </c>
      <c r="Y1277" s="1">
        <f t="shared" si="95"/>
        <v>1431.0139999999999</v>
      </c>
      <c r="Z1277" s="2">
        <f t="shared" si="96"/>
        <v>69880.5</v>
      </c>
      <c r="AA1277" s="2">
        <f t="shared" si="97"/>
        <v>69880.518289828062</v>
      </c>
      <c r="AB1277" s="1">
        <f t="shared" si="98"/>
        <v>7.4416434182274976E-2</v>
      </c>
      <c r="AC1277" s="1" t="b">
        <f t="shared" si="99"/>
        <v>1</v>
      </c>
    </row>
    <row r="1278" spans="1:29" x14ac:dyDescent="0.25">
      <c r="A1278" s="1">
        <v>1430.93</v>
      </c>
      <c r="B1278">
        <v>3</v>
      </c>
      <c r="D1278" s="2">
        <v>69884.600000000006</v>
      </c>
      <c r="E1278">
        <v>17627</v>
      </c>
      <c r="F1278" t="s">
        <v>15</v>
      </c>
      <c r="G1278" t="s">
        <v>16</v>
      </c>
      <c r="H1278">
        <v>87511</v>
      </c>
      <c r="I1278" t="s">
        <v>17</v>
      </c>
      <c r="J1278" t="s">
        <v>18</v>
      </c>
      <c r="K1278">
        <v>17627</v>
      </c>
      <c r="L1278">
        <v>87511.6</v>
      </c>
      <c r="M1278">
        <v>13</v>
      </c>
      <c r="Y1278" s="1">
        <f t="shared" si="95"/>
        <v>1430.93</v>
      </c>
      <c r="Z1278" s="2">
        <f t="shared" si="96"/>
        <v>69884.600000000006</v>
      </c>
      <c r="AA1278" s="2">
        <f t="shared" si="97"/>
        <v>69884.620491568421</v>
      </c>
      <c r="AB1278" s="1">
        <f t="shared" si="98"/>
        <v>7.4419300906252733E-2</v>
      </c>
      <c r="AC1278" s="1" t="b">
        <f t="shared" si="99"/>
        <v>1</v>
      </c>
    </row>
    <row r="1279" spans="1:29" x14ac:dyDescent="0.25">
      <c r="A1279" s="1">
        <v>1430.5429999999999</v>
      </c>
      <c r="B1279">
        <v>5</v>
      </c>
      <c r="D1279" s="2">
        <v>69903.5</v>
      </c>
      <c r="M1279">
        <v>13</v>
      </c>
      <c r="Y1279" s="1">
        <f t="shared" si="95"/>
        <v>1430.5429999999999</v>
      </c>
      <c r="Z1279" s="2">
        <f t="shared" si="96"/>
        <v>69903.5</v>
      </c>
      <c r="AA1279" s="2">
        <f t="shared" si="97"/>
        <v>69903.526143569266</v>
      </c>
      <c r="AB1279" s="1">
        <f t="shared" si="98"/>
        <v>7.4432514836523356E-2</v>
      </c>
      <c r="AC1279" s="1" t="b">
        <f t="shared" si="99"/>
        <v>1</v>
      </c>
    </row>
    <row r="1280" spans="1:29" x14ac:dyDescent="0.25">
      <c r="A1280" s="1">
        <v>1430.329</v>
      </c>
      <c r="B1280">
        <v>20</v>
      </c>
      <c r="D1280" s="2">
        <v>69914</v>
      </c>
      <c r="E1280">
        <v>22527</v>
      </c>
      <c r="F1280" t="s">
        <v>15</v>
      </c>
      <c r="G1280" t="s">
        <v>18</v>
      </c>
      <c r="H1280">
        <v>92441</v>
      </c>
      <c r="I1280" t="s">
        <v>17</v>
      </c>
      <c r="J1280" t="s">
        <v>18</v>
      </c>
      <c r="K1280">
        <v>22527.7</v>
      </c>
      <c r="L1280">
        <v>92441.7</v>
      </c>
      <c r="M1280">
        <v>13</v>
      </c>
      <c r="Y1280" s="1">
        <f t="shared" si="95"/>
        <v>1430.329</v>
      </c>
      <c r="Z1280" s="2">
        <f t="shared" si="96"/>
        <v>69914</v>
      </c>
      <c r="AA1280" s="2">
        <f t="shared" si="97"/>
        <v>69913.984824470463</v>
      </c>
      <c r="AB1280" s="1">
        <f t="shared" si="98"/>
        <v>7.4439826370181428E-2</v>
      </c>
      <c r="AC1280" s="1" t="b">
        <f t="shared" si="99"/>
        <v>1</v>
      </c>
    </row>
    <row r="1281" spans="1:29" x14ac:dyDescent="0.25">
      <c r="A1281" s="1">
        <v>1430.1579999999999</v>
      </c>
      <c r="B1281">
        <v>300</v>
      </c>
      <c r="D1281" s="2">
        <v>69922.3</v>
      </c>
      <c r="M1281">
        <v>13</v>
      </c>
      <c r="Y1281" s="1">
        <f t="shared" si="95"/>
        <v>1430.1579999999999</v>
      </c>
      <c r="Z1281" s="2">
        <f t="shared" si="96"/>
        <v>69922.3</v>
      </c>
      <c r="AA1281" s="2">
        <f t="shared" si="97"/>
        <v>69922.344244482083</v>
      </c>
      <c r="AB1281" s="1">
        <f t="shared" si="98"/>
        <v>7.4445671123219287E-2</v>
      </c>
      <c r="AC1281" s="1" t="b">
        <f t="shared" si="99"/>
        <v>1</v>
      </c>
    </row>
    <row r="1282" spans="1:29" x14ac:dyDescent="0.25">
      <c r="A1282" s="1">
        <v>1429.627</v>
      </c>
      <c r="B1282">
        <v>1</v>
      </c>
      <c r="D1282" s="2">
        <v>69948.3</v>
      </c>
      <c r="M1282">
        <v>13</v>
      </c>
      <c r="Y1282" s="1">
        <f t="shared" si="95"/>
        <v>1429.627</v>
      </c>
      <c r="Z1282" s="2">
        <f t="shared" si="96"/>
        <v>69948.3</v>
      </c>
      <c r="AA1282" s="2">
        <f t="shared" si="97"/>
        <v>69948.315189906178</v>
      </c>
      <c r="AB1282" s="1">
        <f t="shared" si="98"/>
        <v>7.4463833989532296E-2</v>
      </c>
      <c r="AC1282" s="1" t="b">
        <f t="shared" si="99"/>
        <v>1</v>
      </c>
    </row>
    <row r="1283" spans="1:29" x14ac:dyDescent="0.25">
      <c r="A1283" s="1">
        <v>1428.703</v>
      </c>
      <c r="B1283">
        <v>3</v>
      </c>
      <c r="D1283" s="2">
        <v>69993.600000000006</v>
      </c>
      <c r="E1283">
        <v>45807</v>
      </c>
      <c r="F1283" t="s">
        <v>15</v>
      </c>
      <c r="G1283" t="s">
        <v>28</v>
      </c>
      <c r="H1283">
        <v>115800</v>
      </c>
      <c r="I1283" t="s">
        <v>17</v>
      </c>
      <c r="J1283" t="s">
        <v>28</v>
      </c>
      <c r="K1283">
        <v>45807.1</v>
      </c>
      <c r="L1283">
        <v>115800</v>
      </c>
      <c r="M1283">
        <v>13</v>
      </c>
      <c r="Y1283" s="1">
        <f t="shared" ref="Y1283:Y1346" si="100">ROUND($A1283,3)+0</f>
        <v>1428.703</v>
      </c>
      <c r="Z1283" s="2">
        <f t="shared" ref="Z1283:Z1346" si="101">ROUND($D1283,1)+0</f>
        <v>69993.600000000006</v>
      </c>
      <c r="AA1283" s="2">
        <f t="shared" ref="AA1283:AA1346" si="102">100000000/Y1283</f>
        <v>69993.553593714023</v>
      </c>
      <c r="AB1283" s="1">
        <f t="shared" ref="AB1283:AB1346" si="103">0.0005/$Y1283*AA1283+0.05</f>
        <v>7.4495487723380591E-2</v>
      </c>
      <c r="AC1283" s="1" t="b">
        <f t="shared" ref="AC1283:AC1346" si="104">ABS(Z1283-AA1283)&lt;AB1283</f>
        <v>1</v>
      </c>
    </row>
    <row r="1284" spans="1:29" x14ac:dyDescent="0.25">
      <c r="A1284" s="1">
        <v>1428.018</v>
      </c>
      <c r="B1284">
        <v>40</v>
      </c>
      <c r="D1284" s="2">
        <v>70027.100000000006</v>
      </c>
      <c r="E1284">
        <v>22527</v>
      </c>
      <c r="F1284" t="s">
        <v>15</v>
      </c>
      <c r="G1284" t="s">
        <v>18</v>
      </c>
      <c r="H1284">
        <v>92554</v>
      </c>
      <c r="I1284" t="s">
        <v>17</v>
      </c>
      <c r="J1284" t="s">
        <v>28</v>
      </c>
      <c r="K1284">
        <v>22527.7</v>
      </c>
      <c r="L1284">
        <v>92554.8</v>
      </c>
      <c r="M1284">
        <v>13</v>
      </c>
      <c r="Y1284" s="1">
        <f t="shared" si="100"/>
        <v>1428.018</v>
      </c>
      <c r="Z1284" s="2">
        <f t="shared" si="101"/>
        <v>70027.100000000006</v>
      </c>
      <c r="AA1284" s="2">
        <f t="shared" si="102"/>
        <v>70027.128509584611</v>
      </c>
      <c r="AB1284" s="1">
        <f t="shared" si="103"/>
        <v>7.4518993636489395E-2</v>
      </c>
      <c r="AC1284" s="1" t="b">
        <f t="shared" si="104"/>
        <v>1</v>
      </c>
    </row>
    <row r="1285" spans="1:29" x14ac:dyDescent="0.25">
      <c r="A1285" s="1">
        <v>1427.7090000000001</v>
      </c>
      <c r="B1285">
        <v>20</v>
      </c>
      <c r="D1285" s="2">
        <v>70042.3</v>
      </c>
      <c r="M1285">
        <v>13</v>
      </c>
      <c r="Y1285" s="1">
        <f t="shared" si="100"/>
        <v>1427.7090000000001</v>
      </c>
      <c r="Z1285" s="2">
        <f t="shared" si="101"/>
        <v>70042.3</v>
      </c>
      <c r="AA1285" s="2">
        <f t="shared" si="102"/>
        <v>70042.284527169046</v>
      </c>
      <c r="AB1285" s="1">
        <f t="shared" si="103"/>
        <v>7.4529608108924533E-2</v>
      </c>
      <c r="AC1285" s="1" t="b">
        <f t="shared" si="104"/>
        <v>1</v>
      </c>
    </row>
    <row r="1286" spans="1:29" x14ac:dyDescent="0.25">
      <c r="A1286" s="1">
        <v>1427.5609999999999</v>
      </c>
      <c r="B1286">
        <v>3</v>
      </c>
      <c r="D1286" s="2">
        <v>70049.5</v>
      </c>
      <c r="M1286">
        <v>13</v>
      </c>
      <c r="Y1286" s="1">
        <f t="shared" si="100"/>
        <v>1427.5609999999999</v>
      </c>
      <c r="Z1286" s="2">
        <f t="shared" si="101"/>
        <v>70049.5</v>
      </c>
      <c r="AA1286" s="2">
        <f t="shared" si="102"/>
        <v>70049.546043916867</v>
      </c>
      <c r="AB1286" s="1">
        <f t="shared" si="103"/>
        <v>7.4534694504794149E-2</v>
      </c>
      <c r="AC1286" s="1" t="b">
        <f t="shared" si="104"/>
        <v>1</v>
      </c>
    </row>
    <row r="1287" spans="1:29" x14ac:dyDescent="0.25">
      <c r="A1287" s="1">
        <v>1427.0139999999999</v>
      </c>
      <c r="B1287">
        <v>100</v>
      </c>
      <c r="D1287" s="2">
        <v>70076.399999999994</v>
      </c>
      <c r="M1287">
        <v>13</v>
      </c>
      <c r="Y1287" s="1">
        <f t="shared" si="100"/>
        <v>1427.0139999999999</v>
      </c>
      <c r="Z1287" s="2">
        <f t="shared" si="101"/>
        <v>70076.399999999994</v>
      </c>
      <c r="AA1287" s="2">
        <f t="shared" si="102"/>
        <v>70076.397288323729</v>
      </c>
      <c r="AB1287" s="1">
        <f t="shared" si="103"/>
        <v>7.4553507284554926E-2</v>
      </c>
      <c r="AC1287" s="1" t="b">
        <f t="shared" si="104"/>
        <v>1</v>
      </c>
    </row>
    <row r="1288" spans="1:29" x14ac:dyDescent="0.25">
      <c r="A1288" s="1">
        <v>1426.067</v>
      </c>
      <c r="B1288">
        <v>100</v>
      </c>
      <c r="D1288" s="2">
        <v>70122.899999999994</v>
      </c>
      <c r="E1288">
        <v>23844</v>
      </c>
      <c r="F1288" t="s">
        <v>15</v>
      </c>
      <c r="G1288" t="s">
        <v>16</v>
      </c>
      <c r="H1288">
        <v>93967</v>
      </c>
      <c r="I1288" t="s">
        <v>17</v>
      </c>
      <c r="J1288" t="s">
        <v>18</v>
      </c>
      <c r="K1288">
        <v>23844.58</v>
      </c>
      <c r="L1288">
        <v>93967.4</v>
      </c>
      <c r="M1288">
        <v>13</v>
      </c>
      <c r="Y1288" s="1">
        <f t="shared" si="100"/>
        <v>1426.067</v>
      </c>
      <c r="Z1288" s="2">
        <f t="shared" si="101"/>
        <v>70122.899999999994</v>
      </c>
      <c r="AA1288" s="2">
        <f t="shared" si="102"/>
        <v>70122.932512988526</v>
      </c>
      <c r="AB1288" s="1">
        <f t="shared" si="103"/>
        <v>7.4586128321105713E-2</v>
      </c>
      <c r="AC1288" s="1" t="b">
        <f t="shared" si="104"/>
        <v>1</v>
      </c>
    </row>
    <row r="1289" spans="1:29" x14ac:dyDescent="0.25">
      <c r="A1289" s="1">
        <v>1424.7750000000001</v>
      </c>
      <c r="B1289">
        <v>2</v>
      </c>
      <c r="D1289" s="2">
        <v>70186.5</v>
      </c>
      <c r="M1289">
        <v>13</v>
      </c>
      <c r="Y1289" s="1">
        <f t="shared" si="100"/>
        <v>1424.7750000000001</v>
      </c>
      <c r="Z1289" s="2">
        <f t="shared" si="101"/>
        <v>70186.5</v>
      </c>
      <c r="AA1289" s="2">
        <f t="shared" si="102"/>
        <v>70186.520678703644</v>
      </c>
      <c r="AB1289" s="1">
        <f t="shared" si="103"/>
        <v>7.463073842491047E-2</v>
      </c>
      <c r="AC1289" s="1" t="b">
        <f t="shared" si="104"/>
        <v>1</v>
      </c>
    </row>
    <row r="1290" spans="1:29" x14ac:dyDescent="0.25">
      <c r="A1290" s="1">
        <v>1424.001</v>
      </c>
      <c r="B1290">
        <v>1</v>
      </c>
      <c r="D1290" s="2">
        <v>70224.7</v>
      </c>
      <c r="M1290">
        <v>13</v>
      </c>
      <c r="Y1290" s="1">
        <f t="shared" si="100"/>
        <v>1424.001</v>
      </c>
      <c r="Z1290" s="2">
        <f t="shared" si="101"/>
        <v>70224.7</v>
      </c>
      <c r="AA1290" s="2">
        <f t="shared" si="102"/>
        <v>70224.669786046506</v>
      </c>
      <c r="AB1290" s="1">
        <f t="shared" si="103"/>
        <v>7.465752123279637E-2</v>
      </c>
      <c r="AC1290" s="1" t="b">
        <f t="shared" si="104"/>
        <v>1</v>
      </c>
    </row>
    <row r="1291" spans="1:29" x14ac:dyDescent="0.25">
      <c r="A1291" s="1">
        <v>1423.653</v>
      </c>
      <c r="B1291">
        <v>5</v>
      </c>
      <c r="D1291" s="2">
        <v>70241.8</v>
      </c>
      <c r="M1291">
        <v>13</v>
      </c>
      <c r="Y1291" s="1">
        <f t="shared" si="100"/>
        <v>1423.653</v>
      </c>
      <c r="Z1291" s="2">
        <f t="shared" si="101"/>
        <v>70241.8</v>
      </c>
      <c r="AA1291" s="2">
        <f t="shared" si="102"/>
        <v>70241.835615841774</v>
      </c>
      <c r="AB1291" s="1">
        <f t="shared" si="103"/>
        <v>7.4669577353414701E-2</v>
      </c>
      <c r="AC1291" s="1" t="b">
        <f t="shared" si="104"/>
        <v>1</v>
      </c>
    </row>
    <row r="1292" spans="1:29" x14ac:dyDescent="0.25">
      <c r="A1292" s="1">
        <v>1423.393</v>
      </c>
      <c r="B1292">
        <v>3</v>
      </c>
      <c r="D1292" s="2">
        <v>70254.7</v>
      </c>
      <c r="M1292">
        <v>13</v>
      </c>
      <c r="Y1292" s="1">
        <f t="shared" si="100"/>
        <v>1423.393</v>
      </c>
      <c r="Z1292" s="2">
        <f t="shared" si="101"/>
        <v>70254.7</v>
      </c>
      <c r="AA1292" s="2">
        <f t="shared" si="102"/>
        <v>70254.666139288311</v>
      </c>
      <c r="AB1292" s="1">
        <f t="shared" si="103"/>
        <v>7.4678590571714318E-2</v>
      </c>
      <c r="AC1292" s="1" t="b">
        <f t="shared" si="104"/>
        <v>1</v>
      </c>
    </row>
    <row r="1293" spans="1:29" x14ac:dyDescent="0.25">
      <c r="A1293" s="1">
        <v>1423.1869999999999</v>
      </c>
      <c r="B1293">
        <v>4</v>
      </c>
      <c r="C1293" t="s">
        <v>123</v>
      </c>
      <c r="D1293" s="2">
        <v>70264.800000000003</v>
      </c>
      <c r="M1293">
        <v>13</v>
      </c>
      <c r="Y1293" s="1">
        <f t="shared" si="100"/>
        <v>1423.1869999999999</v>
      </c>
      <c r="Z1293" s="2">
        <f t="shared" si="101"/>
        <v>70264.800000000003</v>
      </c>
      <c r="AA1293" s="2">
        <f t="shared" si="102"/>
        <v>70264.835190315818</v>
      </c>
      <c r="AB1293" s="1">
        <f t="shared" si="103"/>
        <v>7.4685735321611227E-2</v>
      </c>
      <c r="AC1293" s="1" t="b">
        <f t="shared" si="104"/>
        <v>1</v>
      </c>
    </row>
    <row r="1294" spans="1:29" x14ac:dyDescent="0.25">
      <c r="A1294" s="1">
        <v>1423.114</v>
      </c>
      <c r="B1294">
        <v>2</v>
      </c>
      <c r="C1294" t="s">
        <v>123</v>
      </c>
      <c r="D1294" s="2">
        <v>70268.399999999994</v>
      </c>
      <c r="M1294">
        <v>13</v>
      </c>
      <c r="Y1294" s="1">
        <f t="shared" si="100"/>
        <v>1423.114</v>
      </c>
      <c r="Z1294" s="2">
        <f t="shared" si="101"/>
        <v>70268.399999999994</v>
      </c>
      <c r="AA1294" s="2">
        <f t="shared" si="102"/>
        <v>70268.439492549442</v>
      </c>
      <c r="AB1294" s="1">
        <f t="shared" si="103"/>
        <v>7.4688267943590403E-2</v>
      </c>
      <c r="AC1294" s="1" t="b">
        <f t="shared" si="104"/>
        <v>1</v>
      </c>
    </row>
    <row r="1295" spans="1:29" x14ac:dyDescent="0.25">
      <c r="A1295" s="1">
        <v>1422.943</v>
      </c>
      <c r="B1295">
        <v>2</v>
      </c>
      <c r="D1295" s="2">
        <v>70276.899999999994</v>
      </c>
      <c r="E1295">
        <v>22277</v>
      </c>
      <c r="F1295" t="s">
        <v>15</v>
      </c>
      <c r="G1295" t="s">
        <v>29</v>
      </c>
      <c r="H1295">
        <v>92554</v>
      </c>
      <c r="I1295" t="s">
        <v>17</v>
      </c>
      <c r="J1295" t="s">
        <v>28</v>
      </c>
      <c r="K1295">
        <v>22277.66</v>
      </c>
      <c r="L1295">
        <v>92554.8</v>
      </c>
      <c r="M1295">
        <v>13</v>
      </c>
      <c r="Y1295" s="1">
        <f t="shared" si="100"/>
        <v>1422.943</v>
      </c>
      <c r="Z1295" s="2">
        <f t="shared" si="101"/>
        <v>70276.899999999994</v>
      </c>
      <c r="AA1295" s="2">
        <f t="shared" si="102"/>
        <v>70276.883894857354</v>
      </c>
      <c r="AB1295" s="1">
        <f t="shared" si="103"/>
        <v>7.4694202049856301E-2</v>
      </c>
      <c r="AC1295" s="1" t="b">
        <f t="shared" si="104"/>
        <v>1</v>
      </c>
    </row>
    <row r="1296" spans="1:29" x14ac:dyDescent="0.25">
      <c r="A1296" s="1">
        <v>1422.7180000000001</v>
      </c>
      <c r="B1296">
        <v>10</v>
      </c>
      <c r="D1296" s="2">
        <v>70288</v>
      </c>
      <c r="M1296">
        <v>13</v>
      </c>
      <c r="Y1296" s="1">
        <f t="shared" si="100"/>
        <v>1422.7180000000001</v>
      </c>
      <c r="Z1296" s="2">
        <f t="shared" si="101"/>
        <v>70288</v>
      </c>
      <c r="AA1296" s="2">
        <f t="shared" si="102"/>
        <v>70287.998043182131</v>
      </c>
      <c r="AB1296" s="1">
        <f t="shared" si="103"/>
        <v>7.470201334459188E-2</v>
      </c>
      <c r="AC1296" s="1" t="b">
        <f t="shared" si="104"/>
        <v>1</v>
      </c>
    </row>
    <row r="1297" spans="1:29" x14ac:dyDescent="0.25">
      <c r="A1297" s="1">
        <v>1422.5509999999999</v>
      </c>
      <c r="B1297">
        <v>10</v>
      </c>
      <c r="C1297" t="s">
        <v>123</v>
      </c>
      <c r="D1297" s="2">
        <v>70296.2</v>
      </c>
      <c r="M1297">
        <v>13</v>
      </c>
      <c r="Y1297" s="1">
        <f t="shared" si="100"/>
        <v>1422.5509999999999</v>
      </c>
      <c r="Z1297" s="2">
        <f t="shared" si="101"/>
        <v>70296.2</v>
      </c>
      <c r="AA1297" s="2">
        <f t="shared" si="102"/>
        <v>70296.249484201267</v>
      </c>
      <c r="AB1297" s="1">
        <f t="shared" si="103"/>
        <v>7.4707813457725342E-2</v>
      </c>
      <c r="AC1297" s="1" t="b">
        <f t="shared" si="104"/>
        <v>1</v>
      </c>
    </row>
    <row r="1298" spans="1:29" x14ac:dyDescent="0.25">
      <c r="A1298" s="1">
        <v>1422.079</v>
      </c>
      <c r="B1298">
        <v>3</v>
      </c>
      <c r="C1298" t="s">
        <v>123</v>
      </c>
      <c r="D1298" s="2">
        <v>70319.600000000006</v>
      </c>
      <c r="M1298">
        <v>13</v>
      </c>
      <c r="Y1298" s="1">
        <f t="shared" si="100"/>
        <v>1422.079</v>
      </c>
      <c r="Z1298" s="2">
        <f t="shared" si="101"/>
        <v>70319.600000000006</v>
      </c>
      <c r="AA1298" s="2">
        <f t="shared" si="102"/>
        <v>70319.581401595831</v>
      </c>
      <c r="AB1298" s="1">
        <f t="shared" si="103"/>
        <v>7.4724217642478316E-2</v>
      </c>
      <c r="AC1298" s="1" t="b">
        <f t="shared" si="104"/>
        <v>1</v>
      </c>
    </row>
    <row r="1299" spans="1:29" x14ac:dyDescent="0.25">
      <c r="A1299" s="1">
        <v>1421.7449999999999</v>
      </c>
      <c r="B1299">
        <v>10</v>
      </c>
      <c r="D1299" s="2">
        <v>70336.100000000006</v>
      </c>
      <c r="M1299">
        <v>13</v>
      </c>
      <c r="Y1299" s="1">
        <f t="shared" si="100"/>
        <v>1421.7449999999999</v>
      </c>
      <c r="Z1299" s="2">
        <f t="shared" si="101"/>
        <v>70336.100000000006</v>
      </c>
      <c r="AA1299" s="2">
        <f t="shared" si="102"/>
        <v>70336.101058910004</v>
      </c>
      <c r="AB1299" s="1">
        <f t="shared" si="103"/>
        <v>7.4735835560846009E-2</v>
      </c>
      <c r="AC1299" s="1" t="b">
        <f t="shared" si="104"/>
        <v>1</v>
      </c>
    </row>
    <row r="1300" spans="1:29" x14ac:dyDescent="0.25">
      <c r="A1300" s="1">
        <v>1421.636</v>
      </c>
      <c r="B1300">
        <v>20</v>
      </c>
      <c r="D1300" s="2">
        <v>70341.5</v>
      </c>
      <c r="M1300">
        <v>13</v>
      </c>
      <c r="Y1300" s="1">
        <f t="shared" si="100"/>
        <v>1421.636</v>
      </c>
      <c r="Z1300" s="2">
        <f t="shared" si="101"/>
        <v>70341.5</v>
      </c>
      <c r="AA1300" s="2">
        <f t="shared" si="102"/>
        <v>70341.493884510521</v>
      </c>
      <c r="AB1300" s="1">
        <f t="shared" si="103"/>
        <v>7.4739628809523159E-2</v>
      </c>
      <c r="AC1300" s="1" t="b">
        <f t="shared" si="104"/>
        <v>1</v>
      </c>
    </row>
    <row r="1301" spans="1:29" x14ac:dyDescent="0.25">
      <c r="A1301" s="1">
        <v>1421.479</v>
      </c>
      <c r="B1301">
        <v>1</v>
      </c>
      <c r="D1301" s="2">
        <v>70349.3</v>
      </c>
      <c r="M1301">
        <v>14</v>
      </c>
      <c r="Y1301" s="1">
        <f t="shared" si="100"/>
        <v>1421.479</v>
      </c>
      <c r="Z1301" s="2">
        <f t="shared" si="101"/>
        <v>70349.3</v>
      </c>
      <c r="AA1301" s="2">
        <f t="shared" si="102"/>
        <v>70349.26298594632</v>
      </c>
      <c r="AB1301" s="1">
        <f t="shared" si="103"/>
        <v>7.4745094013329183E-2</v>
      </c>
      <c r="AC1301" s="1" t="b">
        <f t="shared" si="104"/>
        <v>1</v>
      </c>
    </row>
    <row r="1302" spans="1:29" x14ac:dyDescent="0.25">
      <c r="A1302" s="1">
        <v>1421.2619999999999</v>
      </c>
      <c r="B1302">
        <v>100</v>
      </c>
      <c r="D1302" s="2">
        <v>70360</v>
      </c>
      <c r="E1302">
        <v>24788</v>
      </c>
      <c r="F1302" t="s">
        <v>15</v>
      </c>
      <c r="G1302" t="s">
        <v>16</v>
      </c>
      <c r="H1302">
        <v>95147</v>
      </c>
      <c r="I1302" t="s">
        <v>17</v>
      </c>
      <c r="J1302" t="s">
        <v>16</v>
      </c>
      <c r="K1302">
        <v>24788.02</v>
      </c>
      <c r="L1302">
        <v>95147.9</v>
      </c>
      <c r="M1302">
        <v>14</v>
      </c>
      <c r="Y1302" s="1">
        <f t="shared" si="100"/>
        <v>1421.2619999999999</v>
      </c>
      <c r="Z1302" s="2">
        <f t="shared" si="101"/>
        <v>70360</v>
      </c>
      <c r="AA1302" s="2">
        <f t="shared" si="102"/>
        <v>70360.003996448228</v>
      </c>
      <c r="AB1302" s="1">
        <f t="shared" si="103"/>
        <v>7.475265081190105E-2</v>
      </c>
      <c r="AC1302" s="1" t="b">
        <f t="shared" si="104"/>
        <v>1</v>
      </c>
    </row>
    <row r="1303" spans="1:29" x14ac:dyDescent="0.25">
      <c r="A1303" s="1">
        <v>1420.7950000000001</v>
      </c>
      <c r="B1303">
        <v>15</v>
      </c>
      <c r="D1303" s="2">
        <v>70383.100000000006</v>
      </c>
      <c r="E1303">
        <v>26446</v>
      </c>
      <c r="F1303" t="s">
        <v>15</v>
      </c>
      <c r="G1303" t="s">
        <v>18</v>
      </c>
      <c r="H1303">
        <v>96830</v>
      </c>
      <c r="I1303" t="s">
        <v>17</v>
      </c>
      <c r="J1303" t="s">
        <v>18</v>
      </c>
      <c r="K1303">
        <v>26446.97</v>
      </c>
      <c r="L1303">
        <v>96830.5</v>
      </c>
      <c r="M1303">
        <v>14</v>
      </c>
      <c r="Y1303" s="1">
        <f t="shared" si="100"/>
        <v>1420.7950000000001</v>
      </c>
      <c r="Z1303" s="2">
        <f t="shared" si="101"/>
        <v>70383.100000000006</v>
      </c>
      <c r="AA1303" s="2">
        <f t="shared" si="102"/>
        <v>70383.130571264672</v>
      </c>
      <c r="AB1303" s="1">
        <f t="shared" si="103"/>
        <v>7.4768925345058468E-2</v>
      </c>
      <c r="AC1303" s="1" t="b">
        <f t="shared" si="104"/>
        <v>1</v>
      </c>
    </row>
    <row r="1304" spans="1:29" x14ac:dyDescent="0.25">
      <c r="A1304" s="1">
        <v>1420.3340000000001</v>
      </c>
      <c r="B1304">
        <v>5</v>
      </c>
      <c r="D1304" s="2">
        <v>70406</v>
      </c>
      <c r="M1304">
        <v>14</v>
      </c>
      <c r="Y1304" s="1">
        <f t="shared" si="100"/>
        <v>1420.3340000000001</v>
      </c>
      <c r="Z1304" s="2">
        <f t="shared" si="101"/>
        <v>70406</v>
      </c>
      <c r="AA1304" s="2">
        <f t="shared" si="102"/>
        <v>70405.974932656682</v>
      </c>
      <c r="AB1304" s="1">
        <f t="shared" si="103"/>
        <v>7.478500653108941E-2</v>
      </c>
      <c r="AC1304" s="1" t="b">
        <f t="shared" si="104"/>
        <v>1</v>
      </c>
    </row>
    <row r="1305" spans="1:29" x14ac:dyDescent="0.25">
      <c r="A1305" s="1">
        <v>1420.0709999999999</v>
      </c>
      <c r="B1305">
        <v>50</v>
      </c>
      <c r="C1305" t="s">
        <v>123</v>
      </c>
      <c r="D1305" s="2">
        <v>70419</v>
      </c>
      <c r="E1305">
        <v>19700</v>
      </c>
      <c r="F1305" t="s">
        <v>15</v>
      </c>
      <c r="G1305" t="s">
        <v>23</v>
      </c>
      <c r="H1305">
        <v>90119</v>
      </c>
      <c r="I1305" t="s">
        <v>17</v>
      </c>
      <c r="J1305" t="s">
        <v>23</v>
      </c>
      <c r="K1305">
        <v>19700.900000000001</v>
      </c>
      <c r="L1305">
        <v>90119.8</v>
      </c>
      <c r="M1305">
        <v>14</v>
      </c>
      <c r="Y1305" s="1">
        <f t="shared" si="100"/>
        <v>1420.0709999999999</v>
      </c>
      <c r="Z1305" s="2">
        <f t="shared" si="101"/>
        <v>70419</v>
      </c>
      <c r="AA1305" s="2">
        <f t="shared" si="102"/>
        <v>70419.014260554584</v>
      </c>
      <c r="AB1305" s="1">
        <f t="shared" si="103"/>
        <v>7.4794187847140953E-2</v>
      </c>
      <c r="AC1305" s="1" t="b">
        <f t="shared" si="104"/>
        <v>1</v>
      </c>
    </row>
    <row r="1306" spans="1:29" x14ac:dyDescent="0.25">
      <c r="A1306" s="1">
        <v>1420.021</v>
      </c>
      <c r="B1306">
        <v>10</v>
      </c>
      <c r="C1306" t="s">
        <v>122</v>
      </c>
      <c r="D1306" s="2">
        <v>70421.5</v>
      </c>
      <c r="M1306">
        <v>14</v>
      </c>
      <c r="Y1306" s="1">
        <f t="shared" si="100"/>
        <v>1420.021</v>
      </c>
      <c r="Z1306" s="2">
        <f t="shared" si="101"/>
        <v>70421.5</v>
      </c>
      <c r="AA1306" s="2">
        <f t="shared" si="102"/>
        <v>70421.493766641477</v>
      </c>
      <c r="AB1306" s="1">
        <f t="shared" si="103"/>
        <v>7.4795933921625632E-2</v>
      </c>
      <c r="AC1306" s="1" t="b">
        <f t="shared" si="104"/>
        <v>1</v>
      </c>
    </row>
    <row r="1307" spans="1:29" x14ac:dyDescent="0.25">
      <c r="A1307" s="1">
        <v>1418.9659999999999</v>
      </c>
      <c r="B1307">
        <v>7</v>
      </c>
      <c r="D1307" s="2">
        <v>70473.8</v>
      </c>
      <c r="E1307">
        <v>22080</v>
      </c>
      <c r="F1307" t="s">
        <v>15</v>
      </c>
      <c r="G1307" t="s">
        <v>18</v>
      </c>
      <c r="H1307">
        <v>92554</v>
      </c>
      <c r="I1307" t="s">
        <v>17</v>
      </c>
      <c r="J1307" t="s">
        <v>28</v>
      </c>
      <c r="K1307">
        <v>22080.94</v>
      </c>
      <c r="L1307">
        <v>92554.8</v>
      </c>
      <c r="M1307">
        <v>14</v>
      </c>
      <c r="Y1307" s="1">
        <f t="shared" si="100"/>
        <v>1418.9659999999999</v>
      </c>
      <c r="Z1307" s="2">
        <f t="shared" si="101"/>
        <v>70473.8</v>
      </c>
      <c r="AA1307" s="2">
        <f t="shared" si="102"/>
        <v>70473.852086660292</v>
      </c>
      <c r="AB1307" s="1">
        <f t="shared" si="103"/>
        <v>7.4832819139662374E-2</v>
      </c>
      <c r="AC1307" s="1" t="b">
        <f t="shared" si="104"/>
        <v>1</v>
      </c>
    </row>
    <row r="1308" spans="1:29" x14ac:dyDescent="0.25">
      <c r="A1308" s="1">
        <v>1418.4770000000001</v>
      </c>
      <c r="B1308">
        <v>2</v>
      </c>
      <c r="D1308" s="2">
        <v>70498.100000000006</v>
      </c>
      <c r="M1308">
        <v>14</v>
      </c>
      <c r="Y1308" s="1">
        <f t="shared" si="100"/>
        <v>1418.4770000000001</v>
      </c>
      <c r="Z1308" s="2">
        <f t="shared" si="101"/>
        <v>70498.100000000006</v>
      </c>
      <c r="AA1308" s="2">
        <f t="shared" si="102"/>
        <v>70498.146956207245</v>
      </c>
      <c r="AB1308" s="1">
        <f t="shared" si="103"/>
        <v>7.4849943621294976E-2</v>
      </c>
      <c r="AC1308" s="1" t="b">
        <f t="shared" si="104"/>
        <v>1</v>
      </c>
    </row>
    <row r="1309" spans="1:29" x14ac:dyDescent="0.25">
      <c r="A1309" s="1">
        <v>1417.4580000000001</v>
      </c>
      <c r="B1309">
        <v>1</v>
      </c>
      <c r="D1309" s="2">
        <v>70548.800000000003</v>
      </c>
      <c r="E1309">
        <v>22747</v>
      </c>
      <c r="F1309" t="s">
        <v>15</v>
      </c>
      <c r="G1309" t="s">
        <v>16</v>
      </c>
      <c r="H1309">
        <v>93296</v>
      </c>
      <c r="I1309" t="s">
        <v>17</v>
      </c>
      <c r="J1309" t="s">
        <v>23</v>
      </c>
      <c r="K1309">
        <v>22747.69</v>
      </c>
      <c r="L1309">
        <v>93296.5</v>
      </c>
      <c r="M1309">
        <v>14</v>
      </c>
      <c r="Y1309" s="1">
        <f t="shared" si="100"/>
        <v>1417.4580000000001</v>
      </c>
      <c r="Z1309" s="2">
        <f t="shared" si="101"/>
        <v>70548.800000000003</v>
      </c>
      <c r="AA1309" s="2">
        <f t="shared" si="102"/>
        <v>70548.827549034962</v>
      </c>
      <c r="AB1309" s="1">
        <f t="shared" si="103"/>
        <v>7.4885685342717376E-2</v>
      </c>
      <c r="AC1309" s="1" t="b">
        <f t="shared" si="104"/>
        <v>1</v>
      </c>
    </row>
    <row r="1310" spans="1:29" x14ac:dyDescent="0.25">
      <c r="A1310" s="1">
        <v>1417.0809999999999</v>
      </c>
      <c r="B1310">
        <v>20</v>
      </c>
      <c r="D1310" s="2">
        <v>70567.600000000006</v>
      </c>
      <c r="M1310">
        <v>14</v>
      </c>
      <c r="Y1310" s="1">
        <f t="shared" si="100"/>
        <v>1417.0809999999999</v>
      </c>
      <c r="Z1310" s="2">
        <f t="shared" si="101"/>
        <v>70567.600000000006</v>
      </c>
      <c r="AA1310" s="2">
        <f t="shared" si="102"/>
        <v>70567.596347703482</v>
      </c>
      <c r="AB1310" s="1">
        <f t="shared" si="103"/>
        <v>7.4898928271462079E-2</v>
      </c>
      <c r="AC1310" s="1" t="b">
        <f t="shared" si="104"/>
        <v>1</v>
      </c>
    </row>
    <row r="1311" spans="1:29" x14ac:dyDescent="0.25">
      <c r="A1311" s="1">
        <v>1416.779</v>
      </c>
      <c r="B1311">
        <v>20</v>
      </c>
      <c r="D1311" s="2">
        <v>70582.600000000006</v>
      </c>
      <c r="M1311">
        <v>14</v>
      </c>
      <c r="Y1311" s="1">
        <f t="shared" si="100"/>
        <v>1416.779</v>
      </c>
      <c r="Z1311" s="2">
        <f t="shared" si="101"/>
        <v>70582.600000000006</v>
      </c>
      <c r="AA1311" s="2">
        <f t="shared" si="102"/>
        <v>70582.638506076109</v>
      </c>
      <c r="AB1311" s="1">
        <f t="shared" si="103"/>
        <v>7.4909544292397087E-2</v>
      </c>
      <c r="AC1311" s="1" t="b">
        <f t="shared" si="104"/>
        <v>1</v>
      </c>
    </row>
    <row r="1312" spans="1:29" x14ac:dyDescent="0.25">
      <c r="A1312" s="1">
        <v>1416.165</v>
      </c>
      <c r="B1312">
        <v>5</v>
      </c>
      <c r="D1312" s="2">
        <v>70613.2</v>
      </c>
      <c r="M1312">
        <v>14</v>
      </c>
      <c r="Y1312" s="1">
        <f t="shared" si="100"/>
        <v>1416.165</v>
      </c>
      <c r="Z1312" s="2">
        <f t="shared" si="101"/>
        <v>70613.2</v>
      </c>
      <c r="AA1312" s="2">
        <f t="shared" si="102"/>
        <v>70613.240688761551</v>
      </c>
      <c r="AB1312" s="1">
        <f t="shared" si="103"/>
        <v>7.4931148802844849E-2</v>
      </c>
      <c r="AC1312" s="1" t="b">
        <f t="shared" si="104"/>
        <v>1</v>
      </c>
    </row>
    <row r="1313" spans="1:29" x14ac:dyDescent="0.25">
      <c r="A1313" s="1">
        <v>1415.874</v>
      </c>
      <c r="B1313">
        <v>1</v>
      </c>
      <c r="D1313" s="2">
        <v>70627.8</v>
      </c>
      <c r="E1313">
        <v>64817</v>
      </c>
      <c r="F1313" t="s">
        <v>17</v>
      </c>
      <c r="G1313" t="s">
        <v>28</v>
      </c>
      <c r="H1313">
        <v>135445</v>
      </c>
      <c r="I1313" t="s">
        <v>15</v>
      </c>
      <c r="J1313" t="s">
        <v>18</v>
      </c>
      <c r="K1313">
        <v>64817.53</v>
      </c>
      <c r="L1313">
        <v>135445.20000000001</v>
      </c>
      <c r="M1313">
        <v>14</v>
      </c>
      <c r="Y1313" s="1">
        <f t="shared" si="100"/>
        <v>1415.874</v>
      </c>
      <c r="Z1313" s="2">
        <f t="shared" si="101"/>
        <v>70627.8</v>
      </c>
      <c r="AA1313" s="2">
        <f t="shared" si="102"/>
        <v>70627.753599543459</v>
      </c>
      <c r="AB1313" s="1">
        <f t="shared" si="103"/>
        <v>7.4941397892589121E-2</v>
      </c>
      <c r="AC1313" s="1" t="b">
        <f t="shared" si="104"/>
        <v>1</v>
      </c>
    </row>
    <row r="1314" spans="1:29" x14ac:dyDescent="0.25">
      <c r="A1314" s="1">
        <v>1415.7560000000001</v>
      </c>
      <c r="B1314">
        <v>300</v>
      </c>
      <c r="D1314" s="2">
        <v>70633.600000000006</v>
      </c>
      <c r="M1314">
        <v>14</v>
      </c>
      <c r="Y1314" s="1">
        <f t="shared" si="100"/>
        <v>1415.7560000000001</v>
      </c>
      <c r="Z1314" s="2">
        <f t="shared" si="101"/>
        <v>70633.600000000006</v>
      </c>
      <c r="AA1314" s="2">
        <f t="shared" si="102"/>
        <v>70633.640260044805</v>
      </c>
      <c r="AB1314" s="1">
        <f t="shared" si="103"/>
        <v>7.4945555681927109E-2</v>
      </c>
      <c r="AC1314" s="1" t="b">
        <f t="shared" si="104"/>
        <v>1</v>
      </c>
    </row>
    <row r="1315" spans="1:29" x14ac:dyDescent="0.25">
      <c r="A1315" s="1">
        <v>1414.393</v>
      </c>
      <c r="B1315">
        <v>3</v>
      </c>
      <c r="D1315" s="2">
        <v>70701.7</v>
      </c>
      <c r="M1315">
        <v>14</v>
      </c>
      <c r="Y1315" s="1">
        <f t="shared" si="100"/>
        <v>1414.393</v>
      </c>
      <c r="Z1315" s="2">
        <f t="shared" si="101"/>
        <v>70701.7</v>
      </c>
      <c r="AA1315" s="2">
        <f t="shared" si="102"/>
        <v>70701.707375531405</v>
      </c>
      <c r="AB1315" s="1">
        <f t="shared" si="103"/>
        <v>7.4993657129076366E-2</v>
      </c>
      <c r="AC1315" s="1" t="b">
        <f t="shared" si="104"/>
        <v>1</v>
      </c>
    </row>
    <row r="1316" spans="1:29" x14ac:dyDescent="0.25">
      <c r="A1316" s="1">
        <v>1414.23</v>
      </c>
      <c r="B1316">
        <v>2</v>
      </c>
      <c r="D1316" s="2">
        <v>70709.8</v>
      </c>
      <c r="M1316">
        <v>14</v>
      </c>
      <c r="Y1316" s="1">
        <f t="shared" si="100"/>
        <v>1414.23</v>
      </c>
      <c r="Z1316" s="2">
        <f t="shared" si="101"/>
        <v>70709.8</v>
      </c>
      <c r="AA1316" s="2">
        <f t="shared" si="102"/>
        <v>70709.856246862255</v>
      </c>
      <c r="AB1316" s="1">
        <f t="shared" si="103"/>
        <v>7.4999418852259622E-2</v>
      </c>
      <c r="AC1316" s="1" t="b">
        <f t="shared" si="104"/>
        <v>1</v>
      </c>
    </row>
    <row r="1317" spans="1:29" x14ac:dyDescent="0.25">
      <c r="A1317" s="1">
        <v>1414.1369999999999</v>
      </c>
      <c r="B1317">
        <v>50</v>
      </c>
      <c r="D1317" s="2">
        <v>70714.5</v>
      </c>
      <c r="E1317">
        <v>62678</v>
      </c>
      <c r="F1317" t="s">
        <v>17</v>
      </c>
      <c r="G1317" t="s">
        <v>50</v>
      </c>
      <c r="H1317">
        <v>133393</v>
      </c>
      <c r="I1317" t="s">
        <v>15</v>
      </c>
      <c r="J1317" t="s">
        <v>50</v>
      </c>
      <c r="K1317">
        <v>62678.7</v>
      </c>
      <c r="L1317">
        <v>133393.20000000001</v>
      </c>
      <c r="M1317">
        <v>14</v>
      </c>
      <c r="Y1317" s="1">
        <f t="shared" si="100"/>
        <v>1414.1369999999999</v>
      </c>
      <c r="Z1317" s="2">
        <f t="shared" si="101"/>
        <v>70714.5</v>
      </c>
      <c r="AA1317" s="2">
        <f t="shared" si="102"/>
        <v>70714.506444566548</v>
      </c>
      <c r="AB1317" s="1">
        <f t="shared" si="103"/>
        <v>7.5002707108493216E-2</v>
      </c>
      <c r="AC1317" s="1" t="b">
        <f t="shared" si="104"/>
        <v>1</v>
      </c>
    </row>
    <row r="1318" spans="1:29" x14ac:dyDescent="0.25">
      <c r="A1318" s="1">
        <v>1413.7660000000001</v>
      </c>
      <c r="B1318">
        <v>3</v>
      </c>
      <c r="D1318" s="2">
        <v>70733.100000000006</v>
      </c>
      <c r="M1318">
        <v>14</v>
      </c>
      <c r="Y1318" s="1">
        <f t="shared" si="100"/>
        <v>1413.7660000000001</v>
      </c>
      <c r="Z1318" s="2">
        <f t="shared" si="101"/>
        <v>70733.100000000006</v>
      </c>
      <c r="AA1318" s="2">
        <f t="shared" si="102"/>
        <v>70733.063321652939</v>
      </c>
      <c r="AB1318" s="1">
        <f t="shared" si="103"/>
        <v>7.5015831234324828E-2</v>
      </c>
      <c r="AC1318" s="1" t="b">
        <f t="shared" si="104"/>
        <v>1</v>
      </c>
    </row>
    <row r="1319" spans="1:29" x14ac:dyDescent="0.25">
      <c r="A1319" s="1">
        <v>1413.674</v>
      </c>
      <c r="B1319">
        <v>10</v>
      </c>
      <c r="D1319" s="2">
        <v>70737.7</v>
      </c>
      <c r="M1319">
        <v>14</v>
      </c>
      <c r="Y1319" s="1">
        <f t="shared" si="100"/>
        <v>1413.674</v>
      </c>
      <c r="Z1319" s="2">
        <f t="shared" si="101"/>
        <v>70737.7</v>
      </c>
      <c r="AA1319" s="2">
        <f t="shared" si="102"/>
        <v>70737.666534151445</v>
      </c>
      <c r="AB1319" s="1">
        <f t="shared" si="103"/>
        <v>7.5019087333484044E-2</v>
      </c>
      <c r="AC1319" s="1" t="b">
        <f t="shared" si="104"/>
        <v>1</v>
      </c>
    </row>
    <row r="1320" spans="1:29" x14ac:dyDescent="0.25">
      <c r="A1320" s="1">
        <v>1413.3589999999999</v>
      </c>
      <c r="B1320">
        <v>5</v>
      </c>
      <c r="D1320" s="2">
        <v>70753.399999999994</v>
      </c>
      <c r="M1320">
        <v>14</v>
      </c>
      <c r="Y1320" s="1">
        <f t="shared" si="100"/>
        <v>1413.3589999999999</v>
      </c>
      <c r="Z1320" s="2">
        <f t="shared" si="101"/>
        <v>70753.399999999994</v>
      </c>
      <c r="AA1320" s="2">
        <f t="shared" si="102"/>
        <v>70753.43207210624</v>
      </c>
      <c r="AB1320" s="1">
        <f t="shared" si="103"/>
        <v>7.503024074991077E-2</v>
      </c>
      <c r="AC1320" s="1" t="b">
        <f t="shared" si="104"/>
        <v>1</v>
      </c>
    </row>
    <row r="1321" spans="1:29" x14ac:dyDescent="0.25">
      <c r="A1321" s="1">
        <v>1413.2349999999999</v>
      </c>
      <c r="B1321">
        <v>3</v>
      </c>
      <c r="C1321" t="s">
        <v>123</v>
      </c>
      <c r="D1321" s="2">
        <v>70759.600000000006</v>
      </c>
      <c r="E1321">
        <v>19360</v>
      </c>
      <c r="F1321" t="s">
        <v>15</v>
      </c>
      <c r="G1321" t="s">
        <v>50</v>
      </c>
      <c r="H1321">
        <v>90119</v>
      </c>
      <c r="I1321" t="s">
        <v>17</v>
      </c>
      <c r="J1321" t="s">
        <v>23</v>
      </c>
      <c r="K1321">
        <v>19360.099999999999</v>
      </c>
      <c r="L1321">
        <v>90119.8</v>
      </c>
      <c r="M1321">
        <v>14</v>
      </c>
      <c r="Y1321" s="1">
        <f t="shared" si="100"/>
        <v>1413.2349999999999</v>
      </c>
      <c r="Z1321" s="2">
        <f t="shared" si="101"/>
        <v>70759.600000000006</v>
      </c>
      <c r="AA1321" s="2">
        <f t="shared" si="102"/>
        <v>70759.640116470371</v>
      </c>
      <c r="AB1321" s="1">
        <f t="shared" si="103"/>
        <v>7.5034633347062021E-2</v>
      </c>
      <c r="AC1321" s="1" t="b">
        <f t="shared" si="104"/>
        <v>1</v>
      </c>
    </row>
    <row r="1322" spans="1:29" x14ac:dyDescent="0.25">
      <c r="A1322" s="1">
        <v>1412.825</v>
      </c>
      <c r="B1322">
        <v>400</v>
      </c>
      <c r="D1322" s="2">
        <v>70780.2</v>
      </c>
      <c r="M1322">
        <v>14</v>
      </c>
      <c r="Y1322" s="1">
        <f t="shared" si="100"/>
        <v>1412.825</v>
      </c>
      <c r="Z1322" s="2">
        <f t="shared" si="101"/>
        <v>70780.2</v>
      </c>
      <c r="AA1322" s="2">
        <f t="shared" si="102"/>
        <v>70780.174473130071</v>
      </c>
      <c r="AB1322" s="1">
        <f t="shared" si="103"/>
        <v>7.5049165492233672E-2</v>
      </c>
      <c r="AC1322" s="1" t="b">
        <f t="shared" si="104"/>
        <v>1</v>
      </c>
    </row>
    <row r="1323" spans="1:29" x14ac:dyDescent="0.25">
      <c r="A1323" s="1">
        <v>1412.655</v>
      </c>
      <c r="B1323">
        <v>5</v>
      </c>
      <c r="C1323" t="s">
        <v>123</v>
      </c>
      <c r="D1323" s="2">
        <v>70788.7</v>
      </c>
      <c r="M1323">
        <v>14</v>
      </c>
      <c r="Y1323" s="1">
        <f t="shared" si="100"/>
        <v>1412.655</v>
      </c>
      <c r="Z1323" s="2">
        <f t="shared" si="101"/>
        <v>70788.7</v>
      </c>
      <c r="AA1323" s="2">
        <f t="shared" si="102"/>
        <v>70788.692214305687</v>
      </c>
      <c r="AB1323" s="1">
        <f t="shared" si="103"/>
        <v>7.5055194727058516E-2</v>
      </c>
      <c r="AC1323" s="1" t="b">
        <f t="shared" si="104"/>
        <v>1</v>
      </c>
    </row>
    <row r="1324" spans="1:29" x14ac:dyDescent="0.25">
      <c r="A1324" s="1">
        <v>1412.492</v>
      </c>
      <c r="B1324">
        <v>3</v>
      </c>
      <c r="D1324" s="2">
        <v>70796.899999999994</v>
      </c>
      <c r="M1324">
        <v>14</v>
      </c>
      <c r="Y1324" s="1">
        <f t="shared" si="100"/>
        <v>1412.492</v>
      </c>
      <c r="Z1324" s="2">
        <f t="shared" si="101"/>
        <v>70796.899999999994</v>
      </c>
      <c r="AA1324" s="2">
        <f t="shared" si="102"/>
        <v>70796.861150364042</v>
      </c>
      <c r="AB1324" s="1">
        <f t="shared" si="103"/>
        <v>7.5060977743719628E-2</v>
      </c>
      <c r="AC1324" s="1" t="b">
        <f t="shared" si="104"/>
        <v>1</v>
      </c>
    </row>
    <row r="1325" spans="1:29" x14ac:dyDescent="0.25">
      <c r="A1325" s="1">
        <v>1412.297</v>
      </c>
      <c r="B1325">
        <v>20</v>
      </c>
      <c r="D1325" s="2">
        <v>70806.600000000006</v>
      </c>
      <c r="E1325">
        <v>60419</v>
      </c>
      <c r="F1325" t="s">
        <v>17</v>
      </c>
      <c r="G1325" t="s">
        <v>23</v>
      </c>
      <c r="H1325">
        <v>131226</v>
      </c>
      <c r="I1325" t="s">
        <v>15</v>
      </c>
      <c r="J1325" t="s">
        <v>16</v>
      </c>
      <c r="K1325">
        <v>60419.73</v>
      </c>
      <c r="L1325">
        <v>131226.29999999999</v>
      </c>
      <c r="M1325">
        <v>14</v>
      </c>
      <c r="Y1325" s="1">
        <f t="shared" si="100"/>
        <v>1412.297</v>
      </c>
      <c r="Z1325" s="2">
        <f t="shared" si="101"/>
        <v>70806.600000000006</v>
      </c>
      <c r="AA1325" s="2">
        <f t="shared" si="102"/>
        <v>70806.636281178813</v>
      </c>
      <c r="AB1325" s="1">
        <f t="shared" si="103"/>
        <v>7.5067898707275746E-2</v>
      </c>
      <c r="AC1325" s="1" t="b">
        <f t="shared" si="104"/>
        <v>1</v>
      </c>
    </row>
    <row r="1326" spans="1:29" x14ac:dyDescent="0.25">
      <c r="A1326" s="1">
        <v>1412.087</v>
      </c>
      <c r="B1326">
        <v>10</v>
      </c>
      <c r="D1326" s="2">
        <v>70817.2</v>
      </c>
      <c r="M1326">
        <v>14</v>
      </c>
      <c r="Y1326" s="1">
        <f t="shared" si="100"/>
        <v>1412.087</v>
      </c>
      <c r="Z1326" s="2">
        <f t="shared" si="101"/>
        <v>70817.2</v>
      </c>
      <c r="AA1326" s="2">
        <f t="shared" si="102"/>
        <v>70817.166364395394</v>
      </c>
      <c r="AB1326" s="1">
        <f t="shared" si="103"/>
        <v>7.507535525941228E-2</v>
      </c>
      <c r="AC1326" s="1" t="b">
        <f t="shared" si="104"/>
        <v>1</v>
      </c>
    </row>
    <row r="1327" spans="1:29" x14ac:dyDescent="0.25">
      <c r="A1327" s="1">
        <v>1411.924</v>
      </c>
      <c r="B1327">
        <v>20</v>
      </c>
      <c r="D1327" s="2">
        <v>70825.3</v>
      </c>
      <c r="E1327">
        <v>62678</v>
      </c>
      <c r="F1327" t="s">
        <v>17</v>
      </c>
      <c r="G1327" t="s">
        <v>50</v>
      </c>
      <c r="H1327">
        <v>133503</v>
      </c>
      <c r="I1327" t="s">
        <v>15</v>
      </c>
      <c r="J1327" t="s">
        <v>23</v>
      </c>
      <c r="K1327">
        <v>62678.7</v>
      </c>
      <c r="L1327">
        <v>133503.9</v>
      </c>
      <c r="M1327">
        <v>14</v>
      </c>
      <c r="Y1327" s="1">
        <f t="shared" si="100"/>
        <v>1411.924</v>
      </c>
      <c r="Z1327" s="2">
        <f t="shared" si="101"/>
        <v>70825.3</v>
      </c>
      <c r="AA1327" s="2">
        <f t="shared" si="102"/>
        <v>70825.341873925223</v>
      </c>
      <c r="AB1327" s="1">
        <f t="shared" si="103"/>
        <v>7.5081145257791929E-2</v>
      </c>
      <c r="AC1327" s="1" t="b">
        <f t="shared" si="104"/>
        <v>1</v>
      </c>
    </row>
    <row r="1328" spans="1:29" x14ac:dyDescent="0.25">
      <c r="A1328" s="1">
        <v>1411.819</v>
      </c>
      <c r="B1328">
        <v>20</v>
      </c>
      <c r="D1328" s="2">
        <v>70830.600000000006</v>
      </c>
      <c r="E1328">
        <v>21611</v>
      </c>
      <c r="F1328" t="s">
        <v>15</v>
      </c>
      <c r="G1328" t="s">
        <v>28</v>
      </c>
      <c r="H1328">
        <v>92441</v>
      </c>
      <c r="I1328" t="s">
        <v>17</v>
      </c>
      <c r="J1328" t="s">
        <v>18</v>
      </c>
      <c r="K1328">
        <v>21611.19</v>
      </c>
      <c r="L1328">
        <v>92441.7</v>
      </c>
      <c r="M1328">
        <v>14</v>
      </c>
      <c r="Y1328" s="1">
        <f t="shared" si="100"/>
        <v>1411.819</v>
      </c>
      <c r="Z1328" s="2">
        <f t="shared" si="101"/>
        <v>70830.600000000006</v>
      </c>
      <c r="AA1328" s="2">
        <f t="shared" si="102"/>
        <v>70830.609306150436</v>
      </c>
      <c r="AB1328" s="1">
        <f t="shared" si="103"/>
        <v>7.5084876073402626E-2</v>
      </c>
      <c r="AC1328" s="1" t="b">
        <f t="shared" si="104"/>
        <v>1</v>
      </c>
    </row>
    <row r="1329" spans="1:29" x14ac:dyDescent="0.25">
      <c r="A1329" s="1">
        <v>1411.732</v>
      </c>
      <c r="B1329">
        <v>100</v>
      </c>
      <c r="C1329" t="s">
        <v>123</v>
      </c>
      <c r="D1329" s="2">
        <v>70835</v>
      </c>
      <c r="M1329">
        <v>14</v>
      </c>
      <c r="Y1329" s="1">
        <f t="shared" si="100"/>
        <v>1411.732</v>
      </c>
      <c r="Z1329" s="2">
        <f t="shared" si="101"/>
        <v>70835</v>
      </c>
      <c r="AA1329" s="2">
        <f t="shared" si="102"/>
        <v>70834.974343572292</v>
      </c>
      <c r="AB1329" s="1">
        <f t="shared" si="103"/>
        <v>7.5087967951272733E-2</v>
      </c>
      <c r="AC1329" s="1" t="b">
        <f t="shared" si="104"/>
        <v>1</v>
      </c>
    </row>
    <row r="1330" spans="1:29" x14ac:dyDescent="0.25">
      <c r="A1330" s="1">
        <v>1411.3989999999999</v>
      </c>
      <c r="B1330">
        <v>10</v>
      </c>
      <c r="C1330" t="s">
        <v>122</v>
      </c>
      <c r="D1330" s="2">
        <v>70851.7</v>
      </c>
      <c r="M1330">
        <v>14</v>
      </c>
      <c r="Y1330" s="1">
        <f t="shared" si="100"/>
        <v>1411.3989999999999</v>
      </c>
      <c r="Z1330" s="2">
        <f t="shared" si="101"/>
        <v>70851.7</v>
      </c>
      <c r="AA1330" s="2">
        <f t="shared" si="102"/>
        <v>70851.686872386912</v>
      </c>
      <c r="AB1330" s="1">
        <f t="shared" si="103"/>
        <v>7.5099807663313825E-2</v>
      </c>
      <c r="AC1330" s="1" t="b">
        <f t="shared" si="104"/>
        <v>1</v>
      </c>
    </row>
    <row r="1331" spans="1:29" x14ac:dyDescent="0.25">
      <c r="A1331" s="1">
        <v>1411.3720000000001</v>
      </c>
      <c r="B1331">
        <v>3</v>
      </c>
      <c r="C1331" t="s">
        <v>122</v>
      </c>
      <c r="D1331" s="2">
        <v>70853</v>
      </c>
      <c r="M1331">
        <v>14</v>
      </c>
      <c r="Y1331" s="1">
        <f t="shared" si="100"/>
        <v>1411.3720000000001</v>
      </c>
      <c r="Z1331" s="2">
        <f t="shared" si="101"/>
        <v>70853</v>
      </c>
      <c r="AA1331" s="2">
        <f t="shared" si="102"/>
        <v>70853.042287929755</v>
      </c>
      <c r="AB1331" s="1">
        <f t="shared" si="103"/>
        <v>7.5100768007275817E-2</v>
      </c>
      <c r="AC1331" s="1" t="b">
        <f t="shared" si="104"/>
        <v>1</v>
      </c>
    </row>
    <row r="1332" spans="1:29" x14ac:dyDescent="0.25">
      <c r="A1332" s="1">
        <v>1411.184</v>
      </c>
      <c r="B1332">
        <v>2</v>
      </c>
      <c r="D1332" s="2">
        <v>70862.5</v>
      </c>
      <c r="M1332">
        <v>14</v>
      </c>
      <c r="Y1332" s="1">
        <f t="shared" si="100"/>
        <v>1411.184</v>
      </c>
      <c r="Z1332" s="2">
        <f t="shared" si="101"/>
        <v>70862.5</v>
      </c>
      <c r="AA1332" s="2">
        <f t="shared" si="102"/>
        <v>70862.481434029862</v>
      </c>
      <c r="AB1332" s="1">
        <f t="shared" si="103"/>
        <v>7.5107456374941137E-2</v>
      </c>
      <c r="AC1332" s="1" t="b">
        <f t="shared" si="104"/>
        <v>1</v>
      </c>
    </row>
    <row r="1333" spans="1:29" x14ac:dyDescent="0.25">
      <c r="A1333" s="1">
        <v>1410.7449999999999</v>
      </c>
      <c r="B1333">
        <v>10</v>
      </c>
      <c r="D1333" s="2">
        <v>70884.5</v>
      </c>
      <c r="E1333">
        <v>50647</v>
      </c>
      <c r="F1333" t="s">
        <v>15</v>
      </c>
      <c r="G1333" t="s">
        <v>23</v>
      </c>
      <c r="H1333">
        <v>121532</v>
      </c>
      <c r="I1333" t="s">
        <v>17</v>
      </c>
      <c r="J1333" t="s">
        <v>23</v>
      </c>
      <c r="K1333">
        <v>50647.35</v>
      </c>
      <c r="L1333">
        <v>121532.5</v>
      </c>
      <c r="M1333">
        <v>14</v>
      </c>
      <c r="Y1333" s="1">
        <f t="shared" si="100"/>
        <v>1410.7449999999999</v>
      </c>
      <c r="Z1333" s="2">
        <f t="shared" si="101"/>
        <v>70884.5</v>
      </c>
      <c r="AA1333" s="2">
        <f t="shared" si="102"/>
        <v>70884.532640555175</v>
      </c>
      <c r="AB1333" s="1">
        <f t="shared" si="103"/>
        <v>7.512308483834966E-2</v>
      </c>
      <c r="AC1333" s="1" t="b">
        <f t="shared" si="104"/>
        <v>1</v>
      </c>
    </row>
    <row r="1334" spans="1:29" x14ac:dyDescent="0.25">
      <c r="A1334" s="1">
        <v>1410.6510000000001</v>
      </c>
      <c r="B1334">
        <v>100</v>
      </c>
      <c r="D1334" s="2">
        <v>70889.3</v>
      </c>
      <c r="E1334">
        <v>64979</v>
      </c>
      <c r="F1334" t="s">
        <v>17</v>
      </c>
      <c r="G1334" t="s">
        <v>18</v>
      </c>
      <c r="H1334">
        <v>135868</v>
      </c>
      <c r="I1334" t="s">
        <v>15</v>
      </c>
      <c r="J1334" t="s">
        <v>16</v>
      </c>
      <c r="K1334">
        <v>64979.55</v>
      </c>
      <c r="L1334">
        <v>135868.79999999999</v>
      </c>
      <c r="M1334">
        <v>14</v>
      </c>
      <c r="Y1334" s="1">
        <f t="shared" si="100"/>
        <v>1410.6510000000001</v>
      </c>
      <c r="Z1334" s="2">
        <f t="shared" si="101"/>
        <v>70889.3</v>
      </c>
      <c r="AA1334" s="2">
        <f t="shared" si="102"/>
        <v>70889.256095235454</v>
      </c>
      <c r="AB1334" s="1">
        <f t="shared" si="103"/>
        <v>7.5126433148679395E-2</v>
      </c>
      <c r="AC1334" s="1" t="b">
        <f t="shared" si="104"/>
        <v>1</v>
      </c>
    </row>
    <row r="1335" spans="1:29" x14ac:dyDescent="0.25">
      <c r="A1335" s="1">
        <v>1410.528</v>
      </c>
      <c r="B1335">
        <v>10</v>
      </c>
      <c r="C1335" t="s">
        <v>124</v>
      </c>
      <c r="D1335" s="2">
        <v>70895.399999999994</v>
      </c>
      <c r="E1335">
        <v>25934</v>
      </c>
      <c r="F1335" t="s">
        <v>15</v>
      </c>
      <c r="G1335" t="s">
        <v>28</v>
      </c>
      <c r="H1335">
        <v>96830</v>
      </c>
      <c r="I1335" t="s">
        <v>17</v>
      </c>
      <c r="J1335" t="s">
        <v>18</v>
      </c>
      <c r="K1335">
        <v>25934.98</v>
      </c>
      <c r="L1335">
        <v>96830.5</v>
      </c>
      <c r="M1335">
        <v>14</v>
      </c>
      <c r="Y1335" s="1">
        <f t="shared" si="100"/>
        <v>1410.528</v>
      </c>
      <c r="Z1335" s="2">
        <f t="shared" si="101"/>
        <v>70895.399999999994</v>
      </c>
      <c r="AA1335" s="2">
        <f t="shared" si="102"/>
        <v>70895.437736790758</v>
      </c>
      <c r="AB1335" s="1">
        <f t="shared" si="103"/>
        <v>7.513081545945588E-2</v>
      </c>
      <c r="AC1335" s="1" t="b">
        <f t="shared" si="104"/>
        <v>1</v>
      </c>
    </row>
    <row r="1336" spans="1:29" x14ac:dyDescent="0.25">
      <c r="A1336" s="1">
        <v>1410.3040000000001</v>
      </c>
      <c r="B1336">
        <v>60</v>
      </c>
      <c r="D1336" s="2">
        <v>70906.7</v>
      </c>
      <c r="E1336">
        <v>21535</v>
      </c>
      <c r="F1336" t="s">
        <v>15</v>
      </c>
      <c r="G1336" t="s">
        <v>16</v>
      </c>
      <c r="H1336">
        <v>92441</v>
      </c>
      <c r="I1336" t="s">
        <v>17</v>
      </c>
      <c r="J1336" t="s">
        <v>18</v>
      </c>
      <c r="K1336">
        <v>21535.17</v>
      </c>
      <c r="L1336">
        <v>92441.7</v>
      </c>
      <c r="M1336">
        <v>14</v>
      </c>
      <c r="Y1336" s="1">
        <f t="shared" si="100"/>
        <v>1410.3040000000001</v>
      </c>
      <c r="Z1336" s="2">
        <f t="shared" si="101"/>
        <v>70906.7</v>
      </c>
      <c r="AA1336" s="2">
        <f t="shared" si="102"/>
        <v>70906.698130332181</v>
      </c>
      <c r="AB1336" s="1">
        <f t="shared" si="103"/>
        <v>7.5138799198730274E-2</v>
      </c>
      <c r="AC1336" s="1" t="b">
        <f t="shared" si="104"/>
        <v>1</v>
      </c>
    </row>
    <row r="1337" spans="1:29" x14ac:dyDescent="0.25">
      <c r="A1337" s="1">
        <v>1409.8009999999999</v>
      </c>
      <c r="B1337">
        <v>100</v>
      </c>
      <c r="C1337" t="s">
        <v>123</v>
      </c>
      <c r="D1337" s="2">
        <v>70932</v>
      </c>
      <c r="E1337">
        <v>58174</v>
      </c>
      <c r="F1337" t="s">
        <v>17</v>
      </c>
      <c r="G1337" t="s">
        <v>16</v>
      </c>
      <c r="H1337">
        <v>129106</v>
      </c>
      <c r="I1337" t="s">
        <v>15</v>
      </c>
      <c r="J1337" t="s">
        <v>16</v>
      </c>
      <c r="K1337">
        <v>58174.15</v>
      </c>
      <c r="L1337">
        <v>129106.1</v>
      </c>
      <c r="M1337">
        <v>14</v>
      </c>
      <c r="Y1337" s="1">
        <f t="shared" si="100"/>
        <v>1409.8009999999999</v>
      </c>
      <c r="Z1337" s="2">
        <f t="shared" si="101"/>
        <v>70932</v>
      </c>
      <c r="AA1337" s="2">
        <f t="shared" si="102"/>
        <v>70931.996785361916</v>
      </c>
      <c r="AB1337" s="1">
        <f t="shared" si="103"/>
        <v>7.5156740839792971E-2</v>
      </c>
      <c r="AC1337" s="1" t="b">
        <f t="shared" si="104"/>
        <v>1</v>
      </c>
    </row>
    <row r="1338" spans="1:29" x14ac:dyDescent="0.25">
      <c r="A1338" s="1">
        <v>1409.7080000000001</v>
      </c>
      <c r="B1338">
        <v>5</v>
      </c>
      <c r="D1338" s="2">
        <v>70936.7</v>
      </c>
      <c r="M1338">
        <v>14</v>
      </c>
      <c r="Y1338" s="1">
        <f t="shared" si="100"/>
        <v>1409.7080000000001</v>
      </c>
      <c r="Z1338" s="2">
        <f t="shared" si="101"/>
        <v>70936.7</v>
      </c>
      <c r="AA1338" s="2">
        <f t="shared" si="102"/>
        <v>70936.676247847063</v>
      </c>
      <c r="AB1338" s="1">
        <f t="shared" si="103"/>
        <v>7.5160060185459357E-2</v>
      </c>
      <c r="AC1338" s="1" t="b">
        <f t="shared" si="104"/>
        <v>1</v>
      </c>
    </row>
    <row r="1339" spans="1:29" x14ac:dyDescent="0.25">
      <c r="A1339" s="1">
        <v>1409.5350000000001</v>
      </c>
      <c r="B1339">
        <v>3</v>
      </c>
      <c r="D1339" s="2">
        <v>70945.399999999994</v>
      </c>
      <c r="E1339">
        <v>62558</v>
      </c>
      <c r="F1339" t="s">
        <v>17</v>
      </c>
      <c r="G1339" t="s">
        <v>23</v>
      </c>
      <c r="H1339">
        <v>133503</v>
      </c>
      <c r="I1339" t="s">
        <v>15</v>
      </c>
      <c r="J1339" t="s">
        <v>23</v>
      </c>
      <c r="K1339">
        <v>62558.67</v>
      </c>
      <c r="L1339">
        <v>133503.9</v>
      </c>
      <c r="M1339">
        <v>14</v>
      </c>
      <c r="Y1339" s="1">
        <f t="shared" si="100"/>
        <v>1409.5350000000001</v>
      </c>
      <c r="Z1339" s="2">
        <f t="shared" si="101"/>
        <v>70945.399999999994</v>
      </c>
      <c r="AA1339" s="2">
        <f t="shared" si="102"/>
        <v>70945.382697130612</v>
      </c>
      <c r="AB1339" s="1">
        <f t="shared" si="103"/>
        <v>7.5166236630211603E-2</v>
      </c>
      <c r="AC1339" s="1" t="b">
        <f t="shared" si="104"/>
        <v>1</v>
      </c>
    </row>
    <row r="1340" spans="1:29" x14ac:dyDescent="0.25">
      <c r="A1340" s="1">
        <v>1409.479</v>
      </c>
      <c r="B1340">
        <v>20</v>
      </c>
      <c r="D1340" s="2">
        <v>70948.2</v>
      </c>
      <c r="E1340">
        <v>58158</v>
      </c>
      <c r="F1340" t="s">
        <v>17</v>
      </c>
      <c r="G1340" t="s">
        <v>18</v>
      </c>
      <c r="H1340">
        <v>129106</v>
      </c>
      <c r="I1340" t="s">
        <v>15</v>
      </c>
      <c r="J1340" t="s">
        <v>16</v>
      </c>
      <c r="K1340">
        <v>58158.080000000002</v>
      </c>
      <c r="L1340">
        <v>129106.1</v>
      </c>
      <c r="M1340">
        <v>14</v>
      </c>
      <c r="Y1340" s="1">
        <f t="shared" si="100"/>
        <v>1409.479</v>
      </c>
      <c r="Z1340" s="2">
        <f t="shared" si="101"/>
        <v>70948.2</v>
      </c>
      <c r="AA1340" s="2">
        <f t="shared" si="102"/>
        <v>70948.201427619701</v>
      </c>
      <c r="AB1340" s="1">
        <f t="shared" si="103"/>
        <v>7.5168236429070501E-2</v>
      </c>
      <c r="AC1340" s="1" t="b">
        <f t="shared" si="104"/>
        <v>1</v>
      </c>
    </row>
    <row r="1341" spans="1:29" x14ac:dyDescent="0.25">
      <c r="A1341" s="1">
        <v>1408.5440000000001</v>
      </c>
      <c r="B1341">
        <v>3</v>
      </c>
      <c r="D1341" s="2">
        <v>70995.3</v>
      </c>
      <c r="E1341">
        <v>16516</v>
      </c>
      <c r="F1341" t="s">
        <v>15</v>
      </c>
      <c r="G1341" t="s">
        <v>18</v>
      </c>
      <c r="H1341">
        <v>87511</v>
      </c>
      <c r="I1341" t="s">
        <v>17</v>
      </c>
      <c r="J1341" t="s">
        <v>18</v>
      </c>
      <c r="K1341">
        <v>16516.150000000001</v>
      </c>
      <c r="L1341">
        <v>87511.6</v>
      </c>
      <c r="M1341">
        <v>14</v>
      </c>
      <c r="Y1341" s="1">
        <f t="shared" si="100"/>
        <v>1408.5440000000001</v>
      </c>
      <c r="Z1341" s="2">
        <f t="shared" si="101"/>
        <v>70995.3</v>
      </c>
      <c r="AA1341" s="2">
        <f t="shared" si="102"/>
        <v>70995.297271508723</v>
      </c>
      <c r="AB1341" s="1">
        <f t="shared" si="103"/>
        <v>7.5201661173349477E-2</v>
      </c>
      <c r="AC1341" s="1" t="b">
        <f t="shared" si="104"/>
        <v>1</v>
      </c>
    </row>
    <row r="1342" spans="1:29" x14ac:dyDescent="0.25">
      <c r="A1342" s="1">
        <v>1408.221</v>
      </c>
      <c r="B1342">
        <v>10</v>
      </c>
      <c r="D1342" s="2">
        <v>71011.600000000006</v>
      </c>
      <c r="E1342">
        <v>64857</v>
      </c>
      <c r="F1342" t="s">
        <v>17</v>
      </c>
      <c r="G1342" t="s">
        <v>16</v>
      </c>
      <c r="H1342">
        <v>135868</v>
      </c>
      <c r="I1342" t="s">
        <v>15</v>
      </c>
      <c r="J1342" t="s">
        <v>16</v>
      </c>
      <c r="K1342">
        <v>64857.15</v>
      </c>
      <c r="L1342">
        <v>135868.79999999999</v>
      </c>
      <c r="M1342">
        <v>14</v>
      </c>
      <c r="Y1342" s="1">
        <f t="shared" si="100"/>
        <v>1408.221</v>
      </c>
      <c r="Z1342" s="2">
        <f t="shared" si="101"/>
        <v>71011.600000000006</v>
      </c>
      <c r="AA1342" s="2">
        <f t="shared" si="102"/>
        <v>71011.581278790763</v>
      </c>
      <c r="AB1342" s="1">
        <f t="shared" si="103"/>
        <v>7.5213223378571531E-2</v>
      </c>
      <c r="AC1342" s="1" t="b">
        <f t="shared" si="104"/>
        <v>1</v>
      </c>
    </row>
    <row r="1343" spans="1:29" x14ac:dyDescent="0.25">
      <c r="A1343" s="1">
        <v>1407.904</v>
      </c>
      <c r="B1343">
        <v>2</v>
      </c>
      <c r="D1343" s="2">
        <v>71027.600000000006</v>
      </c>
      <c r="M1343">
        <v>14</v>
      </c>
      <c r="Y1343" s="1">
        <f t="shared" si="100"/>
        <v>1407.904</v>
      </c>
      <c r="Z1343" s="2">
        <f t="shared" si="101"/>
        <v>71027.600000000006</v>
      </c>
      <c r="AA1343" s="2">
        <f t="shared" si="102"/>
        <v>71027.570061595106</v>
      </c>
      <c r="AB1343" s="1">
        <f t="shared" si="103"/>
        <v>7.5224578544274015E-2</v>
      </c>
      <c r="AC1343" s="1" t="b">
        <f t="shared" si="104"/>
        <v>1</v>
      </c>
    </row>
    <row r="1344" spans="1:29" x14ac:dyDescent="0.25">
      <c r="A1344" s="1">
        <v>1407.7729999999999</v>
      </c>
      <c r="B1344">
        <v>20</v>
      </c>
      <c r="D1344" s="2">
        <v>71034.2</v>
      </c>
      <c r="E1344">
        <v>60166</v>
      </c>
      <c r="F1344" t="s">
        <v>17</v>
      </c>
      <c r="G1344" t="s">
        <v>16</v>
      </c>
      <c r="H1344">
        <v>131200</v>
      </c>
      <c r="I1344" t="s">
        <v>15</v>
      </c>
      <c r="J1344" t="s">
        <v>23</v>
      </c>
      <c r="K1344">
        <v>60166.2</v>
      </c>
      <c r="L1344">
        <v>131200.29999999999</v>
      </c>
      <c r="M1344">
        <v>14</v>
      </c>
      <c r="Y1344" s="1">
        <f t="shared" si="100"/>
        <v>1407.7729999999999</v>
      </c>
      <c r="Z1344" s="2">
        <f t="shared" si="101"/>
        <v>71034.2</v>
      </c>
      <c r="AA1344" s="2">
        <f t="shared" si="102"/>
        <v>71034.17951615779</v>
      </c>
      <c r="AB1344" s="1">
        <f t="shared" si="103"/>
        <v>7.5229273297668653E-2</v>
      </c>
      <c r="AC1344" s="1" t="b">
        <f t="shared" si="104"/>
        <v>1</v>
      </c>
    </row>
    <row r="1345" spans="1:29" x14ac:dyDescent="0.25">
      <c r="A1345" s="1">
        <v>1407.5740000000001</v>
      </c>
      <c r="B1345">
        <v>3</v>
      </c>
      <c r="D1345" s="2">
        <v>71044.2</v>
      </c>
      <c r="E1345">
        <v>64401</v>
      </c>
      <c r="F1345" t="s">
        <v>17</v>
      </c>
      <c r="G1345" t="s">
        <v>28</v>
      </c>
      <c r="H1345">
        <v>135445</v>
      </c>
      <c r="I1345" t="s">
        <v>15</v>
      </c>
      <c r="J1345" t="s">
        <v>18</v>
      </c>
      <c r="K1345">
        <v>64401.03</v>
      </c>
      <c r="L1345">
        <v>135445.20000000001</v>
      </c>
      <c r="M1345">
        <v>14</v>
      </c>
      <c r="Y1345" s="1">
        <f t="shared" si="100"/>
        <v>1407.5740000000001</v>
      </c>
      <c r="Z1345" s="2">
        <f t="shared" si="101"/>
        <v>71044.2</v>
      </c>
      <c r="AA1345" s="2">
        <f t="shared" si="102"/>
        <v>71044.222186542233</v>
      </c>
      <c r="AB1345" s="1">
        <f t="shared" si="103"/>
        <v>7.5236407530453908E-2</v>
      </c>
      <c r="AC1345" s="1" t="b">
        <f t="shared" si="104"/>
        <v>1</v>
      </c>
    </row>
    <row r="1346" spans="1:29" x14ac:dyDescent="0.25">
      <c r="A1346" s="1">
        <v>1407.4849999999999</v>
      </c>
      <c r="B1346">
        <v>30</v>
      </c>
      <c r="C1346" t="s">
        <v>123</v>
      </c>
      <c r="D1346" s="2">
        <v>71048.7</v>
      </c>
      <c r="M1346">
        <v>14</v>
      </c>
      <c r="Y1346" s="1">
        <f t="shared" si="100"/>
        <v>1407.4849999999999</v>
      </c>
      <c r="Z1346" s="2">
        <f t="shared" si="101"/>
        <v>71048.7</v>
      </c>
      <c r="AA1346" s="2">
        <f t="shared" si="102"/>
        <v>71048.714551131983</v>
      </c>
      <c r="AB1346" s="1">
        <f t="shared" si="103"/>
        <v>7.5239599196841173E-2</v>
      </c>
      <c r="AC1346" s="1" t="b">
        <f t="shared" si="104"/>
        <v>1</v>
      </c>
    </row>
    <row r="1347" spans="1:29" x14ac:dyDescent="0.25">
      <c r="A1347" s="1">
        <v>1407.3520000000001</v>
      </c>
      <c r="B1347">
        <v>6</v>
      </c>
      <c r="D1347" s="2">
        <v>71055.399999999994</v>
      </c>
      <c r="M1347">
        <v>14</v>
      </c>
      <c r="Y1347" s="1">
        <f t="shared" ref="Y1347:Y1410" si="105">ROUND($A1347,3)+0</f>
        <v>1407.3520000000001</v>
      </c>
      <c r="Z1347" s="2">
        <f t="shared" ref="Z1347:Z1410" si="106">ROUND($D1347,1)+0</f>
        <v>71055.399999999994</v>
      </c>
      <c r="AA1347" s="2">
        <f t="shared" ref="AA1347:AA1410" si="107">100000000/Y1347</f>
        <v>71055.428918991121</v>
      </c>
      <c r="AB1347" s="1">
        <f t="shared" ref="AB1347:AB1410" si="108">0.0005/$Y1347*AA1347+0.05</f>
        <v>7.5244369894309007E-2</v>
      </c>
      <c r="AC1347" s="1" t="b">
        <f t="shared" ref="AC1347:AC1410" si="109">ABS(Z1347-AA1347)&lt;AB1347</f>
        <v>1</v>
      </c>
    </row>
    <row r="1348" spans="1:29" x14ac:dyDescent="0.25">
      <c r="A1348" s="1">
        <v>1407.2829999999999</v>
      </c>
      <c r="B1348">
        <v>10</v>
      </c>
      <c r="C1348" t="s">
        <v>122</v>
      </c>
      <c r="D1348" s="2">
        <v>71058.899999999994</v>
      </c>
      <c r="E1348">
        <v>13352</v>
      </c>
      <c r="F1348" t="s">
        <v>15</v>
      </c>
      <c r="G1348" t="s">
        <v>23</v>
      </c>
      <c r="H1348">
        <v>84410</v>
      </c>
      <c r="I1348" t="s">
        <v>17</v>
      </c>
      <c r="J1348" t="s">
        <v>16</v>
      </c>
      <c r="K1348">
        <v>13352.1</v>
      </c>
      <c r="L1348">
        <v>84410.63</v>
      </c>
      <c r="M1348">
        <v>14</v>
      </c>
      <c r="Y1348" s="1">
        <f t="shared" si="105"/>
        <v>1407.2829999999999</v>
      </c>
      <c r="Z1348" s="2">
        <f t="shared" si="106"/>
        <v>71058.899999999994</v>
      </c>
      <c r="AA1348" s="2">
        <f t="shared" si="107"/>
        <v>71058.912812845752</v>
      </c>
      <c r="AB1348" s="1">
        <f t="shared" si="108"/>
        <v>7.5246845450718081E-2</v>
      </c>
      <c r="AC1348" s="1" t="b">
        <f t="shared" si="109"/>
        <v>1</v>
      </c>
    </row>
    <row r="1349" spans="1:29" x14ac:dyDescent="0.25">
      <c r="A1349" s="1">
        <v>1407.26</v>
      </c>
      <c r="B1349">
        <v>10</v>
      </c>
      <c r="C1349" t="s">
        <v>122</v>
      </c>
      <c r="D1349" s="2">
        <v>71060.100000000006</v>
      </c>
      <c r="E1349">
        <v>60166</v>
      </c>
      <c r="F1349" t="s">
        <v>17</v>
      </c>
      <c r="G1349" t="s">
        <v>16</v>
      </c>
      <c r="H1349">
        <v>131226</v>
      </c>
      <c r="I1349" t="s">
        <v>15</v>
      </c>
      <c r="J1349" t="s">
        <v>16</v>
      </c>
      <c r="K1349">
        <v>60166.2</v>
      </c>
      <c r="L1349">
        <v>131226.29999999999</v>
      </c>
      <c r="M1349">
        <v>14</v>
      </c>
      <c r="Y1349" s="1">
        <f t="shared" si="105"/>
        <v>1407.26</v>
      </c>
      <c r="Z1349" s="2">
        <f t="shared" si="106"/>
        <v>71060.100000000006</v>
      </c>
      <c r="AA1349" s="2">
        <f t="shared" si="107"/>
        <v>71060.074186717451</v>
      </c>
      <c r="AB1349" s="1">
        <f t="shared" si="108"/>
        <v>7.5247670717108944E-2</v>
      </c>
      <c r="AC1349" s="1" t="b">
        <f t="shared" si="109"/>
        <v>1</v>
      </c>
    </row>
    <row r="1350" spans="1:29" x14ac:dyDescent="0.25">
      <c r="A1350" s="1">
        <v>1407.212</v>
      </c>
      <c r="B1350">
        <v>5</v>
      </c>
      <c r="D1350" s="2">
        <v>71062.5</v>
      </c>
      <c r="E1350">
        <v>40205</v>
      </c>
      <c r="F1350" t="s">
        <v>15</v>
      </c>
      <c r="G1350" t="s">
        <v>29</v>
      </c>
      <c r="H1350">
        <v>111268</v>
      </c>
      <c r="I1350" t="s">
        <v>17</v>
      </c>
      <c r="J1350" t="s">
        <v>29</v>
      </c>
      <c r="K1350">
        <v>40205.74</v>
      </c>
      <c r="L1350">
        <v>111268.7</v>
      </c>
      <c r="M1350">
        <v>14</v>
      </c>
      <c r="Y1350" s="1">
        <f t="shared" si="105"/>
        <v>1407.212</v>
      </c>
      <c r="Z1350" s="2">
        <f t="shared" si="106"/>
        <v>71062.5</v>
      </c>
      <c r="AA1350" s="2">
        <f t="shared" si="107"/>
        <v>71062.498045781307</v>
      </c>
      <c r="AB1350" s="1">
        <f t="shared" si="108"/>
        <v>7.5249393142533358E-2</v>
      </c>
      <c r="AC1350" s="1" t="b">
        <f t="shared" si="109"/>
        <v>1</v>
      </c>
    </row>
    <row r="1351" spans="1:29" x14ac:dyDescent="0.25">
      <c r="A1351" s="1">
        <v>1406.681</v>
      </c>
      <c r="B1351">
        <v>15</v>
      </c>
      <c r="D1351" s="2">
        <v>71089.3</v>
      </c>
      <c r="M1351">
        <v>14</v>
      </c>
      <c r="Y1351" s="1">
        <f t="shared" si="105"/>
        <v>1406.681</v>
      </c>
      <c r="Z1351" s="2">
        <f t="shared" si="106"/>
        <v>71089.3</v>
      </c>
      <c r="AA1351" s="2">
        <f t="shared" si="107"/>
        <v>71089.323023485777</v>
      </c>
      <c r="AB1351" s="1">
        <f t="shared" si="108"/>
        <v>7.526845923968753E-2</v>
      </c>
      <c r="AC1351" s="1" t="b">
        <f t="shared" si="109"/>
        <v>1</v>
      </c>
    </row>
    <row r="1352" spans="1:29" x14ac:dyDescent="0.25">
      <c r="A1352" s="1">
        <v>1406.0709999999999</v>
      </c>
      <c r="B1352">
        <v>15</v>
      </c>
      <c r="D1352" s="2">
        <v>71120.2</v>
      </c>
      <c r="E1352">
        <v>44679</v>
      </c>
      <c r="F1352" t="s">
        <v>15</v>
      </c>
      <c r="G1352" t="s">
        <v>18</v>
      </c>
      <c r="H1352">
        <v>115800</v>
      </c>
      <c r="I1352" t="s">
        <v>17</v>
      </c>
      <c r="J1352" t="s">
        <v>28</v>
      </c>
      <c r="K1352">
        <v>44679.98</v>
      </c>
      <c r="L1352">
        <v>115800</v>
      </c>
      <c r="M1352">
        <v>14</v>
      </c>
      <c r="Y1352" s="1">
        <f t="shared" si="105"/>
        <v>1406.0709999999999</v>
      </c>
      <c r="Z1352" s="2">
        <f t="shared" si="106"/>
        <v>71120.2</v>
      </c>
      <c r="AA1352" s="2">
        <f t="shared" si="107"/>
        <v>71120.163917753802</v>
      </c>
      <c r="AB1352" s="1">
        <f t="shared" si="108"/>
        <v>7.5290388578440851E-2</v>
      </c>
      <c r="AC1352" s="1" t="b">
        <f t="shared" si="109"/>
        <v>1</v>
      </c>
    </row>
    <row r="1353" spans="1:29" x14ac:dyDescent="0.25">
      <c r="A1353" s="1">
        <v>1405.5440000000001</v>
      </c>
      <c r="B1353">
        <v>50</v>
      </c>
      <c r="D1353" s="2">
        <v>71146.8</v>
      </c>
      <c r="E1353">
        <v>21294</v>
      </c>
      <c r="F1353" t="s">
        <v>15</v>
      </c>
      <c r="G1353" t="s">
        <v>18</v>
      </c>
      <c r="H1353">
        <v>92441</v>
      </c>
      <c r="I1353" t="s">
        <v>17</v>
      </c>
      <c r="J1353" t="s">
        <v>18</v>
      </c>
      <c r="K1353">
        <v>21294.89</v>
      </c>
      <c r="L1353">
        <v>92441.7</v>
      </c>
      <c r="M1353">
        <v>14</v>
      </c>
      <c r="Y1353" s="1">
        <f t="shared" si="105"/>
        <v>1405.5440000000001</v>
      </c>
      <c r="Z1353" s="2">
        <f t="shared" si="106"/>
        <v>71146.8</v>
      </c>
      <c r="AA1353" s="2">
        <f t="shared" si="107"/>
        <v>71146.82998184333</v>
      </c>
      <c r="AB1353" s="1">
        <f t="shared" si="108"/>
        <v>7.5309357082326611E-2</v>
      </c>
      <c r="AC1353" s="1" t="b">
        <f t="shared" si="109"/>
        <v>1</v>
      </c>
    </row>
    <row r="1354" spans="1:29" x14ac:dyDescent="0.25">
      <c r="A1354" s="1">
        <v>1405.434</v>
      </c>
      <c r="B1354">
        <v>2</v>
      </c>
      <c r="D1354" s="2">
        <v>71152.399999999994</v>
      </c>
      <c r="E1354">
        <v>62240</v>
      </c>
      <c r="F1354" t="s">
        <v>17</v>
      </c>
      <c r="G1354" t="s">
        <v>23</v>
      </c>
      <c r="H1354">
        <v>133393</v>
      </c>
      <c r="I1354" t="s">
        <v>15</v>
      </c>
      <c r="J1354" t="s">
        <v>50</v>
      </c>
      <c r="K1354">
        <v>62240.83</v>
      </c>
      <c r="L1354">
        <v>133393.20000000001</v>
      </c>
      <c r="M1354">
        <v>14</v>
      </c>
      <c r="Y1354" s="1">
        <f t="shared" si="105"/>
        <v>1405.434</v>
      </c>
      <c r="Z1354" s="2">
        <f t="shared" si="106"/>
        <v>71152.399999999994</v>
      </c>
      <c r="AA1354" s="2">
        <f t="shared" si="107"/>
        <v>71152.398476200236</v>
      </c>
      <c r="AB1354" s="1">
        <f t="shared" si="108"/>
        <v>7.5313319044579913E-2</v>
      </c>
      <c r="AC1354" s="1" t="b">
        <f t="shared" si="109"/>
        <v>1</v>
      </c>
    </row>
    <row r="1355" spans="1:29" x14ac:dyDescent="0.25">
      <c r="A1355" s="1">
        <v>1405.1</v>
      </c>
      <c r="B1355">
        <v>1</v>
      </c>
      <c r="D1355" s="2">
        <v>71169.3</v>
      </c>
      <c r="M1355">
        <v>14</v>
      </c>
      <c r="Y1355" s="1">
        <f t="shared" si="105"/>
        <v>1405.1</v>
      </c>
      <c r="Z1355" s="2">
        <f t="shared" si="106"/>
        <v>71169.3</v>
      </c>
      <c r="AA1355" s="2">
        <f t="shared" si="107"/>
        <v>71169.311792754976</v>
      </c>
      <c r="AB1355" s="1">
        <f t="shared" si="108"/>
        <v>7.5325354705271866E-2</v>
      </c>
      <c r="AC1355" s="1" t="b">
        <f t="shared" si="109"/>
        <v>1</v>
      </c>
    </row>
    <row r="1356" spans="1:29" x14ac:dyDescent="0.25">
      <c r="A1356" s="1">
        <v>1404.9739999999999</v>
      </c>
      <c r="B1356">
        <v>30</v>
      </c>
      <c r="D1356" s="2">
        <v>71175.7</v>
      </c>
      <c r="M1356">
        <v>14</v>
      </c>
      <c r="Y1356" s="1">
        <f t="shared" si="105"/>
        <v>1404.9739999999999</v>
      </c>
      <c r="Z1356" s="2">
        <f t="shared" si="106"/>
        <v>71175.7</v>
      </c>
      <c r="AA1356" s="2">
        <f t="shared" si="107"/>
        <v>71175.694354486273</v>
      </c>
      <c r="AB1356" s="1">
        <f t="shared" si="108"/>
        <v>7.5329897334216245E-2</v>
      </c>
      <c r="AC1356" s="1" t="b">
        <f t="shared" si="109"/>
        <v>1</v>
      </c>
    </row>
    <row r="1357" spans="1:29" x14ac:dyDescent="0.25">
      <c r="A1357" s="1">
        <v>1404.7470000000001</v>
      </c>
      <c r="B1357">
        <v>300</v>
      </c>
      <c r="D1357" s="2">
        <v>71187.199999999997</v>
      </c>
      <c r="M1357">
        <v>14</v>
      </c>
      <c r="Y1357" s="1">
        <f t="shared" si="105"/>
        <v>1404.7470000000001</v>
      </c>
      <c r="Z1357" s="2">
        <f t="shared" si="106"/>
        <v>71187.199999999997</v>
      </c>
      <c r="AA1357" s="2">
        <f t="shared" si="107"/>
        <v>71187.195986181134</v>
      </c>
      <c r="AB1357" s="1">
        <f t="shared" si="108"/>
        <v>7.5338084361874821E-2</v>
      </c>
      <c r="AC1357" s="1" t="b">
        <f t="shared" si="109"/>
        <v>1</v>
      </c>
    </row>
    <row r="1358" spans="1:29" x14ac:dyDescent="0.25">
      <c r="A1358" s="1">
        <v>1404.1020000000001</v>
      </c>
      <c r="B1358">
        <v>20</v>
      </c>
      <c r="D1358" s="2">
        <v>71219.899999999994</v>
      </c>
      <c r="E1358">
        <v>22747</v>
      </c>
      <c r="F1358" t="s">
        <v>15</v>
      </c>
      <c r="G1358" t="s">
        <v>16</v>
      </c>
      <c r="H1358">
        <v>93967</v>
      </c>
      <c r="I1358" t="s">
        <v>17</v>
      </c>
      <c r="J1358" t="s">
        <v>18</v>
      </c>
      <c r="K1358">
        <v>22747.69</v>
      </c>
      <c r="L1358">
        <v>93967.4</v>
      </c>
      <c r="M1358">
        <v>14</v>
      </c>
      <c r="Y1358" s="1">
        <f t="shared" si="105"/>
        <v>1404.1020000000001</v>
      </c>
      <c r="Z1358" s="2">
        <f t="shared" si="106"/>
        <v>71219.899999999994</v>
      </c>
      <c r="AA1358" s="2">
        <f t="shared" si="107"/>
        <v>71219.897129980585</v>
      </c>
      <c r="AB1358" s="1">
        <f t="shared" si="108"/>
        <v>7.5361368736025086E-2</v>
      </c>
      <c r="AC1358" s="1" t="b">
        <f t="shared" si="109"/>
        <v>1</v>
      </c>
    </row>
    <row r="1359" spans="1:29" x14ac:dyDescent="0.25">
      <c r="A1359" s="1">
        <v>1403.981</v>
      </c>
      <c r="B1359">
        <v>300</v>
      </c>
      <c r="D1359" s="2">
        <v>71226</v>
      </c>
      <c r="M1359">
        <v>14</v>
      </c>
      <c r="Y1359" s="1">
        <f t="shared" si="105"/>
        <v>1403.981</v>
      </c>
      <c r="Z1359" s="2">
        <f t="shared" si="106"/>
        <v>71226</v>
      </c>
      <c r="AA1359" s="2">
        <f t="shared" si="107"/>
        <v>71226.035110161742</v>
      </c>
      <c r="AB1359" s="1">
        <f t="shared" si="108"/>
        <v>7.5365740387569963E-2</v>
      </c>
      <c r="AC1359" s="1" t="b">
        <f t="shared" si="109"/>
        <v>1</v>
      </c>
    </row>
    <row r="1360" spans="1:29" x14ac:dyDescent="0.25">
      <c r="A1360" s="1">
        <v>1403.8679999999999</v>
      </c>
      <c r="B1360">
        <v>4</v>
      </c>
      <c r="D1360" s="2">
        <v>71231.8</v>
      </c>
      <c r="M1360">
        <v>14</v>
      </c>
      <c r="Y1360" s="1">
        <f t="shared" si="105"/>
        <v>1403.8679999999999</v>
      </c>
      <c r="Z1360" s="2">
        <f t="shared" si="106"/>
        <v>71231.8</v>
      </c>
      <c r="AA1360" s="2">
        <f t="shared" si="107"/>
        <v>71231.768228921806</v>
      </c>
      <c r="AB1360" s="1">
        <f t="shared" si="108"/>
        <v>7.5369824025094179E-2</v>
      </c>
      <c r="AC1360" s="1" t="b">
        <f t="shared" si="109"/>
        <v>1</v>
      </c>
    </row>
    <row r="1361" spans="1:29" x14ac:dyDescent="0.25">
      <c r="A1361" s="1">
        <v>1403.598</v>
      </c>
      <c r="B1361">
        <v>60</v>
      </c>
      <c r="D1361" s="2">
        <v>71245.5</v>
      </c>
      <c r="M1361">
        <v>14</v>
      </c>
      <c r="Y1361" s="1">
        <f t="shared" si="105"/>
        <v>1403.598</v>
      </c>
      <c r="Z1361" s="2">
        <f t="shared" si="106"/>
        <v>71245.5</v>
      </c>
      <c r="AA1361" s="2">
        <f t="shared" si="107"/>
        <v>71245.47056920857</v>
      </c>
      <c r="AB1361" s="1">
        <f t="shared" si="108"/>
        <v>7.5379585383139824E-2</v>
      </c>
      <c r="AC1361" s="1" t="b">
        <f t="shared" si="109"/>
        <v>1</v>
      </c>
    </row>
    <row r="1362" spans="1:29" x14ac:dyDescent="0.25">
      <c r="A1362" s="1">
        <v>1403.31</v>
      </c>
      <c r="B1362">
        <v>100</v>
      </c>
      <c r="D1362" s="2">
        <v>71260.100000000006</v>
      </c>
      <c r="E1362">
        <v>21294</v>
      </c>
      <c r="F1362" t="s">
        <v>15</v>
      </c>
      <c r="G1362" t="s">
        <v>18</v>
      </c>
      <c r="H1362">
        <v>92554</v>
      </c>
      <c r="I1362" t="s">
        <v>17</v>
      </c>
      <c r="J1362" t="s">
        <v>28</v>
      </c>
      <c r="K1362">
        <v>21294.89</v>
      </c>
      <c r="L1362">
        <v>92554.8</v>
      </c>
      <c r="M1362">
        <v>14</v>
      </c>
      <c r="Y1362" s="1">
        <f t="shared" si="105"/>
        <v>1403.31</v>
      </c>
      <c r="Z1362" s="2">
        <f t="shared" si="106"/>
        <v>71260.100000000006</v>
      </c>
      <c r="AA1362" s="2">
        <f t="shared" si="107"/>
        <v>71260.09221055932</v>
      </c>
      <c r="AB1362" s="1">
        <f t="shared" si="108"/>
        <v>7.5390003709287084E-2</v>
      </c>
      <c r="AC1362" s="1" t="b">
        <f t="shared" si="109"/>
        <v>1</v>
      </c>
    </row>
    <row r="1363" spans="1:29" x14ac:dyDescent="0.25">
      <c r="A1363" s="1">
        <v>1403.171</v>
      </c>
      <c r="B1363">
        <v>100</v>
      </c>
      <c r="D1363" s="2">
        <v>71267.199999999997</v>
      </c>
      <c r="M1363">
        <v>14</v>
      </c>
      <c r="Y1363" s="1">
        <f t="shared" si="105"/>
        <v>1403.171</v>
      </c>
      <c r="Z1363" s="2">
        <f t="shared" si="106"/>
        <v>71267.199999999997</v>
      </c>
      <c r="AA1363" s="2">
        <f t="shared" si="107"/>
        <v>71267.151330807144</v>
      </c>
      <c r="AB1363" s="1">
        <f t="shared" si="108"/>
        <v>7.5395034294040833E-2</v>
      </c>
      <c r="AC1363" s="1" t="b">
        <f t="shared" si="109"/>
        <v>1</v>
      </c>
    </row>
    <row r="1364" spans="1:29" x14ac:dyDescent="0.25">
      <c r="A1364" s="1">
        <v>1402.9069999999999</v>
      </c>
      <c r="B1364">
        <v>40</v>
      </c>
      <c r="D1364" s="2">
        <v>71280.600000000006</v>
      </c>
      <c r="M1364">
        <v>14</v>
      </c>
      <c r="Y1364" s="1">
        <f t="shared" si="105"/>
        <v>1402.9069999999999</v>
      </c>
      <c r="Z1364" s="2">
        <f t="shared" si="106"/>
        <v>71280.600000000006</v>
      </c>
      <c r="AA1364" s="2">
        <f t="shared" si="107"/>
        <v>71280.562432149818</v>
      </c>
      <c r="AB1364" s="1">
        <f t="shared" si="108"/>
        <v>7.5404592903218048E-2</v>
      </c>
      <c r="AC1364" s="1" t="b">
        <f t="shared" si="109"/>
        <v>1</v>
      </c>
    </row>
    <row r="1365" spans="1:29" x14ac:dyDescent="0.25">
      <c r="A1365" s="1">
        <v>1402.7429999999999</v>
      </c>
      <c r="B1365">
        <v>20</v>
      </c>
      <c r="D1365" s="2">
        <v>71288.899999999994</v>
      </c>
      <c r="E1365">
        <v>40205</v>
      </c>
      <c r="F1365" t="s">
        <v>15</v>
      </c>
      <c r="G1365" t="s">
        <v>29</v>
      </c>
      <c r="H1365">
        <v>111494</v>
      </c>
      <c r="I1365" t="s">
        <v>17</v>
      </c>
      <c r="J1365" t="s">
        <v>28</v>
      </c>
      <c r="K1365">
        <v>40205.74</v>
      </c>
      <c r="L1365">
        <v>111494.8</v>
      </c>
      <c r="M1365">
        <v>14</v>
      </c>
      <c r="Y1365" s="1">
        <f t="shared" si="105"/>
        <v>1402.7429999999999</v>
      </c>
      <c r="Z1365" s="2">
        <f t="shared" si="106"/>
        <v>71288.899999999994</v>
      </c>
      <c r="AA1365" s="2">
        <f t="shared" si="107"/>
        <v>71288.896112830364</v>
      </c>
      <c r="AB1365" s="1">
        <f t="shared" si="108"/>
        <v>7.5410533544929603E-2</v>
      </c>
      <c r="AC1365" s="1" t="b">
        <f t="shared" si="109"/>
        <v>1</v>
      </c>
    </row>
    <row r="1366" spans="1:29" x14ac:dyDescent="0.25">
      <c r="A1366" s="1">
        <v>1402.5989999999999</v>
      </c>
      <c r="B1366">
        <v>3</v>
      </c>
      <c r="D1366" s="2">
        <v>71296.2</v>
      </c>
      <c r="M1366">
        <v>14</v>
      </c>
      <c r="Y1366" s="1">
        <f t="shared" si="105"/>
        <v>1402.5989999999999</v>
      </c>
      <c r="Z1366" s="2">
        <f t="shared" si="106"/>
        <v>71296.2</v>
      </c>
      <c r="AA1366" s="2">
        <f t="shared" si="107"/>
        <v>71296.215097829103</v>
      </c>
      <c r="AB1366" s="1">
        <f t="shared" si="108"/>
        <v>7.5415751436379574E-2</v>
      </c>
      <c r="AC1366" s="1" t="b">
        <f t="shared" si="109"/>
        <v>1</v>
      </c>
    </row>
    <row r="1367" spans="1:29" x14ac:dyDescent="0.25">
      <c r="A1367" s="1">
        <v>1402.4580000000001</v>
      </c>
      <c r="B1367">
        <v>8</v>
      </c>
      <c r="D1367" s="2">
        <v>71303.399999999994</v>
      </c>
      <c r="E1367">
        <v>23844</v>
      </c>
      <c r="F1367" t="s">
        <v>15</v>
      </c>
      <c r="G1367" t="s">
        <v>16</v>
      </c>
      <c r="H1367">
        <v>95147</v>
      </c>
      <c r="I1367" t="s">
        <v>17</v>
      </c>
      <c r="J1367" t="s">
        <v>16</v>
      </c>
      <c r="K1367">
        <v>23844.58</v>
      </c>
      <c r="L1367">
        <v>95147.9</v>
      </c>
      <c r="M1367">
        <v>14</v>
      </c>
      <c r="Y1367" s="1">
        <f t="shared" si="105"/>
        <v>1402.4580000000001</v>
      </c>
      <c r="Z1367" s="2">
        <f t="shared" si="106"/>
        <v>71303.399999999994</v>
      </c>
      <c r="AA1367" s="2">
        <f t="shared" si="107"/>
        <v>71303.38306031267</v>
      </c>
      <c r="AB1367" s="1">
        <f t="shared" si="108"/>
        <v>7.5420862179228415E-2</v>
      </c>
      <c r="AC1367" s="1" t="b">
        <f t="shared" si="109"/>
        <v>1</v>
      </c>
    </row>
    <row r="1368" spans="1:29" x14ac:dyDescent="0.25">
      <c r="A1368" s="1">
        <v>1402.1220000000001</v>
      </c>
      <c r="B1368">
        <v>8</v>
      </c>
      <c r="D1368" s="2">
        <v>71320.5</v>
      </c>
      <c r="E1368">
        <v>19308</v>
      </c>
      <c r="F1368" t="s">
        <v>15</v>
      </c>
      <c r="G1368" t="s">
        <v>23</v>
      </c>
      <c r="H1368">
        <v>90629</v>
      </c>
      <c r="I1368" t="s">
        <v>17</v>
      </c>
      <c r="J1368" t="s">
        <v>16</v>
      </c>
      <c r="K1368">
        <v>19308.93</v>
      </c>
      <c r="L1368">
        <v>90629.2</v>
      </c>
      <c r="M1368">
        <v>14</v>
      </c>
      <c r="Y1368" s="1">
        <f t="shared" si="105"/>
        <v>1402.1220000000001</v>
      </c>
      <c r="Z1368" s="2">
        <f t="shared" si="106"/>
        <v>71320.5</v>
      </c>
      <c r="AA1368" s="2">
        <f t="shared" si="107"/>
        <v>71320.469973368934</v>
      </c>
      <c r="AB1368" s="1">
        <f t="shared" si="108"/>
        <v>7.5433047186111102E-2</v>
      </c>
      <c r="AC1368" s="1" t="b">
        <f t="shared" si="109"/>
        <v>1</v>
      </c>
    </row>
    <row r="1369" spans="1:29" x14ac:dyDescent="0.25">
      <c r="A1369" s="1">
        <v>1402.047</v>
      </c>
      <c r="B1369">
        <v>100</v>
      </c>
      <c r="C1369" t="s">
        <v>122</v>
      </c>
      <c r="D1369" s="2">
        <v>71324.3</v>
      </c>
      <c r="M1369">
        <v>14</v>
      </c>
      <c r="Y1369" s="1">
        <f t="shared" si="105"/>
        <v>1402.047</v>
      </c>
      <c r="Z1369" s="2">
        <f t="shared" si="106"/>
        <v>71324.3</v>
      </c>
      <c r="AA1369" s="2">
        <f t="shared" si="107"/>
        <v>71324.285134521167</v>
      </c>
      <c r="AB1369" s="1">
        <f t="shared" si="108"/>
        <v>7.5435768249752386E-2</v>
      </c>
      <c r="AC1369" s="1" t="b">
        <f t="shared" si="109"/>
        <v>1</v>
      </c>
    </row>
    <row r="1370" spans="1:29" x14ac:dyDescent="0.25">
      <c r="A1370" s="1">
        <v>1402.03</v>
      </c>
      <c r="B1370">
        <v>30</v>
      </c>
      <c r="C1370" t="s">
        <v>122</v>
      </c>
      <c r="D1370" s="2">
        <v>71325.2</v>
      </c>
      <c r="M1370">
        <v>14</v>
      </c>
      <c r="Y1370" s="1">
        <f t="shared" si="105"/>
        <v>1402.03</v>
      </c>
      <c r="Z1370" s="2">
        <f t="shared" si="106"/>
        <v>71325.2</v>
      </c>
      <c r="AA1370" s="2">
        <f t="shared" si="107"/>
        <v>71325.149961127798</v>
      </c>
      <c r="AB1370" s="1">
        <f t="shared" si="108"/>
        <v>7.5436385084886842E-2</v>
      </c>
      <c r="AC1370" s="1" t="b">
        <f t="shared" si="109"/>
        <v>1</v>
      </c>
    </row>
    <row r="1371" spans="1:29" x14ac:dyDescent="0.25">
      <c r="A1371" s="1">
        <v>1401.7739999999999</v>
      </c>
      <c r="B1371">
        <v>3</v>
      </c>
      <c r="D1371" s="2">
        <v>71338.2</v>
      </c>
      <c r="M1371">
        <v>14</v>
      </c>
      <c r="Y1371" s="1">
        <f t="shared" si="105"/>
        <v>1401.7739999999999</v>
      </c>
      <c r="Z1371" s="2">
        <f t="shared" si="106"/>
        <v>71338.2</v>
      </c>
      <c r="AA1371" s="2">
        <f t="shared" si="107"/>
        <v>71338.175768704517</v>
      </c>
      <c r="AB1371" s="1">
        <f t="shared" si="108"/>
        <v>7.5445676610032902E-2</v>
      </c>
      <c r="AC1371" s="1" t="b">
        <f t="shared" si="109"/>
        <v>1</v>
      </c>
    </row>
    <row r="1372" spans="1:29" x14ac:dyDescent="0.25">
      <c r="A1372" s="1">
        <v>1401.405</v>
      </c>
      <c r="B1372">
        <v>4</v>
      </c>
      <c r="D1372" s="2">
        <v>71357</v>
      </c>
      <c r="M1372">
        <v>14</v>
      </c>
      <c r="Y1372" s="1">
        <f t="shared" si="105"/>
        <v>1401.405</v>
      </c>
      <c r="Z1372" s="2">
        <f t="shared" si="106"/>
        <v>71357</v>
      </c>
      <c r="AA1372" s="2">
        <f t="shared" si="107"/>
        <v>71356.959622664392</v>
      </c>
      <c r="AB1372" s="1">
        <f t="shared" si="108"/>
        <v>7.5459078432952784E-2</v>
      </c>
      <c r="AC1372" s="1" t="b">
        <f t="shared" si="109"/>
        <v>1</v>
      </c>
    </row>
    <row r="1373" spans="1:29" x14ac:dyDescent="0.25">
      <c r="A1373" s="1">
        <v>1401.1759999999999</v>
      </c>
      <c r="B1373">
        <v>100</v>
      </c>
      <c r="D1373" s="2">
        <v>71368.600000000006</v>
      </c>
      <c r="M1373">
        <v>14</v>
      </c>
      <c r="Y1373" s="1">
        <f t="shared" si="105"/>
        <v>1401.1759999999999</v>
      </c>
      <c r="Z1373" s="2">
        <f t="shared" si="106"/>
        <v>71368.600000000006</v>
      </c>
      <c r="AA1373" s="2">
        <f t="shared" si="107"/>
        <v>71368.62178627096</v>
      </c>
      <c r="AB1373" s="1">
        <f t="shared" si="108"/>
        <v>7.5467400878358959E-2</v>
      </c>
      <c r="AC1373" s="1" t="b">
        <f t="shared" si="109"/>
        <v>1</v>
      </c>
    </row>
    <row r="1374" spans="1:29" x14ac:dyDescent="0.25">
      <c r="A1374" s="1">
        <v>1400.6110000000001</v>
      </c>
      <c r="B1374">
        <v>20</v>
      </c>
      <c r="C1374" t="s">
        <v>123</v>
      </c>
      <c r="D1374" s="2">
        <v>71397.399999999994</v>
      </c>
      <c r="M1374">
        <v>14</v>
      </c>
      <c r="Y1374" s="1">
        <f t="shared" si="105"/>
        <v>1400.6110000000001</v>
      </c>
      <c r="Z1374" s="2">
        <f t="shared" si="106"/>
        <v>71397.399999999994</v>
      </c>
      <c r="AA1374" s="2">
        <f t="shared" si="107"/>
        <v>71397.411558241365</v>
      </c>
      <c r="AB1374" s="1">
        <f t="shared" si="108"/>
        <v>7.5487951886084481E-2</v>
      </c>
      <c r="AC1374" s="1" t="b">
        <f t="shared" si="109"/>
        <v>1</v>
      </c>
    </row>
    <row r="1375" spans="1:29" x14ac:dyDescent="0.25">
      <c r="A1375" s="1">
        <v>1400.434</v>
      </c>
      <c r="B1375">
        <v>7</v>
      </c>
      <c r="D1375" s="2">
        <v>71406.399999999994</v>
      </c>
      <c r="E1375">
        <v>21148</v>
      </c>
      <c r="F1375" t="s">
        <v>15</v>
      </c>
      <c r="G1375" t="s">
        <v>29</v>
      </c>
      <c r="H1375">
        <v>92554</v>
      </c>
      <c r="I1375" t="s">
        <v>17</v>
      </c>
      <c r="J1375" t="s">
        <v>28</v>
      </c>
      <c r="K1375">
        <v>21148.43</v>
      </c>
      <c r="L1375">
        <v>92554.8</v>
      </c>
      <c r="M1375">
        <v>14</v>
      </c>
      <c r="Y1375" s="1">
        <f t="shared" si="105"/>
        <v>1400.434</v>
      </c>
      <c r="Z1375" s="2">
        <f t="shared" si="106"/>
        <v>71406.399999999994</v>
      </c>
      <c r="AA1375" s="2">
        <f t="shared" si="107"/>
        <v>71406.435433587016</v>
      </c>
      <c r="AB1375" s="1">
        <f t="shared" si="108"/>
        <v>7.5494395106655163E-2</v>
      </c>
      <c r="AC1375" s="1" t="b">
        <f t="shared" si="109"/>
        <v>1</v>
      </c>
    </row>
    <row r="1376" spans="1:29" x14ac:dyDescent="0.25">
      <c r="A1376" s="1">
        <v>1400.3589999999999</v>
      </c>
      <c r="B1376">
        <v>7</v>
      </c>
      <c r="C1376" t="s">
        <v>123</v>
      </c>
      <c r="D1376" s="2">
        <v>71410.3</v>
      </c>
      <c r="M1376">
        <v>14</v>
      </c>
      <c r="Y1376" s="1">
        <f t="shared" si="105"/>
        <v>1400.3589999999999</v>
      </c>
      <c r="Z1376" s="2">
        <f t="shared" si="106"/>
        <v>71410.3</v>
      </c>
      <c r="AA1376" s="2">
        <f t="shared" si="107"/>
        <v>71410.259797666178</v>
      </c>
      <c r="AB1376" s="1">
        <f t="shared" si="108"/>
        <v>7.5497126021850894E-2</v>
      </c>
      <c r="AC1376" s="1" t="b">
        <f t="shared" si="109"/>
        <v>1</v>
      </c>
    </row>
    <row r="1377" spans="1:29" x14ac:dyDescent="0.25">
      <c r="A1377" s="1">
        <v>1400.16</v>
      </c>
      <c r="B1377">
        <v>3</v>
      </c>
      <c r="D1377" s="2">
        <v>71420.399999999994</v>
      </c>
      <c r="E1377">
        <v>25409</v>
      </c>
      <c r="F1377" t="s">
        <v>15</v>
      </c>
      <c r="G1377" t="s">
        <v>18</v>
      </c>
      <c r="H1377">
        <v>96830</v>
      </c>
      <c r="I1377" t="s">
        <v>17</v>
      </c>
      <c r="J1377" t="s">
        <v>18</v>
      </c>
      <c r="K1377">
        <v>25409.74</v>
      </c>
      <c r="L1377">
        <v>96830.5</v>
      </c>
      <c r="M1377">
        <v>14</v>
      </c>
      <c r="Y1377" s="1">
        <f t="shared" si="105"/>
        <v>1400.16</v>
      </c>
      <c r="Z1377" s="2">
        <f t="shared" si="106"/>
        <v>71420.399999999994</v>
      </c>
      <c r="AA1377" s="2">
        <f t="shared" si="107"/>
        <v>71420.409096103293</v>
      </c>
      <c r="AB1377" s="1">
        <f t="shared" si="108"/>
        <v>7.5504374177273778E-2</v>
      </c>
      <c r="AC1377" s="1" t="b">
        <f t="shared" si="109"/>
        <v>1</v>
      </c>
    </row>
    <row r="1378" spans="1:29" x14ac:dyDescent="0.25">
      <c r="A1378" s="1">
        <v>1399.1410000000001</v>
      </c>
      <c r="B1378">
        <v>5</v>
      </c>
      <c r="D1378" s="2">
        <v>71472.399999999994</v>
      </c>
      <c r="E1378">
        <v>39870</v>
      </c>
      <c r="F1378" t="s">
        <v>15</v>
      </c>
      <c r="G1378" t="s">
        <v>16</v>
      </c>
      <c r="H1378">
        <v>111342</v>
      </c>
      <c r="I1378" t="s">
        <v>17</v>
      </c>
      <c r="J1378" t="s">
        <v>18</v>
      </c>
      <c r="K1378">
        <v>39870.17</v>
      </c>
      <c r="L1378">
        <v>111342.8</v>
      </c>
      <c r="M1378">
        <v>14</v>
      </c>
      <c r="Y1378" s="1">
        <f t="shared" si="105"/>
        <v>1399.1410000000001</v>
      </c>
      <c r="Z1378" s="2">
        <f t="shared" si="106"/>
        <v>71472.399999999994</v>
      </c>
      <c r="AA1378" s="2">
        <f t="shared" si="107"/>
        <v>71472.424866400164</v>
      </c>
      <c r="AB1378" s="1">
        <f t="shared" si="108"/>
        <v>7.5541537581416088E-2</v>
      </c>
      <c r="AC1378" s="1" t="b">
        <f t="shared" si="109"/>
        <v>1</v>
      </c>
    </row>
    <row r="1379" spans="1:29" x14ac:dyDescent="0.25">
      <c r="A1379" s="1">
        <v>1398.8240000000001</v>
      </c>
      <c r="B1379">
        <v>40</v>
      </c>
      <c r="D1379" s="2">
        <v>71488.600000000006</v>
      </c>
      <c r="M1379">
        <v>14</v>
      </c>
      <c r="Y1379" s="1">
        <f t="shared" si="105"/>
        <v>1398.8240000000001</v>
      </c>
      <c r="Z1379" s="2">
        <f t="shared" si="106"/>
        <v>71488.600000000006</v>
      </c>
      <c r="AA1379" s="2">
        <f t="shared" si="107"/>
        <v>71488.62187094301</v>
      </c>
      <c r="AB1379" s="1">
        <f t="shared" si="108"/>
        <v>7.5553115285033362E-2</v>
      </c>
      <c r="AC1379" s="1" t="b">
        <f t="shared" si="109"/>
        <v>1</v>
      </c>
    </row>
    <row r="1380" spans="1:29" x14ac:dyDescent="0.25">
      <c r="A1380" s="1">
        <v>1398.6949999999999</v>
      </c>
      <c r="B1380">
        <v>5</v>
      </c>
      <c r="D1380" s="2">
        <v>71495.199999999997</v>
      </c>
      <c r="M1380">
        <v>14</v>
      </c>
      <c r="Y1380" s="1">
        <f t="shared" si="105"/>
        <v>1398.6949999999999</v>
      </c>
      <c r="Z1380" s="2">
        <f t="shared" si="106"/>
        <v>71495.199999999997</v>
      </c>
      <c r="AA1380" s="2">
        <f t="shared" si="107"/>
        <v>71495.215182723899</v>
      </c>
      <c r="AB1380" s="1">
        <f t="shared" si="108"/>
        <v>7.5557828970119978E-2</v>
      </c>
      <c r="AC1380" s="1" t="b">
        <f t="shared" si="109"/>
        <v>1</v>
      </c>
    </row>
    <row r="1381" spans="1:29" x14ac:dyDescent="0.25">
      <c r="A1381" s="1">
        <v>1398.6189999999999</v>
      </c>
      <c r="B1381">
        <v>40</v>
      </c>
      <c r="D1381" s="2">
        <v>71499.100000000006</v>
      </c>
      <c r="M1381">
        <v>14</v>
      </c>
      <c r="Y1381" s="1">
        <f t="shared" si="105"/>
        <v>1398.6189999999999</v>
      </c>
      <c r="Z1381" s="2">
        <f t="shared" si="106"/>
        <v>71499.100000000006</v>
      </c>
      <c r="AA1381" s="2">
        <f t="shared" si="107"/>
        <v>71499.100183824194</v>
      </c>
      <c r="AB1381" s="1">
        <f t="shared" si="108"/>
        <v>7.5560606635482641E-2</v>
      </c>
      <c r="AC1381" s="1" t="b">
        <f t="shared" si="109"/>
        <v>1</v>
      </c>
    </row>
    <row r="1382" spans="1:29" x14ac:dyDescent="0.25">
      <c r="A1382" s="1">
        <v>1397.9190000000001</v>
      </c>
      <c r="B1382">
        <v>2</v>
      </c>
      <c r="D1382" s="2">
        <v>71534.899999999994</v>
      </c>
      <c r="M1382">
        <v>14</v>
      </c>
      <c r="Y1382" s="1">
        <f t="shared" si="105"/>
        <v>1397.9190000000001</v>
      </c>
      <c r="Z1382" s="2">
        <f t="shared" si="106"/>
        <v>71534.899999999994</v>
      </c>
      <c r="AA1382" s="2">
        <f t="shared" si="107"/>
        <v>71534.902952173899</v>
      </c>
      <c r="AB1382" s="1">
        <f t="shared" si="108"/>
        <v>7.5586211701884704E-2</v>
      </c>
      <c r="AC1382" s="1" t="b">
        <f t="shared" si="109"/>
        <v>1</v>
      </c>
    </row>
    <row r="1383" spans="1:29" x14ac:dyDescent="0.25">
      <c r="A1383" s="1">
        <v>1397.77</v>
      </c>
      <c r="B1383">
        <v>4</v>
      </c>
      <c r="D1383" s="2">
        <v>71542.5</v>
      </c>
      <c r="M1383">
        <v>14</v>
      </c>
      <c r="Y1383" s="1">
        <f t="shared" si="105"/>
        <v>1397.77</v>
      </c>
      <c r="Z1383" s="2">
        <f t="shared" si="106"/>
        <v>71542.5</v>
      </c>
      <c r="AA1383" s="2">
        <f t="shared" si="107"/>
        <v>71542.528456040687</v>
      </c>
      <c r="AB1383" s="1">
        <f t="shared" si="108"/>
        <v>7.5591666889416959E-2</v>
      </c>
      <c r="AC1383" s="1" t="b">
        <f t="shared" si="109"/>
        <v>1</v>
      </c>
    </row>
    <row r="1384" spans="1:29" x14ac:dyDescent="0.25">
      <c r="A1384" s="1">
        <v>1397.421</v>
      </c>
      <c r="B1384">
        <v>100</v>
      </c>
      <c r="C1384" t="s">
        <v>123</v>
      </c>
      <c r="D1384" s="2">
        <v>71560.399999999994</v>
      </c>
      <c r="M1384">
        <v>14</v>
      </c>
      <c r="Y1384" s="1">
        <f t="shared" si="105"/>
        <v>1397.421</v>
      </c>
      <c r="Z1384" s="2">
        <f t="shared" si="106"/>
        <v>71560.399999999994</v>
      </c>
      <c r="AA1384" s="2">
        <f t="shared" si="107"/>
        <v>71560.395900734278</v>
      </c>
      <c r="AB1384" s="1">
        <f t="shared" si="108"/>
        <v>7.5604451307349135E-2</v>
      </c>
      <c r="AC1384" s="1" t="b">
        <f t="shared" si="109"/>
        <v>1</v>
      </c>
    </row>
    <row r="1385" spans="1:29" x14ac:dyDescent="0.25">
      <c r="A1385" s="1">
        <v>1397.3440000000001</v>
      </c>
      <c r="B1385">
        <v>20</v>
      </c>
      <c r="D1385" s="2">
        <v>71564.3</v>
      </c>
      <c r="M1385">
        <v>14</v>
      </c>
      <c r="Y1385" s="1">
        <f t="shared" si="105"/>
        <v>1397.3440000000001</v>
      </c>
      <c r="Z1385" s="2">
        <f t="shared" si="106"/>
        <v>71564.3</v>
      </c>
      <c r="AA1385" s="2">
        <f t="shared" si="107"/>
        <v>71564.339203517535</v>
      </c>
      <c r="AB1385" s="1">
        <f t="shared" si="108"/>
        <v>7.5607273228180588E-2</v>
      </c>
      <c r="AC1385" s="1" t="b">
        <f t="shared" si="109"/>
        <v>1</v>
      </c>
    </row>
    <row r="1386" spans="1:29" x14ac:dyDescent="0.25">
      <c r="A1386" s="1">
        <v>1397.2270000000001</v>
      </c>
      <c r="B1386">
        <v>5</v>
      </c>
      <c r="D1386" s="2">
        <v>71570.3</v>
      </c>
      <c r="M1386">
        <v>14</v>
      </c>
      <c r="Y1386" s="1">
        <f t="shared" si="105"/>
        <v>1397.2270000000001</v>
      </c>
      <c r="Z1386" s="2">
        <f t="shared" si="106"/>
        <v>71570.3</v>
      </c>
      <c r="AA1386" s="2">
        <f t="shared" si="107"/>
        <v>71570.331807215291</v>
      </c>
      <c r="AB1386" s="1">
        <f t="shared" si="108"/>
        <v>7.561156197497447E-2</v>
      </c>
      <c r="AC1386" s="1" t="b">
        <f t="shared" si="109"/>
        <v>1</v>
      </c>
    </row>
    <row r="1387" spans="1:29" x14ac:dyDescent="0.25">
      <c r="A1387" s="1">
        <v>1396.8420000000001</v>
      </c>
      <c r="B1387">
        <v>7</v>
      </c>
      <c r="D1387" s="2">
        <v>71590</v>
      </c>
      <c r="M1387">
        <v>14</v>
      </c>
      <c r="Y1387" s="1">
        <f t="shared" si="105"/>
        <v>1396.8420000000001</v>
      </c>
      <c r="Z1387" s="2">
        <f t="shared" si="106"/>
        <v>71590</v>
      </c>
      <c r="AA1387" s="2">
        <f t="shared" si="107"/>
        <v>71590.058145445219</v>
      </c>
      <c r="AB1387" s="1">
        <f t="shared" si="108"/>
        <v>7.5625682126341146E-2</v>
      </c>
      <c r="AC1387" s="1" t="b">
        <f t="shared" si="109"/>
        <v>1</v>
      </c>
    </row>
    <row r="1388" spans="1:29" x14ac:dyDescent="0.25">
      <c r="A1388" s="1">
        <v>1396.444</v>
      </c>
      <c r="B1388">
        <v>50</v>
      </c>
      <c r="D1388" s="2">
        <v>71610.5</v>
      </c>
      <c r="M1388">
        <v>14</v>
      </c>
      <c r="Y1388" s="1">
        <f t="shared" si="105"/>
        <v>1396.444</v>
      </c>
      <c r="Z1388" s="2">
        <f t="shared" si="106"/>
        <v>71610.5</v>
      </c>
      <c r="AA1388" s="2">
        <f t="shared" si="107"/>
        <v>71610.462002056651</v>
      </c>
      <c r="AB1388" s="1">
        <f t="shared" si="108"/>
        <v>7.5640291340740004E-2</v>
      </c>
      <c r="AC1388" s="1" t="b">
        <f t="shared" si="109"/>
        <v>1</v>
      </c>
    </row>
    <row r="1389" spans="1:29" x14ac:dyDescent="0.25">
      <c r="A1389" s="1">
        <v>1396.2190000000001</v>
      </c>
      <c r="B1389">
        <v>20</v>
      </c>
      <c r="D1389" s="2">
        <v>71622</v>
      </c>
      <c r="M1389">
        <v>14</v>
      </c>
      <c r="Y1389" s="1">
        <f t="shared" si="105"/>
        <v>1396.2190000000001</v>
      </c>
      <c r="Z1389" s="2">
        <f t="shared" si="106"/>
        <v>71622</v>
      </c>
      <c r="AA1389" s="2">
        <f t="shared" si="107"/>
        <v>71622.001992524092</v>
      </c>
      <c r="AB1389" s="1">
        <f t="shared" si="108"/>
        <v>7.564855584708563E-2</v>
      </c>
      <c r="AC1389" s="1" t="b">
        <f t="shared" si="109"/>
        <v>1</v>
      </c>
    </row>
    <row r="1390" spans="1:29" x14ac:dyDescent="0.25">
      <c r="A1390" s="1">
        <v>1395.722</v>
      </c>
      <c r="B1390">
        <v>2</v>
      </c>
      <c r="D1390" s="2">
        <v>71647.5</v>
      </c>
      <c r="M1390">
        <v>14</v>
      </c>
      <c r="Y1390" s="1">
        <f t="shared" si="105"/>
        <v>1395.722</v>
      </c>
      <c r="Z1390" s="2">
        <f t="shared" si="106"/>
        <v>71647.5</v>
      </c>
      <c r="AA1390" s="2">
        <f t="shared" si="107"/>
        <v>71647.505735382831</v>
      </c>
      <c r="AB1390" s="1">
        <f t="shared" si="108"/>
        <v>7.5666825390508591E-2</v>
      </c>
      <c r="AC1390" s="1" t="b">
        <f t="shared" si="109"/>
        <v>1</v>
      </c>
    </row>
    <row r="1391" spans="1:29" x14ac:dyDescent="0.25">
      <c r="A1391" s="1">
        <v>1395.6579999999999</v>
      </c>
      <c r="B1391">
        <v>5</v>
      </c>
      <c r="D1391" s="2">
        <v>71650.8</v>
      </c>
      <c r="M1391">
        <v>14</v>
      </c>
      <c r="Y1391" s="1">
        <f t="shared" si="105"/>
        <v>1395.6579999999999</v>
      </c>
      <c r="Z1391" s="2">
        <f t="shared" si="106"/>
        <v>71650.8</v>
      </c>
      <c r="AA1391" s="2">
        <f t="shared" si="107"/>
        <v>71650.791239687664</v>
      </c>
      <c r="AB1391" s="1">
        <f t="shared" si="108"/>
        <v>7.5669179426366515E-2</v>
      </c>
      <c r="AC1391" s="1" t="b">
        <f t="shared" si="109"/>
        <v>1</v>
      </c>
    </row>
    <row r="1392" spans="1:29" x14ac:dyDescent="0.25">
      <c r="A1392" s="1">
        <v>1395.383</v>
      </c>
      <c r="B1392">
        <v>8</v>
      </c>
      <c r="D1392" s="2">
        <v>71664.899999999994</v>
      </c>
      <c r="M1392">
        <v>14</v>
      </c>
      <c r="Y1392" s="1">
        <f t="shared" si="105"/>
        <v>1395.383</v>
      </c>
      <c r="Z1392" s="2">
        <f t="shared" si="106"/>
        <v>71664.899999999994</v>
      </c>
      <c r="AA1392" s="2">
        <f t="shared" si="107"/>
        <v>71664.912070736129</v>
      </c>
      <c r="AB1392" s="1">
        <f t="shared" si="108"/>
        <v>7.5679298110531715E-2</v>
      </c>
      <c r="AC1392" s="1" t="b">
        <f t="shared" si="109"/>
        <v>1</v>
      </c>
    </row>
    <row r="1393" spans="1:29" x14ac:dyDescent="0.25">
      <c r="A1393" s="1">
        <v>1395.316</v>
      </c>
      <c r="B1393">
        <v>3</v>
      </c>
      <c r="D1393" s="2">
        <v>71668.399999999994</v>
      </c>
      <c r="M1393">
        <v>14</v>
      </c>
      <c r="Y1393" s="1">
        <f t="shared" si="105"/>
        <v>1395.316</v>
      </c>
      <c r="Z1393" s="2">
        <f t="shared" si="106"/>
        <v>71668.399999999994</v>
      </c>
      <c r="AA1393" s="2">
        <f t="shared" si="107"/>
        <v>71668.353261913435</v>
      </c>
      <c r="AB1393" s="1">
        <f t="shared" si="108"/>
        <v>7.5681764296372092E-2</v>
      </c>
      <c r="AC1393" s="1" t="b">
        <f t="shared" si="109"/>
        <v>1</v>
      </c>
    </row>
    <row r="1394" spans="1:29" x14ac:dyDescent="0.25">
      <c r="A1394" s="1">
        <v>1395.1959999999999</v>
      </c>
      <c r="B1394">
        <v>4</v>
      </c>
      <c r="C1394" t="s">
        <v>123</v>
      </c>
      <c r="D1394" s="2">
        <v>71674.5</v>
      </c>
      <c r="M1394">
        <v>14</v>
      </c>
      <c r="Y1394" s="1">
        <f t="shared" si="105"/>
        <v>1395.1959999999999</v>
      </c>
      <c r="Z1394" s="2">
        <f t="shared" si="106"/>
        <v>71674.5</v>
      </c>
      <c r="AA1394" s="2">
        <f t="shared" si="107"/>
        <v>71674.517415474242</v>
      </c>
      <c r="AB1394" s="1">
        <f t="shared" si="108"/>
        <v>7.5686182233705601E-2</v>
      </c>
      <c r="AC1394" s="1" t="b">
        <f t="shared" si="109"/>
        <v>1</v>
      </c>
    </row>
    <row r="1395" spans="1:29" x14ac:dyDescent="0.25">
      <c r="A1395" s="1">
        <v>1394.7840000000001</v>
      </c>
      <c r="B1395">
        <v>10</v>
      </c>
      <c r="D1395" s="2">
        <v>71695.7</v>
      </c>
      <c r="E1395">
        <v>45844</v>
      </c>
      <c r="F1395" t="s">
        <v>15</v>
      </c>
      <c r="G1395" t="s">
        <v>29</v>
      </c>
      <c r="H1395">
        <v>117540</v>
      </c>
      <c r="I1395" t="s">
        <v>17</v>
      </c>
      <c r="J1395" t="s">
        <v>29</v>
      </c>
      <c r="K1395">
        <v>45844.65</v>
      </c>
      <c r="L1395">
        <v>117540.5</v>
      </c>
      <c r="M1395">
        <v>14</v>
      </c>
      <c r="Y1395" s="1">
        <f t="shared" si="105"/>
        <v>1394.7840000000001</v>
      </c>
      <c r="Z1395" s="2">
        <f t="shared" si="106"/>
        <v>71695.7</v>
      </c>
      <c r="AA1395" s="2">
        <f t="shared" si="107"/>
        <v>71695.689081606892</v>
      </c>
      <c r="AB1395" s="1">
        <f t="shared" si="108"/>
        <v>7.5701359164432241E-2</v>
      </c>
      <c r="AC1395" s="1" t="b">
        <f t="shared" si="109"/>
        <v>1</v>
      </c>
    </row>
    <row r="1396" spans="1:29" x14ac:dyDescent="0.25">
      <c r="A1396" s="1">
        <v>1394.7180000000001</v>
      </c>
      <c r="B1396">
        <v>20</v>
      </c>
      <c r="C1396" t="s">
        <v>123</v>
      </c>
      <c r="D1396" s="2">
        <v>71699.100000000006</v>
      </c>
      <c r="M1396">
        <v>14</v>
      </c>
      <c r="Y1396" s="1">
        <f t="shared" si="105"/>
        <v>1394.7180000000001</v>
      </c>
      <c r="Z1396" s="2">
        <f t="shared" si="106"/>
        <v>71699.100000000006</v>
      </c>
      <c r="AA1396" s="2">
        <f t="shared" si="107"/>
        <v>71699.081821558182</v>
      </c>
      <c r="AB1396" s="1">
        <f t="shared" si="108"/>
        <v>7.5703791670272483E-2</v>
      </c>
      <c r="AC1396" s="1" t="b">
        <f t="shared" si="109"/>
        <v>1</v>
      </c>
    </row>
    <row r="1397" spans="1:29" x14ac:dyDescent="0.25">
      <c r="A1397" s="1">
        <v>1394.585</v>
      </c>
      <c r="B1397">
        <v>60</v>
      </c>
      <c r="C1397" t="s">
        <v>27</v>
      </c>
      <c r="D1397" s="2">
        <v>71705.899999999994</v>
      </c>
      <c r="E1397">
        <v>20848</v>
      </c>
      <c r="F1397" t="s">
        <v>15</v>
      </c>
      <c r="G1397" t="s">
        <v>28</v>
      </c>
      <c r="H1397">
        <v>92554</v>
      </c>
      <c r="I1397" t="s">
        <v>17</v>
      </c>
      <c r="J1397" t="s">
        <v>28</v>
      </c>
      <c r="K1397">
        <v>20848.39</v>
      </c>
      <c r="L1397">
        <v>92554.8</v>
      </c>
      <c r="M1397">
        <v>14</v>
      </c>
      <c r="Y1397" s="1">
        <f t="shared" si="105"/>
        <v>1394.585</v>
      </c>
      <c r="Z1397" s="2">
        <f t="shared" si="106"/>
        <v>71705.899999999994</v>
      </c>
      <c r="AA1397" s="2">
        <f t="shared" si="107"/>
        <v>71705.919682199368</v>
      </c>
      <c r="AB1397" s="1">
        <f t="shared" si="108"/>
        <v>7.5708694587350134E-2</v>
      </c>
      <c r="AC1397" s="1" t="b">
        <f t="shared" si="109"/>
        <v>1</v>
      </c>
    </row>
    <row r="1398" spans="1:29" x14ac:dyDescent="0.25">
      <c r="A1398" s="1">
        <v>1394.585</v>
      </c>
      <c r="B1398">
        <v>60</v>
      </c>
      <c r="C1398" t="s">
        <v>27</v>
      </c>
      <c r="D1398" s="2">
        <v>71705.899999999994</v>
      </c>
      <c r="E1398">
        <v>23442</v>
      </c>
      <c r="F1398" t="s">
        <v>15</v>
      </c>
      <c r="G1398" t="s">
        <v>23</v>
      </c>
      <c r="H1398">
        <v>95147</v>
      </c>
      <c r="I1398" t="s">
        <v>17</v>
      </c>
      <c r="J1398" t="s">
        <v>16</v>
      </c>
      <c r="K1398">
        <v>23442.25</v>
      </c>
      <c r="L1398">
        <v>95147.9</v>
      </c>
      <c r="M1398">
        <v>14</v>
      </c>
      <c r="Y1398" s="1">
        <f t="shared" si="105"/>
        <v>1394.585</v>
      </c>
      <c r="Z1398" s="2">
        <f t="shared" si="106"/>
        <v>71705.899999999994</v>
      </c>
      <c r="AA1398" s="2">
        <f t="shared" si="107"/>
        <v>71705.919682199368</v>
      </c>
      <c r="AB1398" s="1">
        <f t="shared" si="108"/>
        <v>7.5708694587350134E-2</v>
      </c>
      <c r="AC1398" s="1" t="b">
        <f t="shared" si="109"/>
        <v>1</v>
      </c>
    </row>
    <row r="1399" spans="1:29" x14ac:dyDescent="0.25">
      <c r="A1399" s="1">
        <v>1394.54</v>
      </c>
      <c r="B1399">
        <v>2</v>
      </c>
      <c r="D1399" s="2">
        <v>71708.2</v>
      </c>
      <c r="M1399">
        <v>14</v>
      </c>
      <c r="Y1399" s="1">
        <f t="shared" si="105"/>
        <v>1394.54</v>
      </c>
      <c r="Z1399" s="2">
        <f t="shared" si="106"/>
        <v>71708.2</v>
      </c>
      <c r="AA1399" s="2">
        <f t="shared" si="107"/>
        <v>71708.233539374996</v>
      </c>
      <c r="AB1399" s="1">
        <f t="shared" si="108"/>
        <v>7.5710353786687723E-2</v>
      </c>
      <c r="AC1399" s="1" t="b">
        <f t="shared" si="109"/>
        <v>1</v>
      </c>
    </row>
    <row r="1400" spans="1:29" x14ac:dyDescent="0.25">
      <c r="A1400" s="1">
        <v>1394.4349999999999</v>
      </c>
      <c r="B1400">
        <v>3</v>
      </c>
      <c r="D1400" s="2">
        <v>71713.600000000006</v>
      </c>
      <c r="M1400">
        <v>14</v>
      </c>
      <c r="Y1400" s="1">
        <f t="shared" si="105"/>
        <v>1394.4349999999999</v>
      </c>
      <c r="Z1400" s="2">
        <f t="shared" si="106"/>
        <v>71713.600000000006</v>
      </c>
      <c r="AA1400" s="2">
        <f t="shared" si="107"/>
        <v>71713.633120224316</v>
      </c>
      <c r="AB1400" s="1">
        <f t="shared" si="108"/>
        <v>7.571422587651068E-2</v>
      </c>
      <c r="AC1400" s="1" t="b">
        <f t="shared" si="109"/>
        <v>1</v>
      </c>
    </row>
    <row r="1401" spans="1:29" x14ac:dyDescent="0.25">
      <c r="A1401" s="1">
        <v>1394.3230000000001</v>
      </c>
      <c r="B1401">
        <v>20</v>
      </c>
      <c r="D1401" s="2">
        <v>71719.399999999994</v>
      </c>
      <c r="M1401">
        <v>15</v>
      </c>
      <c r="Y1401" s="1">
        <f t="shared" si="105"/>
        <v>1394.3230000000001</v>
      </c>
      <c r="Z1401" s="2">
        <f t="shared" si="106"/>
        <v>71719.399999999994</v>
      </c>
      <c r="AA1401" s="2">
        <f t="shared" si="107"/>
        <v>71719.393569495733</v>
      </c>
      <c r="AB1401" s="1">
        <f t="shared" si="108"/>
        <v>7.5718357069881129E-2</v>
      </c>
      <c r="AC1401" s="1" t="b">
        <f t="shared" si="109"/>
        <v>1</v>
      </c>
    </row>
    <row r="1402" spans="1:29" x14ac:dyDescent="0.25">
      <c r="A1402" s="1">
        <v>1393.9639999999999</v>
      </c>
      <c r="B1402">
        <v>20</v>
      </c>
      <c r="D1402" s="2">
        <v>71737.899999999994</v>
      </c>
      <c r="M1402">
        <v>15</v>
      </c>
      <c r="Y1402" s="1">
        <f t="shared" si="105"/>
        <v>1393.9639999999999</v>
      </c>
      <c r="Z1402" s="2">
        <f t="shared" si="106"/>
        <v>71737.899999999994</v>
      </c>
      <c r="AA1402" s="2">
        <f t="shared" si="107"/>
        <v>71737.864105529268</v>
      </c>
      <c r="AB1402" s="1">
        <f t="shared" si="108"/>
        <v>7.573160573211693E-2</v>
      </c>
      <c r="AC1402" s="1" t="b">
        <f t="shared" si="109"/>
        <v>1</v>
      </c>
    </row>
    <row r="1403" spans="1:29" x14ac:dyDescent="0.25">
      <c r="A1403" s="1">
        <v>1393.905</v>
      </c>
      <c r="B1403">
        <v>4</v>
      </c>
      <c r="D1403" s="2">
        <v>71740.899999999994</v>
      </c>
      <c r="M1403">
        <v>15</v>
      </c>
      <c r="Y1403" s="1">
        <f t="shared" si="105"/>
        <v>1393.905</v>
      </c>
      <c r="Z1403" s="2">
        <f t="shared" si="106"/>
        <v>71740.899999999994</v>
      </c>
      <c r="AA1403" s="2">
        <f t="shared" si="107"/>
        <v>71740.900563524774</v>
      </c>
      <c r="AB1403" s="1">
        <f t="shared" si="108"/>
        <v>7.5733784068327759E-2</v>
      </c>
      <c r="AC1403" s="1" t="b">
        <f t="shared" si="109"/>
        <v>1</v>
      </c>
    </row>
    <row r="1404" spans="1:29" x14ac:dyDescent="0.25">
      <c r="A1404" s="1">
        <v>1393.5260000000001</v>
      </c>
      <c r="B1404">
        <v>2</v>
      </c>
      <c r="D1404" s="2">
        <v>71760.399999999994</v>
      </c>
      <c r="M1404">
        <v>15</v>
      </c>
      <c r="Y1404" s="1">
        <f t="shared" si="105"/>
        <v>1393.5260000000001</v>
      </c>
      <c r="Z1404" s="2">
        <f t="shared" si="106"/>
        <v>71760.399999999994</v>
      </c>
      <c r="AA1404" s="2">
        <f t="shared" si="107"/>
        <v>71760.412076990309</v>
      </c>
      <c r="AB1404" s="1">
        <f t="shared" si="108"/>
        <v>7.5747783707297289E-2</v>
      </c>
      <c r="AC1404" s="1" t="b">
        <f t="shared" si="109"/>
        <v>1</v>
      </c>
    </row>
    <row r="1405" spans="1:29" x14ac:dyDescent="0.25">
      <c r="A1405" s="1">
        <v>1393.452</v>
      </c>
      <c r="B1405">
        <v>100</v>
      </c>
      <c r="D1405" s="2">
        <v>71764.2</v>
      </c>
      <c r="M1405">
        <v>15</v>
      </c>
      <c r="Y1405" s="1">
        <f t="shared" si="105"/>
        <v>1393.452</v>
      </c>
      <c r="Z1405" s="2">
        <f t="shared" si="106"/>
        <v>71764.2</v>
      </c>
      <c r="AA1405" s="2">
        <f t="shared" si="107"/>
        <v>71764.222951346732</v>
      </c>
      <c r="AB1405" s="1">
        <f t="shared" si="108"/>
        <v>7.5750518479053008E-2</v>
      </c>
      <c r="AC1405" s="1" t="b">
        <f t="shared" si="109"/>
        <v>1</v>
      </c>
    </row>
    <row r="1406" spans="1:29" x14ac:dyDescent="0.25">
      <c r="A1406" s="1">
        <v>1392.825</v>
      </c>
      <c r="B1406">
        <v>100</v>
      </c>
      <c r="D1406" s="2">
        <v>71796.5</v>
      </c>
      <c r="E1406">
        <v>25033</v>
      </c>
      <c r="F1406" t="s">
        <v>15</v>
      </c>
      <c r="G1406" t="s">
        <v>16</v>
      </c>
      <c r="H1406">
        <v>96830</v>
      </c>
      <c r="I1406" t="s">
        <v>17</v>
      </c>
      <c r="J1406" t="s">
        <v>18</v>
      </c>
      <c r="K1406">
        <v>25033.91</v>
      </c>
      <c r="L1406">
        <v>96830.5</v>
      </c>
      <c r="M1406">
        <v>15</v>
      </c>
      <c r="Y1406" s="1">
        <f t="shared" si="105"/>
        <v>1392.825</v>
      </c>
      <c r="Z1406" s="2">
        <f t="shared" si="106"/>
        <v>71796.5</v>
      </c>
      <c r="AA1406" s="2">
        <f t="shared" si="107"/>
        <v>71796.528637840354</v>
      </c>
      <c r="AB1406" s="1">
        <f t="shared" si="108"/>
        <v>7.5773707622221159E-2</v>
      </c>
      <c r="AC1406" s="1" t="b">
        <f t="shared" si="109"/>
        <v>1</v>
      </c>
    </row>
    <row r="1407" spans="1:29" x14ac:dyDescent="0.25">
      <c r="A1407" s="1">
        <v>1392.6510000000001</v>
      </c>
      <c r="B1407">
        <v>3</v>
      </c>
      <c r="D1407" s="2">
        <v>71805.5</v>
      </c>
      <c r="M1407">
        <v>15</v>
      </c>
      <c r="Y1407" s="1">
        <f t="shared" si="105"/>
        <v>1392.6510000000001</v>
      </c>
      <c r="Z1407" s="2">
        <f t="shared" si="106"/>
        <v>71805.5</v>
      </c>
      <c r="AA1407" s="2">
        <f t="shared" si="107"/>
        <v>71805.499008725077</v>
      </c>
      <c r="AB1407" s="1">
        <f t="shared" si="108"/>
        <v>7.5780148439460099E-2</v>
      </c>
      <c r="AC1407" s="1" t="b">
        <f t="shared" si="109"/>
        <v>1</v>
      </c>
    </row>
    <row r="1408" spans="1:29" x14ac:dyDescent="0.25">
      <c r="A1408" s="1">
        <v>1392.367</v>
      </c>
      <c r="B1408">
        <v>1</v>
      </c>
      <c r="D1408" s="2">
        <v>71820.100000000006</v>
      </c>
      <c r="M1408">
        <v>15</v>
      </c>
      <c r="Y1408" s="1">
        <f t="shared" si="105"/>
        <v>1392.367</v>
      </c>
      <c r="Z1408" s="2">
        <f t="shared" si="106"/>
        <v>71820.100000000006</v>
      </c>
      <c r="AA1408" s="2">
        <f t="shared" si="107"/>
        <v>71820.145119785229</v>
      </c>
      <c r="AB1408" s="1">
        <f t="shared" si="108"/>
        <v>7.5790666225135056E-2</v>
      </c>
      <c r="AC1408" s="1" t="b">
        <f t="shared" si="109"/>
        <v>1</v>
      </c>
    </row>
    <row r="1409" spans="1:29" x14ac:dyDescent="0.25">
      <c r="A1409" s="1">
        <v>1390.7619999999999</v>
      </c>
      <c r="B1409">
        <v>3</v>
      </c>
      <c r="D1409" s="2">
        <v>71903</v>
      </c>
      <c r="M1409">
        <v>15</v>
      </c>
      <c r="Y1409" s="1">
        <f t="shared" si="105"/>
        <v>1390.7619999999999</v>
      </c>
      <c r="Z1409" s="2">
        <f t="shared" si="106"/>
        <v>71903</v>
      </c>
      <c r="AA1409" s="2">
        <f t="shared" si="107"/>
        <v>71903.028699374874</v>
      </c>
      <c r="AB1409" s="1">
        <f t="shared" si="108"/>
        <v>7.5850227680715643E-2</v>
      </c>
      <c r="AC1409" s="1" t="b">
        <f t="shared" si="109"/>
        <v>1</v>
      </c>
    </row>
    <row r="1410" spans="1:29" x14ac:dyDescent="0.25">
      <c r="A1410" s="1">
        <v>1390.367</v>
      </c>
      <c r="B1410">
        <v>100</v>
      </c>
      <c r="D1410" s="2">
        <v>71923.399999999994</v>
      </c>
      <c r="M1410">
        <v>15</v>
      </c>
      <c r="Y1410" s="1">
        <f t="shared" si="105"/>
        <v>1390.367</v>
      </c>
      <c r="Z1410" s="2">
        <f t="shared" si="106"/>
        <v>71923.399999999994</v>
      </c>
      <c r="AA1410" s="2">
        <f t="shared" si="107"/>
        <v>71923.456180993948</v>
      </c>
      <c r="AB1410" s="1">
        <f t="shared" si="108"/>
        <v>7.586491774509678E-2</v>
      </c>
      <c r="AC1410" s="1" t="b">
        <f t="shared" si="109"/>
        <v>1</v>
      </c>
    </row>
    <row r="1411" spans="1:29" x14ac:dyDescent="0.25">
      <c r="A1411" s="1">
        <v>1390.3009999999999</v>
      </c>
      <c r="B1411">
        <v>2</v>
      </c>
      <c r="D1411" s="2">
        <v>71926.899999999994</v>
      </c>
      <c r="M1411">
        <v>15</v>
      </c>
      <c r="Y1411" s="1">
        <f t="shared" ref="Y1411:Y1474" si="110">ROUND($A1411,3)+0</f>
        <v>1390.3009999999999</v>
      </c>
      <c r="Z1411" s="2">
        <f t="shared" ref="Z1411:Z1474" si="111">ROUND($D1411,1)+0</f>
        <v>71926.899999999994</v>
      </c>
      <c r="AA1411" s="2">
        <f t="shared" ref="AA1411:AA1474" si="112">100000000/Y1411</f>
        <v>71926.87051221283</v>
      </c>
      <c r="AB1411" s="1">
        <f t="shared" ref="AB1411:AB1474" si="113">0.0005/$Y1411*AA1411+0.05</f>
        <v>7.5867373508403169E-2</v>
      </c>
      <c r="AC1411" s="1" t="b">
        <f t="shared" ref="AC1411:AC1474" si="114">ABS(Z1411-AA1411)&lt;AB1411</f>
        <v>1</v>
      </c>
    </row>
    <row r="1412" spans="1:29" x14ac:dyDescent="0.25">
      <c r="A1412" s="1">
        <v>1390.0889999999999</v>
      </c>
      <c r="B1412">
        <v>5</v>
      </c>
      <c r="D1412" s="2">
        <v>71937.8</v>
      </c>
      <c r="M1412">
        <v>15</v>
      </c>
      <c r="Y1412" s="1">
        <f t="shared" si="110"/>
        <v>1390.0889999999999</v>
      </c>
      <c r="Z1412" s="2">
        <f t="shared" si="111"/>
        <v>71937.8</v>
      </c>
      <c r="AA1412" s="2">
        <f t="shared" si="112"/>
        <v>71937.839951254922</v>
      </c>
      <c r="AB1412" s="1">
        <f t="shared" si="113"/>
        <v>7.5875264084261845E-2</v>
      </c>
      <c r="AC1412" s="1" t="b">
        <f t="shared" si="114"/>
        <v>1</v>
      </c>
    </row>
    <row r="1413" spans="1:29" x14ac:dyDescent="0.25">
      <c r="A1413" s="1">
        <v>1389.7860000000001</v>
      </c>
      <c r="B1413">
        <v>7</v>
      </c>
      <c r="D1413" s="2">
        <v>71953.5</v>
      </c>
      <c r="M1413">
        <v>15</v>
      </c>
      <c r="Y1413" s="1">
        <f t="shared" si="110"/>
        <v>1389.7860000000001</v>
      </c>
      <c r="Z1413" s="2">
        <f t="shared" si="111"/>
        <v>71953.5</v>
      </c>
      <c r="AA1413" s="2">
        <f t="shared" si="112"/>
        <v>71953.52377992007</v>
      </c>
      <c r="AB1413" s="1">
        <f t="shared" si="113"/>
        <v>7.5886547921737615E-2</v>
      </c>
      <c r="AC1413" s="1" t="b">
        <f t="shared" si="114"/>
        <v>1</v>
      </c>
    </row>
    <row r="1414" spans="1:29" x14ac:dyDescent="0.25">
      <c r="A1414" s="1">
        <v>1389.588</v>
      </c>
      <c r="B1414">
        <v>100</v>
      </c>
      <c r="C1414" t="s">
        <v>123</v>
      </c>
      <c r="D1414" s="2">
        <v>71963.8</v>
      </c>
      <c r="M1414">
        <v>15</v>
      </c>
      <c r="Y1414" s="1">
        <f t="shared" si="110"/>
        <v>1389.588</v>
      </c>
      <c r="Z1414" s="2">
        <f t="shared" si="111"/>
        <v>71963.8</v>
      </c>
      <c r="AA1414" s="2">
        <f t="shared" si="112"/>
        <v>71963.776313554816</v>
      </c>
      <c r="AB1414" s="1">
        <f t="shared" si="113"/>
        <v>7.5893925506536758E-2</v>
      </c>
      <c r="AC1414" s="1" t="b">
        <f t="shared" si="114"/>
        <v>1</v>
      </c>
    </row>
    <row r="1415" spans="1:29" x14ac:dyDescent="0.25">
      <c r="A1415" s="1">
        <v>1389.24</v>
      </c>
      <c r="B1415">
        <v>7</v>
      </c>
      <c r="C1415" t="s">
        <v>125</v>
      </c>
      <c r="D1415" s="2">
        <v>71981.8</v>
      </c>
      <c r="M1415">
        <v>15</v>
      </c>
      <c r="Y1415" s="1">
        <f t="shared" si="110"/>
        <v>1389.24</v>
      </c>
      <c r="Z1415" s="2">
        <f t="shared" si="111"/>
        <v>71981.8</v>
      </c>
      <c r="AA1415" s="2">
        <f t="shared" si="112"/>
        <v>71981.803000201544</v>
      </c>
      <c r="AB1415" s="1">
        <f t="shared" si="113"/>
        <v>7.5906899815799123E-2</v>
      </c>
      <c r="AC1415" s="1" t="b">
        <f t="shared" si="114"/>
        <v>1</v>
      </c>
    </row>
    <row r="1416" spans="1:29" x14ac:dyDescent="0.25">
      <c r="A1416" s="1">
        <v>1388.403</v>
      </c>
      <c r="B1416">
        <v>2</v>
      </c>
      <c r="D1416" s="2">
        <v>72025.2</v>
      </c>
      <c r="M1416">
        <v>15</v>
      </c>
      <c r="Y1416" s="1">
        <f t="shared" si="110"/>
        <v>1388.403</v>
      </c>
      <c r="Z1416" s="2">
        <f t="shared" si="111"/>
        <v>72025.2</v>
      </c>
      <c r="AA1416" s="2">
        <f t="shared" si="112"/>
        <v>72025.197295021688</v>
      </c>
      <c r="AB1416" s="1">
        <f t="shared" si="113"/>
        <v>7.5938145226933998E-2</v>
      </c>
      <c r="AC1416" s="1" t="b">
        <f t="shared" si="114"/>
        <v>1</v>
      </c>
    </row>
    <row r="1417" spans="1:29" x14ac:dyDescent="0.25">
      <c r="A1417" s="1">
        <v>1388.0730000000001</v>
      </c>
      <c r="B1417">
        <v>1</v>
      </c>
      <c r="D1417" s="2">
        <v>72042.3</v>
      </c>
      <c r="E1417">
        <v>24788</v>
      </c>
      <c r="F1417" t="s">
        <v>15</v>
      </c>
      <c r="G1417" t="s">
        <v>16</v>
      </c>
      <c r="H1417">
        <v>96830</v>
      </c>
      <c r="I1417" t="s">
        <v>17</v>
      </c>
      <c r="J1417" t="s">
        <v>18</v>
      </c>
      <c r="K1417">
        <v>24788.02</v>
      </c>
      <c r="L1417">
        <v>96830.5</v>
      </c>
      <c r="M1417">
        <v>15</v>
      </c>
      <c r="Y1417" s="1">
        <f t="shared" si="110"/>
        <v>1388.0730000000001</v>
      </c>
      <c r="Z1417" s="2">
        <f t="shared" si="111"/>
        <v>72042.3</v>
      </c>
      <c r="AA1417" s="2">
        <f t="shared" si="112"/>
        <v>72042.32054077847</v>
      </c>
      <c r="AB1417" s="1">
        <f t="shared" si="113"/>
        <v>7.5950479744501365E-2</v>
      </c>
      <c r="AC1417" s="1" t="b">
        <f t="shared" si="114"/>
        <v>1</v>
      </c>
    </row>
    <row r="1418" spans="1:29" x14ac:dyDescent="0.25">
      <c r="A1418" s="1">
        <v>1388.0039999999999</v>
      </c>
      <c r="B1418">
        <v>1</v>
      </c>
      <c r="D1418" s="2">
        <v>72045.899999999994</v>
      </c>
      <c r="M1418">
        <v>15</v>
      </c>
      <c r="Y1418" s="1">
        <f t="shared" si="110"/>
        <v>1388.0039999999999</v>
      </c>
      <c r="Z1418" s="2">
        <f t="shared" si="111"/>
        <v>72045.899999999994</v>
      </c>
      <c r="AA1418" s="2">
        <f t="shared" si="112"/>
        <v>72045.901885008978</v>
      </c>
      <c r="AB1418" s="1">
        <f t="shared" si="113"/>
        <v>7.5953059892121699E-2</v>
      </c>
      <c r="AC1418" s="1" t="b">
        <f t="shared" si="114"/>
        <v>1</v>
      </c>
    </row>
    <row r="1419" spans="1:29" x14ac:dyDescent="0.25">
      <c r="A1419" s="1">
        <v>1387.7750000000001</v>
      </c>
      <c r="B1419">
        <v>40</v>
      </c>
      <c r="D1419" s="2">
        <v>72057.8</v>
      </c>
      <c r="E1419">
        <v>21238</v>
      </c>
      <c r="F1419" t="s">
        <v>15</v>
      </c>
      <c r="G1419" t="s">
        <v>50</v>
      </c>
      <c r="H1419">
        <v>93296</v>
      </c>
      <c r="I1419" t="s">
        <v>17</v>
      </c>
      <c r="J1419" t="s">
        <v>23</v>
      </c>
      <c r="K1419">
        <v>21238.78</v>
      </c>
      <c r="L1419">
        <v>93296.5</v>
      </c>
      <c r="M1419">
        <v>15</v>
      </c>
      <c r="Y1419" s="1">
        <f t="shared" si="110"/>
        <v>1387.7750000000001</v>
      </c>
      <c r="Z1419" s="2">
        <f t="shared" si="111"/>
        <v>72057.8</v>
      </c>
      <c r="AA1419" s="2">
        <f t="shared" si="112"/>
        <v>72057.790347858972</v>
      </c>
      <c r="AB1419" s="1">
        <f t="shared" si="113"/>
        <v>7.5961625749079997E-2</v>
      </c>
      <c r="AC1419" s="1" t="b">
        <f t="shared" si="114"/>
        <v>1</v>
      </c>
    </row>
    <row r="1420" spans="1:29" x14ac:dyDescent="0.25">
      <c r="A1420" s="1">
        <v>1387.268</v>
      </c>
      <c r="B1420">
        <v>4</v>
      </c>
      <c r="D1420" s="2">
        <v>72084.100000000006</v>
      </c>
      <c r="E1420">
        <v>16135</v>
      </c>
      <c r="F1420" t="s">
        <v>15</v>
      </c>
      <c r="G1420" t="s">
        <v>18</v>
      </c>
      <c r="H1420">
        <v>88220</v>
      </c>
      <c r="I1420" t="s">
        <v>17</v>
      </c>
      <c r="J1420" t="s">
        <v>16</v>
      </c>
      <c r="K1420">
        <v>16135.97</v>
      </c>
      <c r="L1420">
        <v>88220.2</v>
      </c>
      <c r="M1420">
        <v>15</v>
      </c>
      <c r="Y1420" s="1">
        <f t="shared" si="110"/>
        <v>1387.268</v>
      </c>
      <c r="Z1420" s="2">
        <f t="shared" si="111"/>
        <v>72084.100000000006</v>
      </c>
      <c r="AA1420" s="2">
        <f t="shared" si="112"/>
        <v>72084.125057306883</v>
      </c>
      <c r="AB1420" s="1">
        <f t="shared" si="113"/>
        <v>7.5980605426387293E-2</v>
      </c>
      <c r="AC1420" s="1" t="b">
        <f t="shared" si="114"/>
        <v>1</v>
      </c>
    </row>
    <row r="1421" spans="1:29" x14ac:dyDescent="0.25">
      <c r="A1421" s="1">
        <v>1387.136</v>
      </c>
      <c r="B1421">
        <v>2</v>
      </c>
      <c r="D1421" s="2">
        <v>72091</v>
      </c>
      <c r="M1421">
        <v>15</v>
      </c>
      <c r="Y1421" s="1">
        <f t="shared" si="110"/>
        <v>1387.136</v>
      </c>
      <c r="Z1421" s="2">
        <f t="shared" si="111"/>
        <v>72091</v>
      </c>
      <c r="AA1421" s="2">
        <f t="shared" si="112"/>
        <v>72090.984589831132</v>
      </c>
      <c r="AB1421" s="1">
        <f t="shared" si="113"/>
        <v>7.5985550295656346E-2</v>
      </c>
      <c r="AC1421" s="1" t="b">
        <f t="shared" si="114"/>
        <v>1</v>
      </c>
    </row>
    <row r="1422" spans="1:29" x14ac:dyDescent="0.25">
      <c r="A1422" s="1">
        <v>1386.163</v>
      </c>
      <c r="B1422">
        <v>3</v>
      </c>
      <c r="D1422" s="2">
        <v>72141.600000000006</v>
      </c>
      <c r="E1422">
        <v>44903</v>
      </c>
      <c r="F1422" t="s">
        <v>15</v>
      </c>
      <c r="G1422" t="s">
        <v>28</v>
      </c>
      <c r="H1422">
        <v>117044</v>
      </c>
      <c r="I1422" t="s">
        <v>17</v>
      </c>
      <c r="J1422" t="s">
        <v>18</v>
      </c>
      <c r="K1422">
        <v>44903.42</v>
      </c>
      <c r="L1422">
        <v>117044.6</v>
      </c>
      <c r="M1422">
        <v>15</v>
      </c>
      <c r="Y1422" s="1">
        <f t="shared" si="110"/>
        <v>1386.163</v>
      </c>
      <c r="Z1422" s="2">
        <f t="shared" si="111"/>
        <v>72141.600000000006</v>
      </c>
      <c r="AA1422" s="2">
        <f t="shared" si="112"/>
        <v>72141.587966205989</v>
      </c>
      <c r="AB1422" s="1">
        <f t="shared" si="113"/>
        <v>7.6022043571429193E-2</v>
      </c>
      <c r="AC1422" s="1" t="b">
        <f t="shared" si="114"/>
        <v>1</v>
      </c>
    </row>
    <row r="1423" spans="1:29" x14ac:dyDescent="0.25">
      <c r="A1423" s="1">
        <v>1385.4590000000001</v>
      </c>
      <c r="B1423">
        <v>5</v>
      </c>
      <c r="C1423" t="s">
        <v>123</v>
      </c>
      <c r="D1423" s="2">
        <v>72178.2</v>
      </c>
      <c r="M1423">
        <v>15</v>
      </c>
      <c r="Y1423" s="1">
        <f t="shared" si="110"/>
        <v>1385.4590000000001</v>
      </c>
      <c r="Z1423" s="2">
        <f t="shared" si="111"/>
        <v>72178.2</v>
      </c>
      <c r="AA1423" s="2">
        <f t="shared" si="112"/>
        <v>72178.245621126276</v>
      </c>
      <c r="AB1423" s="1">
        <f t="shared" si="113"/>
        <v>7.604849570471818E-2</v>
      </c>
      <c r="AC1423" s="1" t="b">
        <f t="shared" si="114"/>
        <v>1</v>
      </c>
    </row>
    <row r="1424" spans="1:29" x14ac:dyDescent="0.25">
      <c r="A1424" s="1">
        <v>1384.6690000000001</v>
      </c>
      <c r="B1424">
        <v>3</v>
      </c>
      <c r="D1424" s="2">
        <v>72219.399999999994</v>
      </c>
      <c r="M1424">
        <v>15</v>
      </c>
      <c r="Y1424" s="1">
        <f t="shared" si="110"/>
        <v>1384.6690000000001</v>
      </c>
      <c r="Z1424" s="2">
        <f t="shared" si="111"/>
        <v>72219.399999999994</v>
      </c>
      <c r="AA1424" s="2">
        <f t="shared" si="112"/>
        <v>72219.425725570516</v>
      </c>
      <c r="AB1424" s="1">
        <f t="shared" si="113"/>
        <v>7.6078227260655981E-2</v>
      </c>
      <c r="AC1424" s="1" t="b">
        <f t="shared" si="114"/>
        <v>1</v>
      </c>
    </row>
    <row r="1425" spans="1:29" x14ac:dyDescent="0.25">
      <c r="A1425" s="1">
        <v>1383.796</v>
      </c>
      <c r="B1425">
        <v>10</v>
      </c>
      <c r="D1425" s="2">
        <v>72265</v>
      </c>
      <c r="M1425">
        <v>15</v>
      </c>
      <c r="Y1425" s="1">
        <f t="shared" si="110"/>
        <v>1383.796</v>
      </c>
      <c r="Z1425" s="2">
        <f t="shared" si="111"/>
        <v>72265</v>
      </c>
      <c r="AA1425" s="2">
        <f t="shared" si="112"/>
        <v>72264.987035661325</v>
      </c>
      <c r="AB1425" s="1">
        <f t="shared" si="113"/>
        <v>7.6111141756321499E-2</v>
      </c>
      <c r="AC1425" s="1" t="b">
        <f t="shared" si="114"/>
        <v>1</v>
      </c>
    </row>
    <row r="1426" spans="1:29" x14ac:dyDescent="0.25">
      <c r="A1426" s="1">
        <v>1383.6559999999999</v>
      </c>
      <c r="B1426">
        <v>300</v>
      </c>
      <c r="C1426" t="s">
        <v>123</v>
      </c>
      <c r="D1426" s="2">
        <v>72272.3</v>
      </c>
      <c r="M1426">
        <v>15</v>
      </c>
      <c r="Y1426" s="1">
        <f t="shared" si="110"/>
        <v>1383.6559999999999</v>
      </c>
      <c r="Z1426" s="2">
        <f t="shared" si="111"/>
        <v>72272.3</v>
      </c>
      <c r="AA1426" s="2">
        <f t="shared" si="112"/>
        <v>72272.298895101092</v>
      </c>
      <c r="AB1426" s="1">
        <f t="shared" si="113"/>
        <v>7.6116425937914151E-2</v>
      </c>
      <c r="AC1426" s="1" t="b">
        <f t="shared" si="114"/>
        <v>1</v>
      </c>
    </row>
    <row r="1427" spans="1:29" x14ac:dyDescent="0.25">
      <c r="A1427" s="1">
        <v>1383.6079999999999</v>
      </c>
      <c r="B1427">
        <v>2</v>
      </c>
      <c r="D1427" s="2">
        <v>72274.8</v>
      </c>
      <c r="E1427">
        <v>45805</v>
      </c>
      <c r="F1427" t="s">
        <v>15</v>
      </c>
      <c r="G1427" t="s">
        <v>16</v>
      </c>
      <c r="H1427">
        <v>118081</v>
      </c>
      <c r="I1427" t="s">
        <v>17</v>
      </c>
      <c r="J1427" t="s">
        <v>16</v>
      </c>
      <c r="K1427">
        <v>45805.95</v>
      </c>
      <c r="L1427">
        <v>118081.1</v>
      </c>
      <c r="M1427">
        <v>15</v>
      </c>
      <c r="Y1427" s="1">
        <f t="shared" si="110"/>
        <v>1383.6079999999999</v>
      </c>
      <c r="Z1427" s="2">
        <f t="shared" si="111"/>
        <v>72274.8</v>
      </c>
      <c r="AA1427" s="2">
        <f t="shared" si="112"/>
        <v>72274.806158969877</v>
      </c>
      <c r="AB1427" s="1">
        <f t="shared" si="113"/>
        <v>7.6118238026583351E-2</v>
      </c>
      <c r="AC1427" s="1" t="b">
        <f t="shared" si="114"/>
        <v>1</v>
      </c>
    </row>
    <row r="1428" spans="1:29" x14ac:dyDescent="0.25">
      <c r="A1428" s="1">
        <v>1382.3510000000001</v>
      </c>
      <c r="B1428">
        <v>2</v>
      </c>
      <c r="D1428" s="2">
        <v>72340.5</v>
      </c>
      <c r="M1428">
        <v>15</v>
      </c>
      <c r="Y1428" s="1">
        <f t="shared" si="110"/>
        <v>1382.3510000000001</v>
      </c>
      <c r="Z1428" s="2">
        <f t="shared" si="111"/>
        <v>72340.5</v>
      </c>
      <c r="AA1428" s="2">
        <f t="shared" si="112"/>
        <v>72340.527116484882</v>
      </c>
      <c r="AB1428" s="1">
        <f t="shared" si="113"/>
        <v>7.6165759317454423E-2</v>
      </c>
      <c r="AC1428" s="1" t="b">
        <f t="shared" si="114"/>
        <v>1</v>
      </c>
    </row>
    <row r="1429" spans="1:29" x14ac:dyDescent="0.25">
      <c r="A1429" s="1">
        <v>1382.193</v>
      </c>
      <c r="B1429">
        <v>2</v>
      </c>
      <c r="D1429" s="2">
        <v>72348.800000000003</v>
      </c>
      <c r="M1429">
        <v>15</v>
      </c>
      <c r="Y1429" s="1">
        <f t="shared" si="110"/>
        <v>1382.193</v>
      </c>
      <c r="Z1429" s="2">
        <f t="shared" si="111"/>
        <v>72348.800000000003</v>
      </c>
      <c r="AA1429" s="2">
        <f t="shared" si="112"/>
        <v>72348.796441596802</v>
      </c>
      <c r="AB1429" s="1">
        <f t="shared" si="113"/>
        <v>7.6171741732738052E-2</v>
      </c>
      <c r="AC1429" s="1" t="b">
        <f t="shared" si="114"/>
        <v>1</v>
      </c>
    </row>
    <row r="1430" spans="1:29" x14ac:dyDescent="0.25">
      <c r="A1430" s="1">
        <v>1382.0450000000001</v>
      </c>
      <c r="B1430">
        <v>1</v>
      </c>
      <c r="D1430" s="2">
        <v>72356.5</v>
      </c>
      <c r="E1430">
        <v>45844</v>
      </c>
      <c r="F1430" t="s">
        <v>15</v>
      </c>
      <c r="G1430" t="s">
        <v>29</v>
      </c>
      <c r="H1430">
        <v>118201</v>
      </c>
      <c r="I1430" t="s">
        <v>17</v>
      </c>
      <c r="J1430" t="s">
        <v>29</v>
      </c>
      <c r="K1430">
        <v>45844.65</v>
      </c>
      <c r="L1430">
        <v>118201.4</v>
      </c>
      <c r="M1430">
        <v>15</v>
      </c>
      <c r="Y1430" s="1">
        <f t="shared" si="110"/>
        <v>1382.0450000000001</v>
      </c>
      <c r="Z1430" s="2">
        <f t="shared" si="111"/>
        <v>72356.5</v>
      </c>
      <c r="AA1430" s="2">
        <f t="shared" si="112"/>
        <v>72356.544106740374</v>
      </c>
      <c r="AB1430" s="1">
        <f t="shared" si="113"/>
        <v>7.6177347375353324E-2</v>
      </c>
      <c r="AC1430" s="1" t="b">
        <f t="shared" si="114"/>
        <v>1</v>
      </c>
    </row>
    <row r="1431" spans="1:29" x14ac:dyDescent="0.25">
      <c r="A1431" s="1">
        <v>1381.886</v>
      </c>
      <c r="B1431">
        <v>2</v>
      </c>
      <c r="D1431" s="2">
        <v>72364.899999999994</v>
      </c>
      <c r="E1431">
        <v>44679</v>
      </c>
      <c r="F1431" t="s">
        <v>15</v>
      </c>
      <c r="G1431" t="s">
        <v>18</v>
      </c>
      <c r="H1431">
        <v>117044</v>
      </c>
      <c r="I1431" t="s">
        <v>17</v>
      </c>
      <c r="J1431" t="s">
        <v>18</v>
      </c>
      <c r="K1431">
        <v>44679.98</v>
      </c>
      <c r="L1431">
        <v>117044.6</v>
      </c>
      <c r="M1431">
        <v>15</v>
      </c>
      <c r="Y1431" s="1">
        <f t="shared" si="110"/>
        <v>1381.886</v>
      </c>
      <c r="Z1431" s="2">
        <f t="shared" si="111"/>
        <v>72364.899999999994</v>
      </c>
      <c r="AA1431" s="2">
        <f t="shared" si="112"/>
        <v>72364.869461011986</v>
      </c>
      <c r="AB1431" s="1">
        <f t="shared" si="113"/>
        <v>7.6183371660546534E-2</v>
      </c>
      <c r="AC1431" s="1" t="b">
        <f t="shared" si="114"/>
        <v>1</v>
      </c>
    </row>
    <row r="1432" spans="1:29" x14ac:dyDescent="0.25">
      <c r="A1432" s="1">
        <v>1381.816</v>
      </c>
      <c r="B1432">
        <v>4</v>
      </c>
      <c r="D1432" s="2">
        <v>72368.5</v>
      </c>
      <c r="M1432">
        <v>15</v>
      </c>
      <c r="Y1432" s="1">
        <f t="shared" si="110"/>
        <v>1381.816</v>
      </c>
      <c r="Z1432" s="2">
        <f t="shared" si="111"/>
        <v>72368.5</v>
      </c>
      <c r="AA1432" s="2">
        <f t="shared" si="112"/>
        <v>72368.535318739974</v>
      </c>
      <c r="AB1432" s="1">
        <f t="shared" si="113"/>
        <v>7.6186024520898579E-2</v>
      </c>
      <c r="AC1432" s="1" t="b">
        <f t="shared" si="114"/>
        <v>1</v>
      </c>
    </row>
    <row r="1433" spans="1:29" x14ac:dyDescent="0.25">
      <c r="A1433" s="1">
        <v>1381.4459999999999</v>
      </c>
      <c r="B1433">
        <v>100</v>
      </c>
      <c r="D1433" s="2">
        <v>72387.899999999994</v>
      </c>
      <c r="E1433">
        <v>18241</v>
      </c>
      <c r="F1433" t="s">
        <v>15</v>
      </c>
      <c r="G1433" t="s">
        <v>23</v>
      </c>
      <c r="H1433">
        <v>90629</v>
      </c>
      <c r="I1433" t="s">
        <v>17</v>
      </c>
      <c r="J1433" t="s">
        <v>16</v>
      </c>
      <c r="K1433">
        <v>18241.54</v>
      </c>
      <c r="L1433">
        <v>90629.2</v>
      </c>
      <c r="M1433">
        <v>15</v>
      </c>
      <c r="Y1433" s="1">
        <f t="shared" si="110"/>
        <v>1381.4459999999999</v>
      </c>
      <c r="Z1433" s="2">
        <f t="shared" si="111"/>
        <v>72387.899999999994</v>
      </c>
      <c r="AA1433" s="2">
        <f t="shared" si="112"/>
        <v>72387.918166906282</v>
      </c>
      <c r="AB1433" s="1">
        <f t="shared" si="113"/>
        <v>7.6200053482693597E-2</v>
      </c>
      <c r="AC1433" s="1" t="b">
        <f t="shared" si="114"/>
        <v>1</v>
      </c>
    </row>
    <row r="1434" spans="1:29" x14ac:dyDescent="0.25">
      <c r="A1434" s="1">
        <v>1381.2090000000001</v>
      </c>
      <c r="B1434">
        <v>10</v>
      </c>
      <c r="D1434" s="2">
        <v>72400.3</v>
      </c>
      <c r="E1434">
        <v>22747</v>
      </c>
      <c r="F1434" t="s">
        <v>15</v>
      </c>
      <c r="G1434" t="s">
        <v>16</v>
      </c>
      <c r="H1434">
        <v>95147</v>
      </c>
      <c r="I1434" t="s">
        <v>17</v>
      </c>
      <c r="J1434" t="s">
        <v>16</v>
      </c>
      <c r="K1434">
        <v>22747.69</v>
      </c>
      <c r="L1434">
        <v>95147.9</v>
      </c>
      <c r="M1434">
        <v>15</v>
      </c>
      <c r="Y1434" s="1">
        <f t="shared" si="110"/>
        <v>1381.2090000000001</v>
      </c>
      <c r="Z1434" s="2">
        <f t="shared" si="111"/>
        <v>72400.3</v>
      </c>
      <c r="AA1434" s="2">
        <f t="shared" si="112"/>
        <v>72400.339123188445</v>
      </c>
      <c r="AB1434" s="1">
        <f t="shared" si="113"/>
        <v>7.6209045525763464E-2</v>
      </c>
      <c r="AC1434" s="1" t="b">
        <f t="shared" si="114"/>
        <v>1</v>
      </c>
    </row>
    <row r="1435" spans="1:29" x14ac:dyDescent="0.25">
      <c r="A1435" s="1">
        <v>1380.107</v>
      </c>
      <c r="B1435">
        <v>40</v>
      </c>
      <c r="C1435" t="s">
        <v>123</v>
      </c>
      <c r="D1435" s="2">
        <v>72458.2</v>
      </c>
      <c r="M1435">
        <v>15</v>
      </c>
      <c r="Y1435" s="1">
        <f t="shared" si="110"/>
        <v>1380.107</v>
      </c>
      <c r="Z1435" s="2">
        <f t="shared" si="111"/>
        <v>72458.2</v>
      </c>
      <c r="AA1435" s="2">
        <f t="shared" si="112"/>
        <v>72458.149984022981</v>
      </c>
      <c r="AB1435" s="1">
        <f t="shared" si="113"/>
        <v>7.625091749553585E-2</v>
      </c>
      <c r="AC1435" s="1" t="b">
        <f t="shared" si="114"/>
        <v>1</v>
      </c>
    </row>
    <row r="1436" spans="1:29" x14ac:dyDescent="0.25">
      <c r="A1436" s="1">
        <v>1379.9580000000001</v>
      </c>
      <c r="B1436">
        <v>3</v>
      </c>
      <c r="D1436" s="2">
        <v>72466</v>
      </c>
      <c r="E1436">
        <v>45805</v>
      </c>
      <c r="F1436" t="s">
        <v>15</v>
      </c>
      <c r="G1436" t="s">
        <v>16</v>
      </c>
      <c r="H1436">
        <v>118271</v>
      </c>
      <c r="I1436" t="s">
        <v>17</v>
      </c>
      <c r="J1436" t="s">
        <v>23</v>
      </c>
      <c r="K1436">
        <v>45805.95</v>
      </c>
      <c r="L1436">
        <v>118271.6</v>
      </c>
      <c r="M1436">
        <v>15</v>
      </c>
      <c r="Y1436" s="1">
        <f t="shared" si="110"/>
        <v>1379.9580000000001</v>
      </c>
      <c r="Z1436" s="2">
        <f t="shared" si="111"/>
        <v>72466</v>
      </c>
      <c r="AA1436" s="2">
        <f t="shared" si="112"/>
        <v>72465.973602095139</v>
      </c>
      <c r="AB1436" s="1">
        <f t="shared" si="113"/>
        <v>7.6256586650497754E-2</v>
      </c>
      <c r="AC1436" s="1" t="b">
        <f t="shared" si="114"/>
        <v>1</v>
      </c>
    </row>
    <row r="1437" spans="1:29" x14ac:dyDescent="0.25">
      <c r="A1437" s="1">
        <v>1378.385</v>
      </c>
      <c r="B1437">
        <v>1</v>
      </c>
      <c r="D1437" s="2">
        <v>72548.7</v>
      </c>
      <c r="E1437">
        <v>38785</v>
      </c>
      <c r="F1437" t="s">
        <v>15</v>
      </c>
      <c r="G1437" t="s">
        <v>57</v>
      </c>
      <c r="H1437">
        <v>111335</v>
      </c>
      <c r="I1437" t="s">
        <v>17</v>
      </c>
      <c r="J1437" t="s">
        <v>57</v>
      </c>
      <c r="K1437">
        <v>38785.760000000002</v>
      </c>
      <c r="L1437">
        <v>111335.1</v>
      </c>
      <c r="M1437">
        <v>15</v>
      </c>
      <c r="Y1437" s="1">
        <f t="shared" si="110"/>
        <v>1378.385</v>
      </c>
      <c r="Z1437" s="2">
        <f t="shared" si="111"/>
        <v>72548.7</v>
      </c>
      <c r="AA1437" s="2">
        <f t="shared" si="112"/>
        <v>72548.671089717318</v>
      </c>
      <c r="AB1437" s="1">
        <f t="shared" si="113"/>
        <v>7.6316548384419924E-2</v>
      </c>
      <c r="AC1437" s="1" t="b">
        <f t="shared" si="114"/>
        <v>1</v>
      </c>
    </row>
    <row r="1438" spans="1:29" x14ac:dyDescent="0.25">
      <c r="A1438" s="1">
        <v>1377.992</v>
      </c>
      <c r="B1438">
        <v>15</v>
      </c>
      <c r="D1438" s="2">
        <v>72569.399999999994</v>
      </c>
      <c r="E1438">
        <v>19872</v>
      </c>
      <c r="F1438" t="s">
        <v>15</v>
      </c>
      <c r="G1438" t="s">
        <v>18</v>
      </c>
      <c r="H1438">
        <v>92441</v>
      </c>
      <c r="I1438" t="s">
        <v>17</v>
      </c>
      <c r="J1438" t="s">
        <v>18</v>
      </c>
      <c r="K1438">
        <v>19872.43</v>
      </c>
      <c r="L1438">
        <v>92441.7</v>
      </c>
      <c r="M1438">
        <v>15</v>
      </c>
      <c r="Y1438" s="1">
        <f t="shared" si="110"/>
        <v>1377.992</v>
      </c>
      <c r="Z1438" s="2">
        <f t="shared" si="111"/>
        <v>72569.399999999994</v>
      </c>
      <c r="AA1438" s="2">
        <f t="shared" si="112"/>
        <v>72569.361796004625</v>
      </c>
      <c r="AB1438" s="1">
        <f t="shared" si="113"/>
        <v>7.6331561357397076E-2</v>
      </c>
      <c r="AC1438" s="1" t="b">
        <f t="shared" si="114"/>
        <v>1</v>
      </c>
    </row>
    <row r="1439" spans="1:29" x14ac:dyDescent="0.25">
      <c r="A1439" s="1">
        <v>1377.425</v>
      </c>
      <c r="B1439">
        <v>20</v>
      </c>
      <c r="D1439" s="2">
        <v>72599.199999999997</v>
      </c>
      <c r="M1439">
        <v>15</v>
      </c>
      <c r="Y1439" s="1">
        <f t="shared" si="110"/>
        <v>1377.425</v>
      </c>
      <c r="Z1439" s="2">
        <f t="shared" si="111"/>
        <v>72599.199999999997</v>
      </c>
      <c r="AA1439" s="2">
        <f t="shared" si="112"/>
        <v>72599.234078080481</v>
      </c>
      <c r="AB1439" s="1">
        <f t="shared" si="113"/>
        <v>7.6353243943619614E-2</v>
      </c>
      <c r="AC1439" s="1" t="b">
        <f t="shared" si="114"/>
        <v>1</v>
      </c>
    </row>
    <row r="1440" spans="1:29" x14ac:dyDescent="0.25">
      <c r="A1440" s="1">
        <v>1376.77</v>
      </c>
      <c r="B1440">
        <v>15</v>
      </c>
      <c r="D1440" s="2">
        <v>72633.8</v>
      </c>
      <c r="E1440">
        <v>38701</v>
      </c>
      <c r="F1440" t="s">
        <v>15</v>
      </c>
      <c r="G1440" t="s">
        <v>50</v>
      </c>
      <c r="H1440">
        <v>111335</v>
      </c>
      <c r="I1440" t="s">
        <v>17</v>
      </c>
      <c r="J1440" t="s">
        <v>57</v>
      </c>
      <c r="K1440">
        <v>38701.589999999997</v>
      </c>
      <c r="L1440">
        <v>111335.1</v>
      </c>
      <c r="M1440">
        <v>15</v>
      </c>
      <c r="Y1440" s="1">
        <f t="shared" si="110"/>
        <v>1376.77</v>
      </c>
      <c r="Z1440" s="2">
        <f t="shared" si="111"/>
        <v>72633.8</v>
      </c>
      <c r="AA1440" s="2">
        <f t="shared" si="112"/>
        <v>72633.773251886669</v>
      </c>
      <c r="AB1440" s="1">
        <f t="shared" si="113"/>
        <v>7.6378325084032445E-2</v>
      </c>
      <c r="AC1440" s="1" t="b">
        <f t="shared" si="114"/>
        <v>1</v>
      </c>
    </row>
    <row r="1441" spans="1:29" x14ac:dyDescent="0.25">
      <c r="A1441" s="1">
        <v>1376.0319999999999</v>
      </c>
      <c r="B1441">
        <v>8</v>
      </c>
      <c r="D1441" s="2">
        <v>72672.7</v>
      </c>
      <c r="E1441">
        <v>21294</v>
      </c>
      <c r="F1441" t="s">
        <v>15</v>
      </c>
      <c r="G1441" t="s">
        <v>18</v>
      </c>
      <c r="H1441">
        <v>93967</v>
      </c>
      <c r="I1441" t="s">
        <v>17</v>
      </c>
      <c r="J1441" t="s">
        <v>18</v>
      </c>
      <c r="K1441">
        <v>21294.89</v>
      </c>
      <c r="L1441">
        <v>93967.4</v>
      </c>
      <c r="M1441">
        <v>15</v>
      </c>
      <c r="Y1441" s="1">
        <f t="shared" si="110"/>
        <v>1376.0319999999999</v>
      </c>
      <c r="Z1441" s="2">
        <f t="shared" si="111"/>
        <v>72672.7</v>
      </c>
      <c r="AA1441" s="2">
        <f t="shared" si="112"/>
        <v>72672.728541196717</v>
      </c>
      <c r="AB1441" s="1">
        <f t="shared" si="113"/>
        <v>7.6406627368112351E-2</v>
      </c>
      <c r="AC1441" s="1" t="b">
        <f t="shared" si="114"/>
        <v>1</v>
      </c>
    </row>
    <row r="1442" spans="1:29" x14ac:dyDescent="0.25">
      <c r="A1442" s="1">
        <v>1375.992</v>
      </c>
      <c r="B1442">
        <v>4</v>
      </c>
      <c r="D1442" s="2">
        <v>72674.8</v>
      </c>
      <c r="M1442">
        <v>15</v>
      </c>
      <c r="Y1442" s="1">
        <f t="shared" si="110"/>
        <v>1375.992</v>
      </c>
      <c r="Z1442" s="2">
        <f t="shared" si="111"/>
        <v>72674.8</v>
      </c>
      <c r="AA1442" s="2">
        <f t="shared" si="112"/>
        <v>72674.841132797286</v>
      </c>
      <c r="AB1442" s="1">
        <f t="shared" si="113"/>
        <v>7.6408162668386626E-2</v>
      </c>
      <c r="AC1442" s="1" t="b">
        <f t="shared" si="114"/>
        <v>1</v>
      </c>
    </row>
    <row r="1443" spans="1:29" x14ac:dyDescent="0.25">
      <c r="A1443" s="1">
        <v>1375.847</v>
      </c>
      <c r="B1443">
        <v>1</v>
      </c>
      <c r="D1443" s="2">
        <v>72682.5</v>
      </c>
      <c r="E1443">
        <v>19872</v>
      </c>
      <c r="F1443" t="s">
        <v>15</v>
      </c>
      <c r="G1443" t="s">
        <v>18</v>
      </c>
      <c r="H1443">
        <v>92554</v>
      </c>
      <c r="I1443" t="s">
        <v>17</v>
      </c>
      <c r="J1443" t="s">
        <v>28</v>
      </c>
      <c r="K1443">
        <v>19872.43</v>
      </c>
      <c r="L1443">
        <v>92554.8</v>
      </c>
      <c r="M1443">
        <v>15</v>
      </c>
      <c r="Y1443" s="1">
        <f t="shared" si="110"/>
        <v>1375.847</v>
      </c>
      <c r="Z1443" s="2">
        <f t="shared" si="111"/>
        <v>72682.5</v>
      </c>
      <c r="AA1443" s="2">
        <f t="shared" si="112"/>
        <v>72682.500307083566</v>
      </c>
      <c r="AB1443" s="1">
        <f t="shared" si="113"/>
        <v>7.6413729254446019E-2</v>
      </c>
      <c r="AC1443" s="1" t="b">
        <f t="shared" si="114"/>
        <v>1</v>
      </c>
    </row>
    <row r="1444" spans="1:29" x14ac:dyDescent="0.25">
      <c r="A1444" s="1">
        <v>1374.6179999999999</v>
      </c>
      <c r="B1444">
        <v>20</v>
      </c>
      <c r="C1444" t="s">
        <v>123</v>
      </c>
      <c r="D1444" s="2">
        <v>72747.5</v>
      </c>
      <c r="M1444">
        <v>15</v>
      </c>
      <c r="Y1444" s="1">
        <f t="shared" si="110"/>
        <v>1374.6179999999999</v>
      </c>
      <c r="Z1444" s="2">
        <f t="shared" si="111"/>
        <v>72747.5</v>
      </c>
      <c r="AA1444" s="2">
        <f t="shared" si="112"/>
        <v>72747.483300815205</v>
      </c>
      <c r="AB1444" s="1">
        <f t="shared" si="113"/>
        <v>7.6460981633011946E-2</v>
      </c>
      <c r="AC1444" s="1" t="b">
        <f t="shared" si="114"/>
        <v>1</v>
      </c>
    </row>
    <row r="1445" spans="1:29" x14ac:dyDescent="0.25">
      <c r="A1445" s="1">
        <v>1374.1990000000001</v>
      </c>
      <c r="B1445">
        <v>2</v>
      </c>
      <c r="D1445" s="2">
        <v>72769.7</v>
      </c>
      <c r="M1445">
        <v>15</v>
      </c>
      <c r="Y1445" s="1">
        <f t="shared" si="110"/>
        <v>1374.1990000000001</v>
      </c>
      <c r="Z1445" s="2">
        <f t="shared" si="111"/>
        <v>72769.7</v>
      </c>
      <c r="AA1445" s="2">
        <f t="shared" si="112"/>
        <v>72769.664364477052</v>
      </c>
      <c r="AB1445" s="1">
        <f t="shared" si="113"/>
        <v>7.6477120258593212E-2</v>
      </c>
      <c r="AC1445" s="1" t="b">
        <f t="shared" si="114"/>
        <v>1</v>
      </c>
    </row>
    <row r="1446" spans="1:29" x14ac:dyDescent="0.25">
      <c r="A1446" s="1">
        <v>1373.9390000000001</v>
      </c>
      <c r="B1446">
        <v>10</v>
      </c>
      <c r="D1446" s="2">
        <v>72783.399999999994</v>
      </c>
      <c r="E1446">
        <v>44903</v>
      </c>
      <c r="F1446" t="s">
        <v>15</v>
      </c>
      <c r="G1446" t="s">
        <v>28</v>
      </c>
      <c r="H1446">
        <v>117686</v>
      </c>
      <c r="I1446" t="s">
        <v>17</v>
      </c>
      <c r="J1446" t="s">
        <v>28</v>
      </c>
      <c r="K1446">
        <v>44903.42</v>
      </c>
      <c r="L1446">
        <v>117686.39999999999</v>
      </c>
      <c r="M1446">
        <v>15</v>
      </c>
      <c r="Y1446" s="1">
        <f t="shared" si="110"/>
        <v>1373.9390000000001</v>
      </c>
      <c r="Z1446" s="2">
        <f t="shared" si="111"/>
        <v>72783.399999999994</v>
      </c>
      <c r="AA1446" s="2">
        <f t="shared" si="112"/>
        <v>72783.435072444991</v>
      </c>
      <c r="AB1446" s="1">
        <f t="shared" si="113"/>
        <v>7.6487142104724085E-2</v>
      </c>
      <c r="AC1446" s="1" t="b">
        <f t="shared" si="114"/>
        <v>1</v>
      </c>
    </row>
    <row r="1447" spans="1:29" x14ac:dyDescent="0.25">
      <c r="A1447" s="1">
        <v>1372.124</v>
      </c>
      <c r="B1447">
        <v>3</v>
      </c>
      <c r="C1447" t="s">
        <v>123</v>
      </c>
      <c r="D1447" s="2">
        <v>72879.7</v>
      </c>
      <c r="M1447">
        <v>15</v>
      </c>
      <c r="Y1447" s="1">
        <f t="shared" si="110"/>
        <v>1372.124</v>
      </c>
      <c r="Z1447" s="2">
        <f t="shared" si="111"/>
        <v>72879.7</v>
      </c>
      <c r="AA1447" s="2">
        <f t="shared" si="112"/>
        <v>72879.71058009335</v>
      </c>
      <c r="AB1447" s="1">
        <f t="shared" si="113"/>
        <v>7.655726107119086E-2</v>
      </c>
      <c r="AC1447" s="1" t="b">
        <f t="shared" si="114"/>
        <v>1</v>
      </c>
    </row>
    <row r="1448" spans="1:29" x14ac:dyDescent="0.25">
      <c r="A1448" s="1">
        <v>1371.42</v>
      </c>
      <c r="B1448">
        <v>100</v>
      </c>
      <c r="C1448" t="s">
        <v>123</v>
      </c>
      <c r="D1448" s="2">
        <v>72917.100000000006</v>
      </c>
      <c r="M1448">
        <v>15</v>
      </c>
      <c r="Y1448" s="1">
        <f t="shared" si="110"/>
        <v>1371.42</v>
      </c>
      <c r="Z1448" s="2">
        <f t="shared" si="111"/>
        <v>72917.100000000006</v>
      </c>
      <c r="AA1448" s="2">
        <f t="shared" si="112"/>
        <v>72917.122398681648</v>
      </c>
      <c r="AB1448" s="1">
        <f t="shared" si="113"/>
        <v>7.6584533694521617E-2</v>
      </c>
      <c r="AC1448" s="1" t="b">
        <f t="shared" si="114"/>
        <v>1</v>
      </c>
    </row>
    <row r="1449" spans="1:29" x14ac:dyDescent="0.25">
      <c r="A1449" s="1">
        <v>1371.22</v>
      </c>
      <c r="B1449">
        <v>2</v>
      </c>
      <c r="C1449" t="s">
        <v>123</v>
      </c>
      <c r="D1449" s="2">
        <v>72927.8</v>
      </c>
      <c r="M1449">
        <v>15</v>
      </c>
      <c r="Y1449" s="1">
        <f t="shared" si="110"/>
        <v>1371.22</v>
      </c>
      <c r="Z1449" s="2">
        <f t="shared" si="111"/>
        <v>72927.8</v>
      </c>
      <c r="AA1449" s="2">
        <f t="shared" si="112"/>
        <v>72927.757763159811</v>
      </c>
      <c r="AB1449" s="1">
        <f t="shared" si="113"/>
        <v>7.6592289261810581E-2</v>
      </c>
      <c r="AC1449" s="1" t="b">
        <f t="shared" si="114"/>
        <v>1</v>
      </c>
    </row>
    <row r="1450" spans="1:29" x14ac:dyDescent="0.25">
      <c r="A1450" s="1">
        <v>1370.471</v>
      </c>
      <c r="B1450">
        <v>15</v>
      </c>
      <c r="D1450" s="2">
        <v>72967.600000000006</v>
      </c>
      <c r="E1450">
        <v>44679</v>
      </c>
      <c r="F1450" t="s">
        <v>15</v>
      </c>
      <c r="G1450" t="s">
        <v>18</v>
      </c>
      <c r="H1450">
        <v>117647</v>
      </c>
      <c r="I1450" t="s">
        <v>17</v>
      </c>
      <c r="J1450" t="s">
        <v>18</v>
      </c>
      <c r="K1450">
        <v>44679.98</v>
      </c>
      <c r="L1450">
        <v>117647.2</v>
      </c>
      <c r="M1450">
        <v>15</v>
      </c>
      <c r="Y1450" s="1">
        <f t="shared" si="110"/>
        <v>1370.471</v>
      </c>
      <c r="Z1450" s="2">
        <f t="shared" si="111"/>
        <v>72967.600000000006</v>
      </c>
      <c r="AA1450" s="2">
        <f t="shared" si="112"/>
        <v>72967.614783530618</v>
      </c>
      <c r="AB1450" s="1">
        <f t="shared" si="113"/>
        <v>7.6621364035988584E-2</v>
      </c>
      <c r="AC1450" s="1" t="b">
        <f t="shared" si="114"/>
        <v>1</v>
      </c>
    </row>
    <row r="1451" spans="1:29" x14ac:dyDescent="0.25">
      <c r="A1451" s="1">
        <v>1370.1289999999999</v>
      </c>
      <c r="B1451">
        <v>2</v>
      </c>
      <c r="D1451" s="2">
        <v>72985.8</v>
      </c>
      <c r="E1451">
        <v>23844</v>
      </c>
      <c r="F1451" t="s">
        <v>15</v>
      </c>
      <c r="G1451" t="s">
        <v>16</v>
      </c>
      <c r="H1451">
        <v>96830</v>
      </c>
      <c r="I1451" t="s">
        <v>17</v>
      </c>
      <c r="J1451" t="s">
        <v>18</v>
      </c>
      <c r="K1451">
        <v>23844.58</v>
      </c>
      <c r="L1451">
        <v>96830.5</v>
      </c>
      <c r="M1451">
        <v>15</v>
      </c>
      <c r="Y1451" s="1">
        <f t="shared" si="110"/>
        <v>1370.1289999999999</v>
      </c>
      <c r="Z1451" s="2">
        <f t="shared" si="111"/>
        <v>72985.8</v>
      </c>
      <c r="AA1451" s="2">
        <f t="shared" si="112"/>
        <v>72985.828341710891</v>
      </c>
      <c r="AB1451" s="1">
        <f t="shared" si="113"/>
        <v>7.6634655693628456E-2</v>
      </c>
      <c r="AC1451" s="1" t="b">
        <f t="shared" si="114"/>
        <v>1</v>
      </c>
    </row>
    <row r="1452" spans="1:29" x14ac:dyDescent="0.25">
      <c r="A1452" s="1">
        <v>1368.6610000000001</v>
      </c>
      <c r="B1452">
        <v>100</v>
      </c>
      <c r="C1452" t="s">
        <v>123</v>
      </c>
      <c r="D1452" s="2">
        <v>73064.100000000006</v>
      </c>
      <c r="M1452">
        <v>15</v>
      </c>
      <c r="Y1452" s="1">
        <f t="shared" si="110"/>
        <v>1368.6610000000001</v>
      </c>
      <c r="Z1452" s="2">
        <f t="shared" si="111"/>
        <v>73064.100000000006</v>
      </c>
      <c r="AA1452" s="2">
        <f t="shared" si="112"/>
        <v>73064.111565975792</v>
      </c>
      <c r="AB1452" s="1">
        <f t="shared" si="113"/>
        <v>7.6691821994626791E-2</v>
      </c>
      <c r="AC1452" s="1" t="b">
        <f t="shared" si="114"/>
        <v>1</v>
      </c>
    </row>
    <row r="1453" spans="1:29" x14ac:dyDescent="0.25">
      <c r="A1453" s="1">
        <v>1367.73</v>
      </c>
      <c r="B1453">
        <v>5</v>
      </c>
      <c r="D1453" s="2">
        <v>73113.8</v>
      </c>
      <c r="M1453">
        <v>15</v>
      </c>
      <c r="Y1453" s="1">
        <f t="shared" si="110"/>
        <v>1367.73</v>
      </c>
      <c r="Z1453" s="2">
        <f t="shared" si="111"/>
        <v>73113.8</v>
      </c>
      <c r="AA1453" s="2">
        <f t="shared" si="112"/>
        <v>73113.845568935387</v>
      </c>
      <c r="AB1453" s="1">
        <f t="shared" si="113"/>
        <v>7.6728172069390671E-2</v>
      </c>
      <c r="AC1453" s="1" t="b">
        <f t="shared" si="114"/>
        <v>1</v>
      </c>
    </row>
    <row r="1454" spans="1:29" x14ac:dyDescent="0.25">
      <c r="A1454" s="1">
        <v>1366.761</v>
      </c>
      <c r="B1454">
        <v>3</v>
      </c>
      <c r="D1454" s="2">
        <v>73165.7</v>
      </c>
      <c r="M1454">
        <v>15</v>
      </c>
      <c r="Y1454" s="1">
        <f t="shared" si="110"/>
        <v>1366.761</v>
      </c>
      <c r="Z1454" s="2">
        <f t="shared" si="111"/>
        <v>73165.7</v>
      </c>
      <c r="AA1454" s="2">
        <f t="shared" si="112"/>
        <v>73165.68149076539</v>
      </c>
      <c r="AB1454" s="1">
        <f t="shared" si="113"/>
        <v>7.6766084740040652E-2</v>
      </c>
      <c r="AC1454" s="1" t="b">
        <f t="shared" si="114"/>
        <v>1</v>
      </c>
    </row>
    <row r="1455" spans="1:29" x14ac:dyDescent="0.25">
      <c r="A1455" s="1">
        <v>1366.5219999999999</v>
      </c>
      <c r="B1455">
        <v>3</v>
      </c>
      <c r="D1455" s="2">
        <v>73178.5</v>
      </c>
      <c r="E1455">
        <v>23651</v>
      </c>
      <c r="F1455" t="s">
        <v>15</v>
      </c>
      <c r="G1455" t="s">
        <v>18</v>
      </c>
      <c r="H1455">
        <v>96830</v>
      </c>
      <c r="I1455" t="s">
        <v>17</v>
      </c>
      <c r="J1455" t="s">
        <v>18</v>
      </c>
      <c r="K1455">
        <v>23651.88</v>
      </c>
      <c r="L1455">
        <v>96830.5</v>
      </c>
      <c r="M1455">
        <v>15</v>
      </c>
      <c r="Y1455" s="1">
        <f t="shared" si="110"/>
        <v>1366.5219999999999</v>
      </c>
      <c r="Z1455" s="2">
        <f t="shared" si="111"/>
        <v>73178.5</v>
      </c>
      <c r="AA1455" s="2">
        <f t="shared" si="112"/>
        <v>73178.477916930729</v>
      </c>
      <c r="AB1455" s="1">
        <f t="shared" si="113"/>
        <v>7.6775448151193595E-2</v>
      </c>
      <c r="AC1455" s="1" t="b">
        <f t="shared" si="114"/>
        <v>1</v>
      </c>
    </row>
    <row r="1456" spans="1:29" x14ac:dyDescent="0.25">
      <c r="A1456" s="1">
        <v>1366.3920000000001</v>
      </c>
      <c r="B1456">
        <v>200</v>
      </c>
      <c r="D1456" s="2">
        <v>73185.399999999994</v>
      </c>
      <c r="M1456">
        <v>15</v>
      </c>
      <c r="Y1456" s="1">
        <f t="shared" si="110"/>
        <v>1366.3920000000001</v>
      </c>
      <c r="Z1456" s="2">
        <f t="shared" si="111"/>
        <v>73185.399999999994</v>
      </c>
      <c r="AA1456" s="2">
        <f t="shared" si="112"/>
        <v>73185.44019578569</v>
      </c>
      <c r="AB1456" s="1">
        <f t="shared" si="113"/>
        <v>7.6780543283254621E-2</v>
      </c>
      <c r="AC1456" s="1" t="b">
        <f t="shared" si="114"/>
        <v>1</v>
      </c>
    </row>
    <row r="1457" spans="1:29" x14ac:dyDescent="0.25">
      <c r="A1457" s="1">
        <v>1364.645</v>
      </c>
      <c r="B1457">
        <v>1</v>
      </c>
      <c r="D1457" s="2">
        <v>73279.100000000006</v>
      </c>
      <c r="M1457">
        <v>15</v>
      </c>
      <c r="Y1457" s="1">
        <f t="shared" si="110"/>
        <v>1364.645</v>
      </c>
      <c r="Z1457" s="2">
        <f t="shared" si="111"/>
        <v>73279.100000000006</v>
      </c>
      <c r="AA1457" s="2">
        <f t="shared" si="112"/>
        <v>73279.131202620469</v>
      </c>
      <c r="AB1457" s="1">
        <f t="shared" si="113"/>
        <v>7.6849155349054329E-2</v>
      </c>
      <c r="AC1457" s="1" t="b">
        <f t="shared" si="114"/>
        <v>1</v>
      </c>
    </row>
    <row r="1458" spans="1:29" x14ac:dyDescent="0.25">
      <c r="A1458" s="1">
        <v>1364.3820000000001</v>
      </c>
      <c r="B1458">
        <v>2</v>
      </c>
      <c r="D1458" s="2">
        <v>73293.2</v>
      </c>
      <c r="M1458">
        <v>15</v>
      </c>
      <c r="Y1458" s="1">
        <f t="shared" si="110"/>
        <v>1364.3820000000001</v>
      </c>
      <c r="Z1458" s="2">
        <f t="shared" si="111"/>
        <v>73293.2</v>
      </c>
      <c r="AA1458" s="2">
        <f t="shared" si="112"/>
        <v>73293.256580635032</v>
      </c>
      <c r="AB1458" s="1">
        <f t="shared" si="113"/>
        <v>7.6859507300974003E-2</v>
      </c>
      <c r="AC1458" s="1" t="b">
        <f t="shared" si="114"/>
        <v>1</v>
      </c>
    </row>
    <row r="1459" spans="1:29" x14ac:dyDescent="0.25">
      <c r="A1459" s="1">
        <v>1364.3030000000001</v>
      </c>
      <c r="B1459">
        <v>1</v>
      </c>
      <c r="D1459" s="2">
        <v>73297.5</v>
      </c>
      <c r="E1459">
        <v>39725</v>
      </c>
      <c r="F1459" t="s">
        <v>15</v>
      </c>
      <c r="G1459" t="s">
        <v>57</v>
      </c>
      <c r="H1459">
        <v>113023</v>
      </c>
      <c r="I1459" t="s">
        <v>17</v>
      </c>
      <c r="J1459" t="s">
        <v>528</v>
      </c>
      <c r="K1459">
        <v>39725.99</v>
      </c>
      <c r="L1459">
        <v>113023.5</v>
      </c>
      <c r="M1459">
        <v>15</v>
      </c>
      <c r="Y1459" s="1">
        <f t="shared" si="110"/>
        <v>1364.3030000000001</v>
      </c>
      <c r="Z1459" s="2">
        <f t="shared" si="111"/>
        <v>73297.5</v>
      </c>
      <c r="AA1459" s="2">
        <f t="shared" si="112"/>
        <v>73297.500628526061</v>
      </c>
      <c r="AB1459" s="1">
        <f t="shared" si="113"/>
        <v>7.6862617991943896E-2</v>
      </c>
      <c r="AC1459" s="1" t="b">
        <f t="shared" si="114"/>
        <v>1</v>
      </c>
    </row>
    <row r="1460" spans="1:29" x14ac:dyDescent="0.25">
      <c r="A1460" s="1">
        <v>1363.02</v>
      </c>
      <c r="B1460">
        <v>2</v>
      </c>
      <c r="D1460" s="2">
        <v>73366.5</v>
      </c>
      <c r="M1460">
        <v>15</v>
      </c>
      <c r="Y1460" s="1">
        <f t="shared" si="110"/>
        <v>1363.02</v>
      </c>
      <c r="Z1460" s="2">
        <f t="shared" si="111"/>
        <v>73366.5</v>
      </c>
      <c r="AA1460" s="2">
        <f t="shared" si="112"/>
        <v>73366.494989068393</v>
      </c>
      <c r="AB1460" s="1">
        <f t="shared" si="113"/>
        <v>7.6913212934904995E-2</v>
      </c>
      <c r="AC1460" s="1" t="b">
        <f t="shared" si="114"/>
        <v>1</v>
      </c>
    </row>
    <row r="1461" spans="1:29" x14ac:dyDescent="0.25">
      <c r="A1461" s="1">
        <v>1362.453</v>
      </c>
      <c r="B1461">
        <v>40</v>
      </c>
      <c r="C1461" t="s">
        <v>123</v>
      </c>
      <c r="D1461" s="2">
        <v>73397</v>
      </c>
      <c r="M1461">
        <v>15</v>
      </c>
      <c r="Y1461" s="1">
        <f t="shared" si="110"/>
        <v>1362.453</v>
      </c>
      <c r="Z1461" s="2">
        <f t="shared" si="111"/>
        <v>73397</v>
      </c>
      <c r="AA1461" s="2">
        <f t="shared" si="112"/>
        <v>73397.027273601372</v>
      </c>
      <c r="AB1461" s="1">
        <f t="shared" si="113"/>
        <v>7.6935618063008915E-2</v>
      </c>
      <c r="AC1461" s="1" t="b">
        <f t="shared" si="114"/>
        <v>1</v>
      </c>
    </row>
    <row r="1462" spans="1:29" x14ac:dyDescent="0.25">
      <c r="A1462" s="1">
        <v>1362.3710000000001</v>
      </c>
      <c r="B1462">
        <v>20</v>
      </c>
      <c r="C1462" t="s">
        <v>123</v>
      </c>
      <c r="D1462" s="2">
        <v>73401.399999999994</v>
      </c>
      <c r="E1462">
        <v>44679</v>
      </c>
      <c r="F1462" t="s">
        <v>15</v>
      </c>
      <c r="G1462" t="s">
        <v>18</v>
      </c>
      <c r="H1462">
        <v>118081</v>
      </c>
      <c r="I1462" t="s">
        <v>17</v>
      </c>
      <c r="J1462" t="s">
        <v>16</v>
      </c>
      <c r="K1462">
        <v>44679.98</v>
      </c>
      <c r="L1462">
        <v>118081.1</v>
      </c>
      <c r="M1462">
        <v>15</v>
      </c>
      <c r="Y1462" s="1">
        <f t="shared" si="110"/>
        <v>1362.3710000000001</v>
      </c>
      <c r="Z1462" s="2">
        <f t="shared" si="111"/>
        <v>73401.399999999994</v>
      </c>
      <c r="AA1462" s="2">
        <f t="shared" si="112"/>
        <v>73401.444980845888</v>
      </c>
      <c r="AB1462" s="1">
        <f t="shared" si="113"/>
        <v>7.6938860626380737E-2</v>
      </c>
      <c r="AC1462" s="1" t="b">
        <f t="shared" si="114"/>
        <v>1</v>
      </c>
    </row>
    <row r="1463" spans="1:29" x14ac:dyDescent="0.25">
      <c r="A1463" s="1">
        <v>1362.1130000000001</v>
      </c>
      <c r="B1463">
        <v>1</v>
      </c>
      <c r="D1463" s="2">
        <v>73415.399999999994</v>
      </c>
      <c r="E1463">
        <v>44903</v>
      </c>
      <c r="F1463" t="s">
        <v>15</v>
      </c>
      <c r="G1463" t="s">
        <v>28</v>
      </c>
      <c r="H1463">
        <v>118318</v>
      </c>
      <c r="I1463" t="s">
        <v>17</v>
      </c>
      <c r="J1463" t="s">
        <v>18</v>
      </c>
      <c r="K1463">
        <v>44903.42</v>
      </c>
      <c r="L1463">
        <v>118318.6</v>
      </c>
      <c r="M1463">
        <v>15</v>
      </c>
      <c r="Y1463" s="1">
        <f t="shared" si="110"/>
        <v>1362.1130000000001</v>
      </c>
      <c r="Z1463" s="2">
        <f t="shared" si="111"/>
        <v>73415.399999999994</v>
      </c>
      <c r="AA1463" s="2">
        <f t="shared" si="112"/>
        <v>73415.348065835948</v>
      </c>
      <c r="AB1463" s="1">
        <f t="shared" si="113"/>
        <v>7.694906665813922E-2</v>
      </c>
      <c r="AC1463" s="1" t="b">
        <f t="shared" si="114"/>
        <v>1</v>
      </c>
    </row>
    <row r="1464" spans="1:29" x14ac:dyDescent="0.25">
      <c r="A1464" s="1">
        <v>1361.8130000000001</v>
      </c>
      <c r="B1464">
        <v>2</v>
      </c>
      <c r="D1464" s="2">
        <v>73431.5</v>
      </c>
      <c r="M1464">
        <v>15</v>
      </c>
      <c r="Y1464" s="1">
        <f t="shared" si="110"/>
        <v>1361.8130000000001</v>
      </c>
      <c r="Z1464" s="2">
        <f t="shared" si="111"/>
        <v>73431.5</v>
      </c>
      <c r="AA1464" s="2">
        <f t="shared" si="112"/>
        <v>73431.521067870548</v>
      </c>
      <c r="AB1464" s="1">
        <f t="shared" si="113"/>
        <v>7.6960941431705579E-2</v>
      </c>
      <c r="AC1464" s="1" t="b">
        <f t="shared" si="114"/>
        <v>1</v>
      </c>
    </row>
    <row r="1465" spans="1:29" x14ac:dyDescent="0.25">
      <c r="A1465" s="1">
        <v>1359.0820000000001</v>
      </c>
      <c r="B1465">
        <v>3</v>
      </c>
      <c r="C1465" t="s">
        <v>123</v>
      </c>
      <c r="D1465" s="2">
        <v>73579.100000000006</v>
      </c>
      <c r="M1465">
        <v>15</v>
      </c>
      <c r="Y1465" s="1">
        <f t="shared" si="110"/>
        <v>1359.0820000000001</v>
      </c>
      <c r="Z1465" s="2">
        <f t="shared" si="111"/>
        <v>73579.100000000006</v>
      </c>
      <c r="AA1465" s="2">
        <f t="shared" si="112"/>
        <v>73579.077642114309</v>
      </c>
      <c r="AB1465" s="1">
        <f t="shared" si="113"/>
        <v>7.7069403333321435E-2</v>
      </c>
      <c r="AC1465" s="1" t="b">
        <f t="shared" si="114"/>
        <v>1</v>
      </c>
    </row>
    <row r="1466" spans="1:29" x14ac:dyDescent="0.25">
      <c r="A1466" s="1">
        <v>1359.0029999999999</v>
      </c>
      <c r="B1466">
        <v>30</v>
      </c>
      <c r="C1466" t="s">
        <v>123</v>
      </c>
      <c r="D1466" s="2">
        <v>73583.399999999994</v>
      </c>
      <c r="M1466">
        <v>15</v>
      </c>
      <c r="Y1466" s="1">
        <f t="shared" si="110"/>
        <v>1359.0029999999999</v>
      </c>
      <c r="Z1466" s="2">
        <f t="shared" si="111"/>
        <v>73583.399999999994</v>
      </c>
      <c r="AA1466" s="2">
        <f t="shared" si="112"/>
        <v>73583.354856464633</v>
      </c>
      <c r="AB1466" s="1">
        <f t="shared" si="113"/>
        <v>7.7072550559661987E-2</v>
      </c>
      <c r="AC1466" s="1" t="b">
        <f t="shared" si="114"/>
        <v>1</v>
      </c>
    </row>
    <row r="1467" spans="1:29" x14ac:dyDescent="0.25">
      <c r="A1467" s="1">
        <v>1358.2329999999999</v>
      </c>
      <c r="B1467">
        <v>2</v>
      </c>
      <c r="D1467" s="2">
        <v>73625.100000000006</v>
      </c>
      <c r="M1467">
        <v>15</v>
      </c>
      <c r="Y1467" s="1">
        <f t="shared" si="110"/>
        <v>1358.2329999999999</v>
      </c>
      <c r="Z1467" s="2">
        <f t="shared" si="111"/>
        <v>73625.100000000006</v>
      </c>
      <c r="AA1467" s="2">
        <f t="shared" si="112"/>
        <v>73625.070219910718</v>
      </c>
      <c r="AB1467" s="1">
        <f t="shared" si="113"/>
        <v>7.710325482443392E-2</v>
      </c>
      <c r="AC1467" s="1" t="b">
        <f t="shared" si="114"/>
        <v>1</v>
      </c>
    </row>
    <row r="1468" spans="1:29" x14ac:dyDescent="0.25">
      <c r="A1468" s="1">
        <v>1356.4829999999999</v>
      </c>
      <c r="B1468">
        <v>200</v>
      </c>
      <c r="C1468" t="s">
        <v>123</v>
      </c>
      <c r="D1468" s="2">
        <v>73720</v>
      </c>
      <c r="M1468">
        <v>15</v>
      </c>
      <c r="Y1468" s="1">
        <f t="shared" si="110"/>
        <v>1356.4829999999999</v>
      </c>
      <c r="Z1468" s="2">
        <f t="shared" si="111"/>
        <v>73720</v>
      </c>
      <c r="AA1468" s="2">
        <f t="shared" si="112"/>
        <v>73720.05399256754</v>
      </c>
      <c r="AB1468" s="1">
        <f t="shared" si="113"/>
        <v>7.7173231803335379E-2</v>
      </c>
      <c r="AC1468" s="1" t="b">
        <f t="shared" si="114"/>
        <v>1</v>
      </c>
    </row>
    <row r="1469" spans="1:29" x14ac:dyDescent="0.25">
      <c r="A1469" s="1">
        <v>1356.355</v>
      </c>
      <c r="B1469">
        <v>2</v>
      </c>
      <c r="C1469" t="s">
        <v>123</v>
      </c>
      <c r="D1469" s="2">
        <v>73727</v>
      </c>
      <c r="E1469">
        <v>40098</v>
      </c>
      <c r="F1469" t="s">
        <v>15</v>
      </c>
      <c r="G1469" t="s">
        <v>28</v>
      </c>
      <c r="H1469">
        <v>113825</v>
      </c>
      <c r="I1469" t="s">
        <v>17</v>
      </c>
      <c r="J1469" t="s">
        <v>29</v>
      </c>
      <c r="K1469">
        <v>40098.660000000003</v>
      </c>
      <c r="L1469">
        <v>113825.5</v>
      </c>
      <c r="M1469">
        <v>15</v>
      </c>
      <c r="Y1469" s="1">
        <f t="shared" si="110"/>
        <v>1356.355</v>
      </c>
      <c r="Z1469" s="2">
        <f t="shared" si="111"/>
        <v>73727</v>
      </c>
      <c r="AA1469" s="2">
        <f t="shared" si="112"/>
        <v>73727.010996383688</v>
      </c>
      <c r="AB1469" s="1">
        <f t="shared" si="113"/>
        <v>7.7178360752304415E-2</v>
      </c>
      <c r="AC1469" s="1" t="b">
        <f t="shared" si="114"/>
        <v>1</v>
      </c>
    </row>
    <row r="1470" spans="1:29" x14ac:dyDescent="0.25">
      <c r="A1470" s="1">
        <v>1355.383</v>
      </c>
      <c r="B1470">
        <v>1</v>
      </c>
      <c r="D1470" s="2">
        <v>73779.899999999994</v>
      </c>
      <c r="M1470">
        <v>15</v>
      </c>
      <c r="Y1470" s="1">
        <f t="shared" si="110"/>
        <v>1355.383</v>
      </c>
      <c r="Z1470" s="2">
        <f t="shared" si="111"/>
        <v>73779.899999999994</v>
      </c>
      <c r="AA1470" s="2">
        <f t="shared" si="112"/>
        <v>73779.883619611574</v>
      </c>
      <c r="AB1470" s="1">
        <f t="shared" si="113"/>
        <v>7.7217356134617152E-2</v>
      </c>
      <c r="AC1470" s="1" t="b">
        <f t="shared" si="114"/>
        <v>1</v>
      </c>
    </row>
    <row r="1471" spans="1:29" x14ac:dyDescent="0.25">
      <c r="A1471" s="1">
        <v>1355.2139999999999</v>
      </c>
      <c r="B1471">
        <v>3</v>
      </c>
      <c r="D1471" s="2">
        <v>73789.100000000006</v>
      </c>
      <c r="E1471">
        <v>44679</v>
      </c>
      <c r="F1471" t="s">
        <v>15</v>
      </c>
      <c r="G1471" t="s">
        <v>18</v>
      </c>
      <c r="H1471">
        <v>118468</v>
      </c>
      <c r="I1471" t="s">
        <v>17</v>
      </c>
      <c r="J1471" t="s">
        <v>16</v>
      </c>
      <c r="K1471">
        <v>44679.98</v>
      </c>
      <c r="L1471">
        <v>118468.8</v>
      </c>
      <c r="M1471">
        <v>15</v>
      </c>
      <c r="Y1471" s="1">
        <f t="shared" si="110"/>
        <v>1355.2139999999999</v>
      </c>
      <c r="Z1471" s="2">
        <f t="shared" si="111"/>
        <v>73789.100000000006</v>
      </c>
      <c r="AA1471" s="2">
        <f t="shared" si="112"/>
        <v>73789.084233191214</v>
      </c>
      <c r="AB1471" s="1">
        <f t="shared" si="113"/>
        <v>7.7224144759864943E-2</v>
      </c>
      <c r="AC1471" s="1" t="b">
        <f t="shared" si="114"/>
        <v>1</v>
      </c>
    </row>
    <row r="1472" spans="1:29" x14ac:dyDescent="0.25">
      <c r="A1472" s="1">
        <v>1354.8150000000001</v>
      </c>
      <c r="B1472">
        <v>2</v>
      </c>
      <c r="D1472" s="2">
        <v>73810.8</v>
      </c>
      <c r="M1472">
        <v>15</v>
      </c>
      <c r="Y1472" s="1">
        <f t="shared" si="110"/>
        <v>1354.8150000000001</v>
      </c>
      <c r="Z1472" s="2">
        <f t="shared" si="111"/>
        <v>73810.8</v>
      </c>
      <c r="AA1472" s="2">
        <f t="shared" si="112"/>
        <v>73810.81549879504</v>
      </c>
      <c r="AB1472" s="1">
        <f t="shared" si="113"/>
        <v>7.7240182422985804E-2</v>
      </c>
      <c r="AC1472" s="1" t="b">
        <f t="shared" si="114"/>
        <v>1</v>
      </c>
    </row>
    <row r="1473" spans="1:29" x14ac:dyDescent="0.25">
      <c r="A1473" s="1">
        <v>1353.9970000000001</v>
      </c>
      <c r="B1473">
        <v>2</v>
      </c>
      <c r="D1473" s="2">
        <v>73855.399999999994</v>
      </c>
      <c r="M1473">
        <v>15</v>
      </c>
      <c r="Y1473" s="1">
        <f t="shared" si="110"/>
        <v>1353.9970000000001</v>
      </c>
      <c r="Z1473" s="2">
        <f t="shared" si="111"/>
        <v>73855.399999999994</v>
      </c>
      <c r="AA1473" s="2">
        <f t="shared" si="112"/>
        <v>73855.407360577607</v>
      </c>
      <c r="AB1473" s="1">
        <f t="shared" si="113"/>
        <v>7.7273105981984308E-2</v>
      </c>
      <c r="AC1473" s="1" t="b">
        <f t="shared" si="114"/>
        <v>1</v>
      </c>
    </row>
    <row r="1474" spans="1:29" x14ac:dyDescent="0.25">
      <c r="A1474" s="1">
        <v>1353.6010000000001</v>
      </c>
      <c r="B1474">
        <v>10</v>
      </c>
      <c r="C1474" t="s">
        <v>123</v>
      </c>
      <c r="D1474" s="2">
        <v>73877</v>
      </c>
      <c r="M1474">
        <v>15</v>
      </c>
      <c r="Y1474" s="1">
        <f t="shared" si="110"/>
        <v>1353.6010000000001</v>
      </c>
      <c r="Z1474" s="2">
        <f t="shared" si="111"/>
        <v>73877</v>
      </c>
      <c r="AA1474" s="2">
        <f t="shared" si="112"/>
        <v>73877.013979747353</v>
      </c>
      <c r="AB1474" s="1">
        <f t="shared" si="113"/>
        <v>7.7289065972818927E-2</v>
      </c>
      <c r="AC1474" s="1" t="b">
        <f t="shared" si="114"/>
        <v>1</v>
      </c>
    </row>
    <row r="1475" spans="1:29" x14ac:dyDescent="0.25">
      <c r="A1475" s="1">
        <v>1353.1510000000001</v>
      </c>
      <c r="B1475">
        <v>3</v>
      </c>
      <c r="D1475" s="2">
        <v>73901.600000000006</v>
      </c>
      <c r="M1475">
        <v>15</v>
      </c>
      <c r="Y1475" s="1">
        <f t="shared" ref="Y1475:Y1538" si="115">ROUND($A1475,3)+0</f>
        <v>1353.1510000000001</v>
      </c>
      <c r="Z1475" s="2">
        <f t="shared" ref="Z1475:Z1538" si="116">ROUND($D1475,1)+0</f>
        <v>73901.600000000006</v>
      </c>
      <c r="AA1475" s="2">
        <f t="shared" ref="AA1475:AA1538" si="117">100000000/Y1475</f>
        <v>73901.582306778771</v>
      </c>
      <c r="AB1475" s="1">
        <f t="shared" ref="AB1475:AB1538" si="118">0.0005/$Y1475*AA1475+0.05</f>
        <v>7.7307219337227992E-2</v>
      </c>
      <c r="AC1475" s="1" t="b">
        <f t="shared" ref="AC1475:AC1538" si="119">ABS(Z1475-AA1475)&lt;AB1475</f>
        <v>1</v>
      </c>
    </row>
    <row r="1476" spans="1:29" x14ac:dyDescent="0.25">
      <c r="A1476" s="1">
        <v>1352.9870000000001</v>
      </c>
      <c r="B1476">
        <v>2</v>
      </c>
      <c r="D1476" s="2">
        <v>73910.5</v>
      </c>
      <c r="E1476">
        <v>39870</v>
      </c>
      <c r="F1476" t="s">
        <v>15</v>
      </c>
      <c r="G1476" t="s">
        <v>16</v>
      </c>
      <c r="H1476">
        <v>113780</v>
      </c>
      <c r="I1476" t="s">
        <v>17</v>
      </c>
      <c r="J1476" t="s">
        <v>16</v>
      </c>
      <c r="K1476">
        <v>39870.17</v>
      </c>
      <c r="L1476">
        <v>113780.5</v>
      </c>
      <c r="M1476">
        <v>15</v>
      </c>
      <c r="Y1476" s="1">
        <f t="shared" si="115"/>
        <v>1352.9870000000001</v>
      </c>
      <c r="Z1476" s="2">
        <f t="shared" si="116"/>
        <v>73910.5</v>
      </c>
      <c r="AA1476" s="2">
        <f t="shared" si="117"/>
        <v>73910.540160400647</v>
      </c>
      <c r="AB1476" s="1">
        <f t="shared" si="118"/>
        <v>7.7313839734010986E-2</v>
      </c>
      <c r="AC1476" s="1" t="b">
        <f t="shared" si="119"/>
        <v>1</v>
      </c>
    </row>
    <row r="1477" spans="1:29" x14ac:dyDescent="0.25">
      <c r="A1477" s="1">
        <v>1352.6969999999999</v>
      </c>
      <c r="B1477">
        <v>600</v>
      </c>
      <c r="D1477" s="2">
        <v>73926.399999999994</v>
      </c>
      <c r="M1477">
        <v>15</v>
      </c>
      <c r="Y1477" s="1">
        <f t="shared" si="115"/>
        <v>1352.6969999999999</v>
      </c>
      <c r="Z1477" s="2">
        <f t="shared" si="116"/>
        <v>73926.399999999994</v>
      </c>
      <c r="AA1477" s="2">
        <f t="shared" si="117"/>
        <v>73926.385583763404</v>
      </c>
      <c r="AB1477" s="1">
        <f t="shared" si="118"/>
        <v>7.7325552427396305E-2</v>
      </c>
      <c r="AC1477" s="1" t="b">
        <f t="shared" si="119"/>
        <v>1</v>
      </c>
    </row>
    <row r="1478" spans="1:29" x14ac:dyDescent="0.25">
      <c r="A1478" s="1">
        <v>1352.511</v>
      </c>
      <c r="B1478">
        <v>300</v>
      </c>
      <c r="D1478" s="2">
        <v>73936.5</v>
      </c>
      <c r="E1478">
        <v>19360</v>
      </c>
      <c r="F1478" t="s">
        <v>15</v>
      </c>
      <c r="G1478" t="s">
        <v>50</v>
      </c>
      <c r="H1478">
        <v>93296</v>
      </c>
      <c r="I1478" t="s">
        <v>17</v>
      </c>
      <c r="J1478" t="s">
        <v>23</v>
      </c>
      <c r="K1478">
        <v>19360.099999999999</v>
      </c>
      <c r="L1478">
        <v>93296.5</v>
      </c>
      <c r="M1478">
        <v>15</v>
      </c>
      <c r="Y1478" s="1">
        <f t="shared" si="115"/>
        <v>1352.511</v>
      </c>
      <c r="Z1478" s="2">
        <f t="shared" si="116"/>
        <v>73936.5</v>
      </c>
      <c r="AA1478" s="2">
        <f t="shared" si="117"/>
        <v>73936.5520871919</v>
      </c>
      <c r="AB1478" s="1">
        <f t="shared" si="118"/>
        <v>7.7333068672710212E-2</v>
      </c>
      <c r="AC1478" s="1" t="b">
        <f t="shared" si="119"/>
        <v>1</v>
      </c>
    </row>
    <row r="1479" spans="1:29" x14ac:dyDescent="0.25">
      <c r="A1479" s="1">
        <v>1350.905</v>
      </c>
      <c r="B1479">
        <v>1</v>
      </c>
      <c r="D1479" s="2">
        <v>74024.399999999994</v>
      </c>
      <c r="M1479">
        <v>15</v>
      </c>
      <c r="Y1479" s="1">
        <f t="shared" si="115"/>
        <v>1350.905</v>
      </c>
      <c r="Z1479" s="2">
        <f t="shared" si="116"/>
        <v>74024.399999999994</v>
      </c>
      <c r="AA1479" s="2">
        <f t="shared" si="117"/>
        <v>74024.450275926138</v>
      </c>
      <c r="AB1479" s="1">
        <f t="shared" si="118"/>
        <v>7.7398096193265306E-2</v>
      </c>
      <c r="AC1479" s="1" t="b">
        <f t="shared" si="119"/>
        <v>1</v>
      </c>
    </row>
    <row r="1480" spans="1:29" x14ac:dyDescent="0.25">
      <c r="A1480" s="1">
        <v>1350.326</v>
      </c>
      <c r="B1480">
        <v>10</v>
      </c>
      <c r="C1480" t="s">
        <v>123</v>
      </c>
      <c r="D1480" s="2">
        <v>74056.2</v>
      </c>
      <c r="M1480">
        <v>15</v>
      </c>
      <c r="Y1480" s="1">
        <f t="shared" si="115"/>
        <v>1350.326</v>
      </c>
      <c r="Z1480" s="2">
        <f t="shared" si="116"/>
        <v>74056.2</v>
      </c>
      <c r="AA1480" s="2">
        <f t="shared" si="117"/>
        <v>74056.190875388609</v>
      </c>
      <c r="AB1480" s="1">
        <f t="shared" si="118"/>
        <v>7.7421597034859957E-2</v>
      </c>
      <c r="AC1480" s="1" t="b">
        <f t="shared" si="119"/>
        <v>1</v>
      </c>
    </row>
    <row r="1481" spans="1:29" x14ac:dyDescent="0.25">
      <c r="A1481" s="1">
        <v>1350.171</v>
      </c>
      <c r="B1481">
        <v>20</v>
      </c>
      <c r="D1481" s="2">
        <v>74064.7</v>
      </c>
      <c r="M1481">
        <v>15</v>
      </c>
      <c r="Y1481" s="1">
        <f t="shared" si="115"/>
        <v>1350.171</v>
      </c>
      <c r="Z1481" s="2">
        <f t="shared" si="116"/>
        <v>74064.7</v>
      </c>
      <c r="AA1481" s="2">
        <f t="shared" si="117"/>
        <v>74064.692546351536</v>
      </c>
      <c r="AB1481" s="1">
        <f t="shared" si="118"/>
        <v>7.7427893409927909E-2</v>
      </c>
      <c r="AC1481" s="1" t="b">
        <f t="shared" si="119"/>
        <v>1</v>
      </c>
    </row>
    <row r="1482" spans="1:29" x14ac:dyDescent="0.25">
      <c r="A1482" s="1">
        <v>1349.74</v>
      </c>
      <c r="B1482">
        <v>1</v>
      </c>
      <c r="D1482" s="2">
        <v>74088.3</v>
      </c>
      <c r="E1482">
        <v>61357</v>
      </c>
      <c r="F1482" t="s">
        <v>17</v>
      </c>
      <c r="G1482" t="s">
        <v>16</v>
      </c>
      <c r="H1482">
        <v>135445</v>
      </c>
      <c r="I1482" t="s">
        <v>15</v>
      </c>
      <c r="J1482" t="s">
        <v>18</v>
      </c>
      <c r="K1482">
        <v>61357.04</v>
      </c>
      <c r="L1482">
        <v>135445.20000000001</v>
      </c>
      <c r="M1482">
        <v>15</v>
      </c>
      <c r="Y1482" s="1">
        <f t="shared" si="115"/>
        <v>1349.74</v>
      </c>
      <c r="Z1482" s="2">
        <f t="shared" si="116"/>
        <v>74088.3</v>
      </c>
      <c r="AA1482" s="2">
        <f t="shared" si="117"/>
        <v>74088.342940121802</v>
      </c>
      <c r="AB1482" s="1">
        <f t="shared" si="118"/>
        <v>7.744541279806548E-2</v>
      </c>
      <c r="AC1482" s="1" t="b">
        <f t="shared" si="119"/>
        <v>1</v>
      </c>
    </row>
    <row r="1483" spans="1:29" x14ac:dyDescent="0.25">
      <c r="A1483" s="1">
        <v>1349.6179999999999</v>
      </c>
      <c r="B1483">
        <v>7</v>
      </c>
      <c r="D1483" s="2">
        <v>74095</v>
      </c>
      <c r="E1483">
        <v>19872</v>
      </c>
      <c r="F1483" t="s">
        <v>15</v>
      </c>
      <c r="G1483" t="s">
        <v>18</v>
      </c>
      <c r="H1483">
        <v>93967</v>
      </c>
      <c r="I1483" t="s">
        <v>17</v>
      </c>
      <c r="J1483" t="s">
        <v>18</v>
      </c>
      <c r="K1483">
        <v>19872.43</v>
      </c>
      <c r="L1483">
        <v>93967.4</v>
      </c>
      <c r="M1483">
        <v>15</v>
      </c>
      <c r="Y1483" s="1">
        <f t="shared" si="115"/>
        <v>1349.6179999999999</v>
      </c>
      <c r="Z1483" s="2">
        <f t="shared" si="116"/>
        <v>74095</v>
      </c>
      <c r="AA1483" s="2">
        <f t="shared" si="117"/>
        <v>74095.040226197336</v>
      </c>
      <c r="AB1483" s="1">
        <f t="shared" si="118"/>
        <v>7.7450374930609009E-2</v>
      </c>
      <c r="AC1483" s="1" t="b">
        <f t="shared" si="119"/>
        <v>1</v>
      </c>
    </row>
    <row r="1484" spans="1:29" x14ac:dyDescent="0.25">
      <c r="A1484" s="1">
        <v>1349.3340000000001</v>
      </c>
      <c r="B1484">
        <v>7</v>
      </c>
      <c r="D1484" s="2">
        <v>74110.600000000006</v>
      </c>
      <c r="E1484">
        <v>38785</v>
      </c>
      <c r="F1484" t="s">
        <v>15</v>
      </c>
      <c r="G1484" t="s">
        <v>57</v>
      </c>
      <c r="H1484">
        <v>112896</v>
      </c>
      <c r="I1484" t="s">
        <v>17</v>
      </c>
      <c r="J1484" t="s">
        <v>57</v>
      </c>
      <c r="K1484">
        <v>38785.760000000002</v>
      </c>
      <c r="L1484">
        <v>112896.3</v>
      </c>
      <c r="M1484">
        <v>15</v>
      </c>
      <c r="Y1484" s="1">
        <f t="shared" si="115"/>
        <v>1349.3340000000001</v>
      </c>
      <c r="Z1484" s="2">
        <f t="shared" si="116"/>
        <v>74110.600000000006</v>
      </c>
      <c r="AA1484" s="2">
        <f t="shared" si="117"/>
        <v>74110.635320832342</v>
      </c>
      <c r="AB1484" s="1">
        <f t="shared" si="118"/>
        <v>7.7461931338287021E-2</v>
      </c>
      <c r="AC1484" s="1" t="b">
        <f t="shared" si="119"/>
        <v>1</v>
      </c>
    </row>
    <row r="1485" spans="1:29" x14ac:dyDescent="0.25">
      <c r="A1485" s="1">
        <v>1349.059</v>
      </c>
      <c r="B1485">
        <v>5</v>
      </c>
      <c r="D1485" s="2">
        <v>74125.7</v>
      </c>
      <c r="M1485">
        <v>15</v>
      </c>
      <c r="Y1485" s="1">
        <f t="shared" si="115"/>
        <v>1349.059</v>
      </c>
      <c r="Z1485" s="2">
        <f t="shared" si="116"/>
        <v>74125.7</v>
      </c>
      <c r="AA1485" s="2">
        <f t="shared" si="117"/>
        <v>74125.742461967937</v>
      </c>
      <c r="AB1485" s="1">
        <f t="shared" si="118"/>
        <v>7.7473128477689987E-2</v>
      </c>
      <c r="AC1485" s="1" t="b">
        <f t="shared" si="119"/>
        <v>1</v>
      </c>
    </row>
    <row r="1486" spans="1:29" x14ac:dyDescent="0.25">
      <c r="A1486" s="1">
        <v>1347.5129999999999</v>
      </c>
      <c r="B1486">
        <v>10</v>
      </c>
      <c r="D1486" s="2">
        <v>74210.8</v>
      </c>
      <c r="E1486">
        <v>36670</v>
      </c>
      <c r="F1486" t="s">
        <v>15</v>
      </c>
      <c r="G1486" t="s">
        <v>23</v>
      </c>
      <c r="H1486">
        <v>110881</v>
      </c>
      <c r="I1486" t="s">
        <v>17</v>
      </c>
      <c r="J1486" t="s">
        <v>23</v>
      </c>
      <c r="K1486">
        <v>36670.57</v>
      </c>
      <c r="L1486">
        <v>110881.1</v>
      </c>
      <c r="M1486">
        <v>15</v>
      </c>
      <c r="Y1486" s="1">
        <f t="shared" si="115"/>
        <v>1347.5129999999999</v>
      </c>
      <c r="Z1486" s="2">
        <f t="shared" si="116"/>
        <v>74210.8</v>
      </c>
      <c r="AA1486" s="2">
        <f t="shared" si="117"/>
        <v>74210.786834709579</v>
      </c>
      <c r="AB1486" s="1">
        <f t="shared" si="118"/>
        <v>7.7536204413133525E-2</v>
      </c>
      <c r="AC1486" s="1" t="b">
        <f t="shared" si="119"/>
        <v>1</v>
      </c>
    </row>
    <row r="1487" spans="1:29" x14ac:dyDescent="0.25">
      <c r="A1487" s="1">
        <v>1347.328</v>
      </c>
      <c r="B1487">
        <v>5</v>
      </c>
      <c r="D1487" s="2">
        <v>74221</v>
      </c>
      <c r="M1487">
        <v>15</v>
      </c>
      <c r="Y1487" s="1">
        <f t="shared" si="115"/>
        <v>1347.328</v>
      </c>
      <c r="Z1487" s="2">
        <f t="shared" si="116"/>
        <v>74221</v>
      </c>
      <c r="AA1487" s="2">
        <f t="shared" si="117"/>
        <v>74220.976629298879</v>
      </c>
      <c r="AB1487" s="1">
        <f t="shared" si="118"/>
        <v>7.7543766859034663E-2</v>
      </c>
      <c r="AC1487" s="1" t="b">
        <f t="shared" si="119"/>
        <v>1</v>
      </c>
    </row>
    <row r="1488" spans="1:29" x14ac:dyDescent="0.25">
      <c r="A1488" s="1">
        <v>1347.162</v>
      </c>
      <c r="B1488">
        <v>30</v>
      </c>
      <c r="D1488" s="2">
        <v>74230.100000000006</v>
      </c>
      <c r="E1488">
        <v>18211</v>
      </c>
      <c r="F1488" t="s">
        <v>15</v>
      </c>
      <c r="G1488" t="s">
        <v>28</v>
      </c>
      <c r="H1488">
        <v>92441</v>
      </c>
      <c r="I1488" t="s">
        <v>17</v>
      </c>
      <c r="J1488" t="s">
        <v>18</v>
      </c>
      <c r="K1488">
        <v>18211.759999999998</v>
      </c>
      <c r="L1488">
        <v>92441.7</v>
      </c>
      <c r="M1488">
        <v>15</v>
      </c>
      <c r="Y1488" s="1">
        <f t="shared" si="115"/>
        <v>1347.162</v>
      </c>
      <c r="Z1488" s="2">
        <f t="shared" si="116"/>
        <v>74230.100000000006</v>
      </c>
      <c r="AA1488" s="2">
        <f t="shared" si="117"/>
        <v>74230.122286703452</v>
      </c>
      <c r="AB1488" s="1">
        <f t="shared" si="118"/>
        <v>7.7550555273494748E-2</v>
      </c>
      <c r="AC1488" s="1" t="b">
        <f t="shared" si="119"/>
        <v>1</v>
      </c>
    </row>
    <row r="1489" spans="1:29" x14ac:dyDescent="0.25">
      <c r="A1489" s="1">
        <v>1345.174</v>
      </c>
      <c r="B1489">
        <v>100</v>
      </c>
      <c r="C1489" t="s">
        <v>123</v>
      </c>
      <c r="D1489" s="2">
        <v>74339.8</v>
      </c>
      <c r="E1489">
        <v>39485</v>
      </c>
      <c r="F1489" t="s">
        <v>15</v>
      </c>
      <c r="G1489" t="s">
        <v>258</v>
      </c>
      <c r="H1489">
        <v>113825</v>
      </c>
      <c r="I1489" t="s">
        <v>17</v>
      </c>
      <c r="J1489" t="s">
        <v>29</v>
      </c>
      <c r="K1489">
        <v>39485.480000000003</v>
      </c>
      <c r="L1489">
        <v>113825.5</v>
      </c>
      <c r="M1489">
        <v>15</v>
      </c>
      <c r="Y1489" s="1">
        <f t="shared" si="115"/>
        <v>1345.174</v>
      </c>
      <c r="Z1489" s="2">
        <f t="shared" si="116"/>
        <v>74339.8</v>
      </c>
      <c r="AA1489" s="2">
        <f t="shared" si="117"/>
        <v>74339.825182467102</v>
      </c>
      <c r="AB1489" s="1">
        <f t="shared" si="118"/>
        <v>7.7632048040798846E-2</v>
      </c>
      <c r="AC1489" s="1" t="b">
        <f t="shared" si="119"/>
        <v>1</v>
      </c>
    </row>
    <row r="1490" spans="1:29" x14ac:dyDescent="0.25">
      <c r="A1490" s="1">
        <v>1345.087</v>
      </c>
      <c r="B1490">
        <v>200</v>
      </c>
      <c r="C1490" t="s">
        <v>125</v>
      </c>
      <c r="D1490" s="2">
        <v>74344.600000000006</v>
      </c>
      <c r="M1490">
        <v>15</v>
      </c>
      <c r="Y1490" s="1">
        <f t="shared" si="115"/>
        <v>1345.087</v>
      </c>
      <c r="Z1490" s="2">
        <f t="shared" si="116"/>
        <v>74344.600000000006</v>
      </c>
      <c r="AA1490" s="2">
        <f t="shared" si="117"/>
        <v>74344.633469805296</v>
      </c>
      <c r="AB1490" s="1">
        <f t="shared" si="118"/>
        <v>7.7635622628798473E-2</v>
      </c>
      <c r="AC1490" s="1" t="b">
        <f t="shared" si="119"/>
        <v>1</v>
      </c>
    </row>
    <row r="1491" spans="1:29" x14ac:dyDescent="0.25">
      <c r="A1491" s="1">
        <v>1344.704</v>
      </c>
      <c r="B1491">
        <v>5</v>
      </c>
      <c r="D1491" s="2">
        <v>74365.8</v>
      </c>
      <c r="M1491">
        <v>15</v>
      </c>
      <c r="Y1491" s="1">
        <f t="shared" si="115"/>
        <v>1344.704</v>
      </c>
      <c r="Z1491" s="2">
        <f t="shared" si="116"/>
        <v>74365.8</v>
      </c>
      <c r="AA1491" s="2">
        <f t="shared" si="117"/>
        <v>74365.808386083489</v>
      </c>
      <c r="AB1491" s="1">
        <f t="shared" si="118"/>
        <v>7.7651367284578429E-2</v>
      </c>
      <c r="AC1491" s="1" t="b">
        <f t="shared" si="119"/>
        <v>1</v>
      </c>
    </row>
    <row r="1492" spans="1:29" x14ac:dyDescent="0.25">
      <c r="A1492" s="1">
        <v>1344.3230000000001</v>
      </c>
      <c r="B1492">
        <v>10</v>
      </c>
      <c r="D1492" s="2">
        <v>74386.899999999994</v>
      </c>
      <c r="M1492">
        <v>15</v>
      </c>
      <c r="Y1492" s="1">
        <f t="shared" si="115"/>
        <v>1344.3230000000001</v>
      </c>
      <c r="Z1492" s="2">
        <f t="shared" si="116"/>
        <v>74386.899999999994</v>
      </c>
      <c r="AA1492" s="2">
        <f t="shared" si="117"/>
        <v>74386.884699584843</v>
      </c>
      <c r="AB1492" s="1">
        <f t="shared" si="118"/>
        <v>7.7667043076546649E-2</v>
      </c>
      <c r="AC1492" s="1" t="b">
        <f t="shared" si="119"/>
        <v>1</v>
      </c>
    </row>
    <row r="1493" spans="1:29" x14ac:dyDescent="0.25">
      <c r="A1493" s="1">
        <v>1342.855</v>
      </c>
      <c r="B1493">
        <v>10</v>
      </c>
      <c r="D1493" s="2">
        <v>74468.2</v>
      </c>
      <c r="E1493">
        <v>36642</v>
      </c>
      <c r="F1493" t="s">
        <v>15</v>
      </c>
      <c r="G1493" t="s">
        <v>50</v>
      </c>
      <c r="H1493">
        <v>111110</v>
      </c>
      <c r="I1493" t="s">
        <v>17</v>
      </c>
      <c r="J1493" t="s">
        <v>50</v>
      </c>
      <c r="K1493">
        <v>36642.129999999997</v>
      </c>
      <c r="L1493">
        <v>111110.3</v>
      </c>
      <c r="M1493">
        <v>15</v>
      </c>
      <c r="Y1493" s="1">
        <f t="shared" si="115"/>
        <v>1342.855</v>
      </c>
      <c r="Z1493" s="2">
        <f t="shared" si="116"/>
        <v>74468.2</v>
      </c>
      <c r="AA1493" s="2">
        <f t="shared" si="117"/>
        <v>74468.203938623308</v>
      </c>
      <c r="AB1493" s="1">
        <f t="shared" si="118"/>
        <v>7.7727566989221966E-2</v>
      </c>
      <c r="AC1493" s="1" t="b">
        <f t="shared" si="119"/>
        <v>1</v>
      </c>
    </row>
    <row r="1494" spans="1:29" x14ac:dyDescent="0.25">
      <c r="A1494" s="1">
        <v>1342.259</v>
      </c>
      <c r="B1494">
        <v>100</v>
      </c>
      <c r="D1494" s="2">
        <v>74501.3</v>
      </c>
      <c r="M1494">
        <v>15</v>
      </c>
      <c r="Y1494" s="1">
        <f t="shared" si="115"/>
        <v>1342.259</v>
      </c>
      <c r="Z1494" s="2">
        <f t="shared" si="116"/>
        <v>74501.3</v>
      </c>
      <c r="AA1494" s="2">
        <f t="shared" si="117"/>
        <v>74501.269874145</v>
      </c>
      <c r="AB1494" s="1">
        <f t="shared" si="118"/>
        <v>7.7752196064300935E-2</v>
      </c>
      <c r="AC1494" s="1" t="b">
        <f t="shared" si="119"/>
        <v>1</v>
      </c>
    </row>
    <row r="1495" spans="1:29" x14ac:dyDescent="0.25">
      <c r="A1495" s="1">
        <v>1338.81</v>
      </c>
      <c r="B1495">
        <v>4</v>
      </c>
      <c r="D1495" s="2">
        <v>74693.2</v>
      </c>
      <c r="E1495">
        <v>36642</v>
      </c>
      <c r="F1495" t="s">
        <v>15</v>
      </c>
      <c r="G1495" t="s">
        <v>50</v>
      </c>
      <c r="H1495">
        <v>111335</v>
      </c>
      <c r="I1495" t="s">
        <v>17</v>
      </c>
      <c r="J1495" t="s">
        <v>57</v>
      </c>
      <c r="K1495">
        <v>36642.129999999997</v>
      </c>
      <c r="L1495">
        <v>111335.1</v>
      </c>
      <c r="M1495">
        <v>15</v>
      </c>
      <c r="Y1495" s="1">
        <f t="shared" si="115"/>
        <v>1338.81</v>
      </c>
      <c r="Z1495" s="2">
        <f t="shared" si="116"/>
        <v>74693.2</v>
      </c>
      <c r="AA1495" s="2">
        <f t="shared" si="117"/>
        <v>74693.197690486326</v>
      </c>
      <c r="AB1495" s="1">
        <f t="shared" si="118"/>
        <v>7.789536890615037E-2</v>
      </c>
      <c r="AC1495" s="1" t="b">
        <f t="shared" si="119"/>
        <v>1</v>
      </c>
    </row>
    <row r="1496" spans="1:29" x14ac:dyDescent="0.25">
      <c r="A1496" s="1">
        <v>1338.568</v>
      </c>
      <c r="B1496">
        <v>2</v>
      </c>
      <c r="C1496" t="s">
        <v>123</v>
      </c>
      <c r="D1496" s="2">
        <v>74706.7</v>
      </c>
      <c r="M1496">
        <v>15</v>
      </c>
      <c r="Y1496" s="1">
        <f t="shared" si="115"/>
        <v>1338.568</v>
      </c>
      <c r="Z1496" s="2">
        <f t="shared" si="116"/>
        <v>74706.7</v>
      </c>
      <c r="AA1496" s="2">
        <f t="shared" si="117"/>
        <v>74706.701489950457</v>
      </c>
      <c r="AB1496" s="1">
        <f t="shared" si="118"/>
        <v>7.7905456237542831E-2</v>
      </c>
      <c r="AC1496" s="1" t="b">
        <f t="shared" si="119"/>
        <v>1</v>
      </c>
    </row>
    <row r="1497" spans="1:29" x14ac:dyDescent="0.25">
      <c r="A1497" s="1">
        <v>1337.4680000000001</v>
      </c>
      <c r="B1497">
        <v>40</v>
      </c>
      <c r="C1497" t="s">
        <v>123</v>
      </c>
      <c r="D1497" s="2">
        <v>74768.100000000006</v>
      </c>
      <c r="M1497">
        <v>15</v>
      </c>
      <c r="Y1497" s="1">
        <f t="shared" si="115"/>
        <v>1337.4680000000001</v>
      </c>
      <c r="Z1497" s="2">
        <f t="shared" si="116"/>
        <v>74768.100000000006</v>
      </c>
      <c r="AA1497" s="2">
        <f t="shared" si="117"/>
        <v>74768.143985500952</v>
      </c>
      <c r="AB1497" s="1">
        <f t="shared" si="118"/>
        <v>7.7951376775183018E-2</v>
      </c>
      <c r="AC1497" s="1" t="b">
        <f t="shared" si="119"/>
        <v>1</v>
      </c>
    </row>
    <row r="1498" spans="1:29" x14ac:dyDescent="0.25">
      <c r="A1498" s="1">
        <v>1335.134</v>
      </c>
      <c r="B1498">
        <v>100</v>
      </c>
      <c r="D1498" s="2">
        <v>74898.8</v>
      </c>
      <c r="E1498">
        <v>38701</v>
      </c>
      <c r="F1498" t="s">
        <v>15</v>
      </c>
      <c r="G1498" t="s">
        <v>50</v>
      </c>
      <c r="H1498">
        <v>113600</v>
      </c>
      <c r="I1498" t="s">
        <v>17</v>
      </c>
      <c r="J1498" t="s">
        <v>50</v>
      </c>
      <c r="K1498">
        <v>38701.589999999997</v>
      </c>
      <c r="L1498">
        <v>113600.3</v>
      </c>
      <c r="M1498">
        <v>15</v>
      </c>
      <c r="Y1498" s="1">
        <f t="shared" si="115"/>
        <v>1335.134</v>
      </c>
      <c r="Z1498" s="2">
        <f t="shared" si="116"/>
        <v>74898.8</v>
      </c>
      <c r="AA1498" s="2">
        <f t="shared" si="117"/>
        <v>74898.849104284658</v>
      </c>
      <c r="AB1498" s="1">
        <f t="shared" si="118"/>
        <v>7.8049187985732016E-2</v>
      </c>
      <c r="AC1498" s="1" t="b">
        <f t="shared" si="119"/>
        <v>1</v>
      </c>
    </row>
    <row r="1499" spans="1:29" x14ac:dyDescent="0.25">
      <c r="A1499" s="1">
        <v>1334.9829999999999</v>
      </c>
      <c r="B1499">
        <v>10</v>
      </c>
      <c r="D1499" s="2">
        <v>74907.3</v>
      </c>
      <c r="M1499">
        <v>15</v>
      </c>
      <c r="Y1499" s="1">
        <f t="shared" si="115"/>
        <v>1334.9829999999999</v>
      </c>
      <c r="Z1499" s="2">
        <f t="shared" si="116"/>
        <v>74907.3</v>
      </c>
      <c r="AA1499" s="2">
        <f t="shared" si="117"/>
        <v>74907.320917195204</v>
      </c>
      <c r="AB1499" s="1">
        <f t="shared" si="118"/>
        <v>7.805553363495836E-2</v>
      </c>
      <c r="AC1499" s="1" t="b">
        <f t="shared" si="119"/>
        <v>1</v>
      </c>
    </row>
    <row r="1500" spans="1:29" x14ac:dyDescent="0.25">
      <c r="A1500" s="1">
        <v>1334.8109999999999</v>
      </c>
      <c r="B1500">
        <v>2</v>
      </c>
      <c r="D1500" s="2">
        <v>74917</v>
      </c>
      <c r="M1500">
        <v>15</v>
      </c>
      <c r="Y1500" s="1">
        <f t="shared" si="115"/>
        <v>1334.8109999999999</v>
      </c>
      <c r="Z1500" s="2">
        <f t="shared" si="116"/>
        <v>74917</v>
      </c>
      <c r="AA1500" s="2">
        <f t="shared" si="117"/>
        <v>74916.973264379762</v>
      </c>
      <c r="AB1500" s="1">
        <f t="shared" si="118"/>
        <v>7.8062764415478963E-2</v>
      </c>
      <c r="AC1500" s="1" t="b">
        <f t="shared" si="119"/>
        <v>1</v>
      </c>
    </row>
    <row r="1501" spans="1:29" x14ac:dyDescent="0.25">
      <c r="A1501" s="1" t="s">
        <v>529</v>
      </c>
      <c r="B1501">
        <v>20</v>
      </c>
      <c r="C1501" t="s">
        <v>123</v>
      </c>
      <c r="D1501" s="2">
        <v>74973.600000000006</v>
      </c>
      <c r="M1501">
        <v>16</v>
      </c>
      <c r="Y1501" s="1">
        <f t="shared" si="115"/>
        <v>1333.8019999999999</v>
      </c>
      <c r="Z1501" s="2">
        <f t="shared" si="116"/>
        <v>74973.600000000006</v>
      </c>
      <c r="AA1501" s="2">
        <f t="shared" si="117"/>
        <v>74973.64676316276</v>
      </c>
      <c r="AB1501" s="1">
        <f t="shared" si="118"/>
        <v>7.810523854483753E-2</v>
      </c>
      <c r="AC1501" s="1" t="b">
        <f t="shared" si="119"/>
        <v>1</v>
      </c>
    </row>
    <row r="1502" spans="1:29" x14ac:dyDescent="0.25">
      <c r="A1502" s="1" t="s">
        <v>530</v>
      </c>
      <c r="B1502">
        <v>1</v>
      </c>
      <c r="D1502" s="2">
        <v>75054.8</v>
      </c>
      <c r="E1502">
        <v>18241</v>
      </c>
      <c r="F1502" t="s">
        <v>15</v>
      </c>
      <c r="G1502" t="s">
        <v>23</v>
      </c>
      <c r="H1502">
        <v>93296</v>
      </c>
      <c r="I1502" t="s">
        <v>17</v>
      </c>
      <c r="J1502" t="s">
        <v>23</v>
      </c>
      <c r="K1502">
        <v>18241.54</v>
      </c>
      <c r="L1502">
        <v>93296.5</v>
      </c>
      <c r="M1502">
        <v>16</v>
      </c>
      <c r="Y1502" s="1">
        <f t="shared" si="115"/>
        <v>1332.3589999999999</v>
      </c>
      <c r="Z1502" s="2">
        <f t="shared" si="116"/>
        <v>75054.8</v>
      </c>
      <c r="AA1502" s="2">
        <f t="shared" si="117"/>
        <v>75054.846328954882</v>
      </c>
      <c r="AB1502" s="1">
        <f t="shared" si="118"/>
        <v>7.8166149787315162E-2</v>
      </c>
      <c r="AC1502" s="1" t="b">
        <f t="shared" si="119"/>
        <v>1</v>
      </c>
    </row>
    <row r="1503" spans="1:29" x14ac:dyDescent="0.25">
      <c r="A1503" s="1" t="s">
        <v>531</v>
      </c>
      <c r="B1503">
        <v>1</v>
      </c>
      <c r="D1503" s="2">
        <v>75103.8</v>
      </c>
      <c r="E1503">
        <v>15525</v>
      </c>
      <c r="F1503" t="s">
        <v>15</v>
      </c>
      <c r="G1503" t="s">
        <v>23</v>
      </c>
      <c r="H1503">
        <v>90629</v>
      </c>
      <c r="I1503" t="s">
        <v>17</v>
      </c>
      <c r="J1503" t="s">
        <v>16</v>
      </c>
      <c r="K1503">
        <v>15525.5</v>
      </c>
      <c r="L1503">
        <v>90629.2</v>
      </c>
      <c r="M1503">
        <v>16</v>
      </c>
      <c r="Y1503" s="1">
        <f t="shared" si="115"/>
        <v>1331.49</v>
      </c>
      <c r="Z1503" s="2">
        <f t="shared" si="116"/>
        <v>75103.8</v>
      </c>
      <c r="AA1503" s="2">
        <f t="shared" si="117"/>
        <v>75103.831046421677</v>
      </c>
      <c r="AB1503" s="1">
        <f t="shared" si="118"/>
        <v>7.8202927189247262E-2</v>
      </c>
      <c r="AC1503" s="1" t="b">
        <f t="shared" si="119"/>
        <v>1</v>
      </c>
    </row>
    <row r="1504" spans="1:29" x14ac:dyDescent="0.25">
      <c r="A1504" s="1" t="s">
        <v>532</v>
      </c>
      <c r="B1504">
        <v>60</v>
      </c>
      <c r="D1504" s="2">
        <v>75132.3</v>
      </c>
      <c r="E1504">
        <v>38701</v>
      </c>
      <c r="F1504" t="s">
        <v>15</v>
      </c>
      <c r="G1504" t="s">
        <v>50</v>
      </c>
      <c r="H1504">
        <v>113833</v>
      </c>
      <c r="I1504" t="s">
        <v>17</v>
      </c>
      <c r="J1504" t="s">
        <v>57</v>
      </c>
      <c r="K1504">
        <v>38701.589999999997</v>
      </c>
      <c r="L1504">
        <v>113833.9</v>
      </c>
      <c r="M1504">
        <v>16</v>
      </c>
      <c r="Y1504" s="1">
        <f t="shared" si="115"/>
        <v>1330.9849999999999</v>
      </c>
      <c r="Z1504" s="2">
        <f t="shared" si="116"/>
        <v>75132.3</v>
      </c>
      <c r="AA1504" s="2">
        <f t="shared" si="117"/>
        <v>75132.326810595172</v>
      </c>
      <c r="AB1504" s="1">
        <f t="shared" si="118"/>
        <v>7.8224332659870388E-2</v>
      </c>
      <c r="AC1504" s="1" t="b">
        <f t="shared" si="119"/>
        <v>1</v>
      </c>
    </row>
    <row r="1505" spans="1:29" x14ac:dyDescent="0.25">
      <c r="A1505" s="1" t="s">
        <v>533</v>
      </c>
      <c r="B1505">
        <v>1</v>
      </c>
      <c r="D1505" s="2">
        <v>75218.600000000006</v>
      </c>
      <c r="M1505">
        <v>16</v>
      </c>
      <c r="Y1505" s="1">
        <f t="shared" si="115"/>
        <v>1329.4590000000001</v>
      </c>
      <c r="Z1505" s="2">
        <f t="shared" si="116"/>
        <v>75218.600000000006</v>
      </c>
      <c r="AA1505" s="2">
        <f t="shared" si="117"/>
        <v>75218.566349169094</v>
      </c>
      <c r="AB1505" s="1">
        <f t="shared" si="118"/>
        <v>7.8289163618121771E-2</v>
      </c>
      <c r="AC1505" s="1" t="b">
        <f t="shared" si="119"/>
        <v>1</v>
      </c>
    </row>
    <row r="1506" spans="1:29" x14ac:dyDescent="0.25">
      <c r="A1506" s="1" t="s">
        <v>534</v>
      </c>
      <c r="B1506">
        <v>30</v>
      </c>
      <c r="D1506" s="2">
        <v>75275.600000000006</v>
      </c>
      <c r="E1506">
        <v>38549</v>
      </c>
      <c r="F1506" t="s">
        <v>15</v>
      </c>
      <c r="G1506" t="s">
        <v>258</v>
      </c>
      <c r="H1506">
        <v>113825</v>
      </c>
      <c r="I1506" t="s">
        <v>17</v>
      </c>
      <c r="J1506" t="s">
        <v>29</v>
      </c>
      <c r="K1506">
        <v>38549.9</v>
      </c>
      <c r="L1506">
        <v>113825.5</v>
      </c>
      <c r="M1506">
        <v>16</v>
      </c>
      <c r="Y1506" s="1">
        <f t="shared" si="115"/>
        <v>1328.452</v>
      </c>
      <c r="Z1506" s="2">
        <f t="shared" si="116"/>
        <v>75275.600000000006</v>
      </c>
      <c r="AA1506" s="2">
        <f t="shared" si="117"/>
        <v>75275.583912704416</v>
      </c>
      <c r="AB1506" s="1">
        <f t="shared" si="118"/>
        <v>7.8332067666993022E-2</v>
      </c>
      <c r="AC1506" s="1" t="b">
        <f t="shared" si="119"/>
        <v>1</v>
      </c>
    </row>
    <row r="1507" spans="1:29" x14ac:dyDescent="0.25">
      <c r="A1507" s="1" t="s">
        <v>535</v>
      </c>
      <c r="B1507">
        <v>5</v>
      </c>
      <c r="D1507" s="2">
        <v>75289.5</v>
      </c>
      <c r="E1507">
        <v>45805</v>
      </c>
      <c r="F1507" t="s">
        <v>15</v>
      </c>
      <c r="G1507" t="s">
        <v>16</v>
      </c>
      <c r="H1507">
        <v>121095</v>
      </c>
      <c r="I1507" t="s">
        <v>17</v>
      </c>
      <c r="J1507" t="s">
        <v>23</v>
      </c>
      <c r="K1507">
        <v>45805.95</v>
      </c>
      <c r="L1507">
        <v>121095.2</v>
      </c>
      <c r="M1507">
        <v>16</v>
      </c>
      <c r="Y1507" s="1">
        <f t="shared" si="115"/>
        <v>1328.2070000000001</v>
      </c>
      <c r="Z1507" s="2">
        <f t="shared" si="116"/>
        <v>75289.5</v>
      </c>
      <c r="AA1507" s="2">
        <f t="shared" si="117"/>
        <v>75289.469186655391</v>
      </c>
      <c r="AB1507" s="1">
        <f t="shared" si="118"/>
        <v>7.8342520852041658E-2</v>
      </c>
      <c r="AC1507" s="1" t="b">
        <f t="shared" si="119"/>
        <v>1</v>
      </c>
    </row>
    <row r="1508" spans="1:29" x14ac:dyDescent="0.25">
      <c r="A1508" s="1" t="s">
        <v>536</v>
      </c>
      <c r="B1508">
        <v>4</v>
      </c>
      <c r="D1508" s="2">
        <v>75462.899999999994</v>
      </c>
      <c r="E1508">
        <v>41026</v>
      </c>
      <c r="F1508" t="s">
        <v>15</v>
      </c>
      <c r="G1508" t="s">
        <v>528</v>
      </c>
      <c r="H1508">
        <v>116489</v>
      </c>
      <c r="I1508" t="s">
        <v>17</v>
      </c>
      <c r="J1508" t="s">
        <v>528</v>
      </c>
      <c r="K1508">
        <v>41026.870000000003</v>
      </c>
      <c r="L1508">
        <v>116489.8</v>
      </c>
      <c r="M1508">
        <v>16</v>
      </c>
      <c r="Y1508" s="1">
        <f t="shared" si="115"/>
        <v>1325.155</v>
      </c>
      <c r="Z1508" s="2">
        <f t="shared" si="116"/>
        <v>75462.899999999994</v>
      </c>
      <c r="AA1508" s="2">
        <f t="shared" si="117"/>
        <v>75462.870381200686</v>
      </c>
      <c r="AB1508" s="1">
        <f t="shared" si="118"/>
        <v>7.8473224030849484E-2</v>
      </c>
      <c r="AC1508" s="1" t="b">
        <f t="shared" si="119"/>
        <v>1</v>
      </c>
    </row>
    <row r="1509" spans="1:29" x14ac:dyDescent="0.25">
      <c r="A1509" s="1" t="s">
        <v>537</v>
      </c>
      <c r="B1509">
        <v>50</v>
      </c>
      <c r="C1509" t="s">
        <v>123</v>
      </c>
      <c r="D1509" s="2">
        <v>75494.8</v>
      </c>
      <c r="M1509">
        <v>16</v>
      </c>
      <c r="Y1509" s="1">
        <f t="shared" si="115"/>
        <v>1324.595</v>
      </c>
      <c r="Z1509" s="2">
        <f t="shared" si="116"/>
        <v>75494.8</v>
      </c>
      <c r="AA1509" s="2">
        <f t="shared" si="117"/>
        <v>75494.773874278559</v>
      </c>
      <c r="AB1509" s="1">
        <f t="shared" si="118"/>
        <v>7.8497304411642266E-2</v>
      </c>
      <c r="AC1509" s="1" t="b">
        <f t="shared" si="119"/>
        <v>1</v>
      </c>
    </row>
    <row r="1510" spans="1:29" x14ac:dyDescent="0.25">
      <c r="A1510" s="1" t="s">
        <v>538</v>
      </c>
      <c r="B1510">
        <v>1</v>
      </c>
      <c r="D1510" s="2">
        <v>75621.399999999994</v>
      </c>
      <c r="M1510">
        <v>16</v>
      </c>
      <c r="Y1510" s="1">
        <f t="shared" si="115"/>
        <v>1322.376</v>
      </c>
      <c r="Z1510" s="2">
        <f t="shared" si="116"/>
        <v>75621.399999999994</v>
      </c>
      <c r="AA1510" s="2">
        <f t="shared" si="117"/>
        <v>75621.457134733238</v>
      </c>
      <c r="AB1510" s="1">
        <f t="shared" si="118"/>
        <v>7.859302389590149E-2</v>
      </c>
      <c r="AC1510" s="1" t="b">
        <f t="shared" si="119"/>
        <v>1</v>
      </c>
    </row>
    <row r="1511" spans="1:29" x14ac:dyDescent="0.25">
      <c r="A1511" s="1" t="s">
        <v>539</v>
      </c>
      <c r="B1511">
        <v>5</v>
      </c>
      <c r="D1511" s="2">
        <v>75670.399999999994</v>
      </c>
      <c r="E1511">
        <v>39732</v>
      </c>
      <c r="F1511" t="s">
        <v>15</v>
      </c>
      <c r="G1511" t="s">
        <v>23</v>
      </c>
      <c r="H1511">
        <v>115403</v>
      </c>
      <c r="I1511" t="s">
        <v>17</v>
      </c>
      <c r="J1511" t="s">
        <v>23</v>
      </c>
      <c r="K1511">
        <v>39732.99</v>
      </c>
      <c r="L1511">
        <v>115403.3</v>
      </c>
      <c r="M1511">
        <v>16</v>
      </c>
      <c r="Y1511" s="1">
        <f t="shared" si="115"/>
        <v>1321.52</v>
      </c>
      <c r="Z1511" s="2">
        <f t="shared" si="116"/>
        <v>75670.399999999994</v>
      </c>
      <c r="AA1511" s="2">
        <f t="shared" si="117"/>
        <v>75670.440099279615</v>
      </c>
      <c r="AB1511" s="1">
        <f t="shared" si="118"/>
        <v>7.8630077524093317E-2</v>
      </c>
      <c r="AC1511" s="1" t="b">
        <f t="shared" si="119"/>
        <v>1</v>
      </c>
    </row>
    <row r="1512" spans="1:29" x14ac:dyDescent="0.25">
      <c r="A1512" s="1" t="s">
        <v>540</v>
      </c>
      <c r="B1512">
        <v>1</v>
      </c>
      <c r="D1512" s="2">
        <v>75766.5</v>
      </c>
      <c r="E1512">
        <v>39732</v>
      </c>
      <c r="F1512" t="s">
        <v>15</v>
      </c>
      <c r="G1512" t="s">
        <v>23</v>
      </c>
      <c r="H1512">
        <v>115499</v>
      </c>
      <c r="I1512" t="s">
        <v>17</v>
      </c>
      <c r="J1512" t="s">
        <v>16</v>
      </c>
      <c r="K1512">
        <v>39732.99</v>
      </c>
      <c r="L1512">
        <v>115499.8</v>
      </c>
      <c r="M1512">
        <v>16</v>
      </c>
      <c r="Y1512" s="1">
        <f t="shared" si="115"/>
        <v>1319.8440000000001</v>
      </c>
      <c r="Z1512" s="2">
        <f t="shared" si="116"/>
        <v>75766.5</v>
      </c>
      <c r="AA1512" s="2">
        <f t="shared" si="117"/>
        <v>75766.529983846573</v>
      </c>
      <c r="AB1512" s="1">
        <f t="shared" si="118"/>
        <v>7.8702835328965604E-2</v>
      </c>
      <c r="AC1512" s="1" t="b">
        <f t="shared" si="119"/>
        <v>1</v>
      </c>
    </row>
    <row r="1513" spans="1:29" x14ac:dyDescent="0.25">
      <c r="A1513" s="1" t="s">
        <v>541</v>
      </c>
      <c r="B1513">
        <v>1</v>
      </c>
      <c r="D1513" s="2">
        <v>75769.3</v>
      </c>
      <c r="E1513">
        <v>14859</v>
      </c>
      <c r="F1513" t="s">
        <v>15</v>
      </c>
      <c r="G1513" t="s">
        <v>23</v>
      </c>
      <c r="H1513">
        <v>90629</v>
      </c>
      <c r="I1513" t="s">
        <v>17</v>
      </c>
      <c r="J1513" t="s">
        <v>16</v>
      </c>
      <c r="K1513">
        <v>14859.96</v>
      </c>
      <c r="L1513">
        <v>90629.2</v>
      </c>
      <c r="M1513">
        <v>16</v>
      </c>
      <c r="Y1513" s="1">
        <f t="shared" si="115"/>
        <v>1319.796</v>
      </c>
      <c r="Z1513" s="2">
        <f t="shared" si="116"/>
        <v>75769.3</v>
      </c>
      <c r="AA1513" s="2">
        <f t="shared" si="117"/>
        <v>75769.285556252624</v>
      </c>
      <c r="AB1513" s="1">
        <f t="shared" si="118"/>
        <v>7.870492316852476E-2</v>
      </c>
      <c r="AC1513" s="1" t="b">
        <f t="shared" si="119"/>
        <v>1</v>
      </c>
    </row>
    <row r="1514" spans="1:29" x14ac:dyDescent="0.25">
      <c r="A1514" s="1" t="s">
        <v>542</v>
      </c>
      <c r="B1514">
        <v>3</v>
      </c>
      <c r="D1514" s="2">
        <v>75946.399999999994</v>
      </c>
      <c r="E1514">
        <v>39725</v>
      </c>
      <c r="F1514" t="s">
        <v>15</v>
      </c>
      <c r="G1514" t="s">
        <v>57</v>
      </c>
      <c r="H1514">
        <v>115672</v>
      </c>
      <c r="I1514" t="s">
        <v>17</v>
      </c>
      <c r="J1514" t="s">
        <v>57</v>
      </c>
      <c r="K1514">
        <v>39725.99</v>
      </c>
      <c r="L1514">
        <v>115672.2</v>
      </c>
      <c r="M1514">
        <v>16</v>
      </c>
      <c r="Y1514" s="1">
        <f t="shared" si="115"/>
        <v>1316.7190000000001</v>
      </c>
      <c r="Z1514" s="2">
        <f t="shared" si="116"/>
        <v>75946.399999999994</v>
      </c>
      <c r="AA1514" s="2">
        <f t="shared" si="117"/>
        <v>75946.348461592788</v>
      </c>
      <c r="AB1514" s="1">
        <f t="shared" si="118"/>
        <v>7.8839239223248397E-2</v>
      </c>
      <c r="AC1514" s="1" t="b">
        <f t="shared" si="119"/>
        <v>1</v>
      </c>
    </row>
    <row r="1515" spans="1:29" x14ac:dyDescent="0.25">
      <c r="A1515" s="1" t="s">
        <v>543</v>
      </c>
      <c r="B1515">
        <v>1</v>
      </c>
      <c r="D1515" s="2">
        <v>75972.600000000006</v>
      </c>
      <c r="E1515">
        <v>36670</v>
      </c>
      <c r="F1515" t="s">
        <v>15</v>
      </c>
      <c r="G1515" t="s">
        <v>23</v>
      </c>
      <c r="H1515">
        <v>112643</v>
      </c>
      <c r="I1515" t="s">
        <v>17</v>
      </c>
      <c r="J1515" t="s">
        <v>23</v>
      </c>
      <c r="K1515">
        <v>36670.57</v>
      </c>
      <c r="L1515">
        <v>112643.2</v>
      </c>
      <c r="M1515">
        <v>16</v>
      </c>
      <c r="Y1515" s="1">
        <f t="shared" si="115"/>
        <v>1316.2639999999999</v>
      </c>
      <c r="Z1515" s="2">
        <f t="shared" si="116"/>
        <v>75972.600000000006</v>
      </c>
      <c r="AA1515" s="2">
        <f t="shared" si="117"/>
        <v>75972.601241088414</v>
      </c>
      <c r="AB1515" s="1">
        <f t="shared" si="118"/>
        <v>7.8859180696687153E-2</v>
      </c>
      <c r="AC1515" s="1" t="b">
        <f t="shared" si="119"/>
        <v>1</v>
      </c>
    </row>
    <row r="1516" spans="1:29" x14ac:dyDescent="0.25">
      <c r="A1516" s="1" t="s">
        <v>544</v>
      </c>
      <c r="B1516">
        <v>1</v>
      </c>
      <c r="D1516" s="2">
        <v>76011.199999999997</v>
      </c>
      <c r="E1516">
        <v>38785</v>
      </c>
      <c r="F1516" t="s">
        <v>15</v>
      </c>
      <c r="G1516" t="s">
        <v>57</v>
      </c>
      <c r="H1516">
        <v>114797</v>
      </c>
      <c r="I1516" t="s">
        <v>17</v>
      </c>
      <c r="J1516" t="s">
        <v>50</v>
      </c>
      <c r="K1516">
        <v>38785.760000000002</v>
      </c>
      <c r="L1516">
        <v>114797.2</v>
      </c>
      <c r="M1516">
        <v>16</v>
      </c>
      <c r="Y1516" s="1">
        <f t="shared" si="115"/>
        <v>1315.596</v>
      </c>
      <c r="Z1516" s="2">
        <f t="shared" si="116"/>
        <v>76011.199999999997</v>
      </c>
      <c r="AA1516" s="2">
        <f t="shared" si="117"/>
        <v>76011.17668341953</v>
      </c>
      <c r="AB1516" s="1">
        <f t="shared" si="118"/>
        <v>7.8888494903990108E-2</v>
      </c>
      <c r="AC1516" s="1" t="b">
        <f t="shared" si="119"/>
        <v>1</v>
      </c>
    </row>
    <row r="1517" spans="1:29" x14ac:dyDescent="0.25">
      <c r="A1517" s="1" t="s">
        <v>545</v>
      </c>
      <c r="B1517">
        <v>2</v>
      </c>
      <c r="D1517" s="2">
        <v>76070.3</v>
      </c>
      <c r="E1517">
        <v>14558</v>
      </c>
      <c r="F1517" t="s">
        <v>15</v>
      </c>
      <c r="G1517" t="s">
        <v>16</v>
      </c>
      <c r="H1517">
        <v>90629</v>
      </c>
      <c r="I1517" t="s">
        <v>17</v>
      </c>
      <c r="J1517" t="s">
        <v>16</v>
      </c>
      <c r="K1517">
        <v>14558.82</v>
      </c>
      <c r="L1517">
        <v>90629.2</v>
      </c>
      <c r="M1517">
        <v>16</v>
      </c>
      <c r="Y1517" s="1">
        <f t="shared" si="115"/>
        <v>1314.5730000000001</v>
      </c>
      <c r="Z1517" s="2">
        <f t="shared" si="116"/>
        <v>76070.3</v>
      </c>
      <c r="AA1517" s="2">
        <f t="shared" si="117"/>
        <v>76070.328540141927</v>
      </c>
      <c r="AB1517" s="1">
        <f t="shared" si="118"/>
        <v>7.8933474421025662E-2</v>
      </c>
      <c r="AC1517" s="1" t="b">
        <f t="shared" si="119"/>
        <v>1</v>
      </c>
    </row>
    <row r="1518" spans="1:29" x14ac:dyDescent="0.25">
      <c r="A1518" s="1" t="s">
        <v>546</v>
      </c>
      <c r="B1518">
        <v>20</v>
      </c>
      <c r="D1518" s="2">
        <v>76095.600000000006</v>
      </c>
      <c r="E1518">
        <v>38701</v>
      </c>
      <c r="F1518" t="s">
        <v>15</v>
      </c>
      <c r="G1518" t="s">
        <v>50</v>
      </c>
      <c r="H1518">
        <v>114797</v>
      </c>
      <c r="I1518" t="s">
        <v>17</v>
      </c>
      <c r="J1518" t="s">
        <v>50</v>
      </c>
      <c r="K1518">
        <v>38701.589999999997</v>
      </c>
      <c r="L1518">
        <v>114797.2</v>
      </c>
      <c r="M1518">
        <v>16</v>
      </c>
      <c r="Y1518" s="1">
        <f t="shared" si="115"/>
        <v>1314.136</v>
      </c>
      <c r="Z1518" s="2">
        <f t="shared" si="116"/>
        <v>76095.600000000006</v>
      </c>
      <c r="AA1518" s="2">
        <f t="shared" si="117"/>
        <v>76095.624805956162</v>
      </c>
      <c r="AB1518" s="1">
        <f t="shared" si="118"/>
        <v>7.8952720573044255E-2</v>
      </c>
      <c r="AC1518" s="1" t="b">
        <f t="shared" si="119"/>
        <v>1</v>
      </c>
    </row>
    <row r="1519" spans="1:29" x14ac:dyDescent="0.25">
      <c r="A1519" s="1" t="s">
        <v>547</v>
      </c>
      <c r="B1519">
        <v>10</v>
      </c>
      <c r="D1519" s="2">
        <v>76127.7</v>
      </c>
      <c r="E1519">
        <v>36642</v>
      </c>
      <c r="F1519" t="s">
        <v>15</v>
      </c>
      <c r="G1519" t="s">
        <v>50</v>
      </c>
      <c r="H1519">
        <v>112769</v>
      </c>
      <c r="I1519" t="s">
        <v>17</v>
      </c>
      <c r="J1519" t="s">
        <v>50</v>
      </c>
      <c r="K1519">
        <v>36642.129999999997</v>
      </c>
      <c r="L1519">
        <v>112769.7</v>
      </c>
      <c r="M1519">
        <v>16</v>
      </c>
      <c r="Y1519" s="1">
        <f t="shared" si="115"/>
        <v>1313.5820000000001</v>
      </c>
      <c r="Z1519" s="2">
        <f t="shared" si="116"/>
        <v>76127.7</v>
      </c>
      <c r="AA1519" s="2">
        <f t="shared" si="117"/>
        <v>76127.717949850092</v>
      </c>
      <c r="AB1519" s="1">
        <f t="shared" si="118"/>
        <v>7.8977147201259645E-2</v>
      </c>
      <c r="AC1519" s="1" t="b">
        <f t="shared" si="119"/>
        <v>1</v>
      </c>
    </row>
    <row r="1520" spans="1:29" x14ac:dyDescent="0.25">
      <c r="A1520" s="1" t="s">
        <v>548</v>
      </c>
      <c r="B1520">
        <v>2</v>
      </c>
      <c r="D1520" s="2">
        <v>76130.3</v>
      </c>
      <c r="E1520">
        <v>35137</v>
      </c>
      <c r="F1520" t="s">
        <v>15</v>
      </c>
      <c r="G1520" t="s">
        <v>29</v>
      </c>
      <c r="H1520">
        <v>111268</v>
      </c>
      <c r="I1520" t="s">
        <v>17</v>
      </c>
      <c r="J1520" t="s">
        <v>29</v>
      </c>
      <c r="K1520">
        <v>35137.82</v>
      </c>
      <c r="L1520">
        <v>111268.7</v>
      </c>
      <c r="M1520">
        <v>16</v>
      </c>
      <c r="Y1520" s="1">
        <f t="shared" si="115"/>
        <v>1313.538</v>
      </c>
      <c r="Z1520" s="2">
        <f t="shared" si="116"/>
        <v>76130.3</v>
      </c>
      <c r="AA1520" s="2">
        <f t="shared" si="117"/>
        <v>76130.268024221601</v>
      </c>
      <c r="AB1520" s="1">
        <f t="shared" si="118"/>
        <v>7.8979088547199094E-2</v>
      </c>
      <c r="AC1520" s="1" t="b">
        <f t="shared" si="119"/>
        <v>1</v>
      </c>
    </row>
    <row r="1521" spans="1:29" x14ac:dyDescent="0.25">
      <c r="A1521" s="1" t="s">
        <v>549</v>
      </c>
      <c r="B1521">
        <v>5</v>
      </c>
      <c r="C1521" t="s">
        <v>123</v>
      </c>
      <c r="D1521" s="2">
        <v>76139.600000000006</v>
      </c>
      <c r="M1521">
        <v>16</v>
      </c>
      <c r="Y1521" s="1">
        <f t="shared" si="115"/>
        <v>1313.376</v>
      </c>
      <c r="Z1521" s="2">
        <f t="shared" si="116"/>
        <v>76139.600000000006</v>
      </c>
      <c r="AA1521" s="2">
        <f t="shared" si="117"/>
        <v>76139.658407036521</v>
      </c>
      <c r="AB1521" s="1">
        <f t="shared" si="118"/>
        <v>7.8986237911701035E-2</v>
      </c>
      <c r="AC1521" s="1" t="b">
        <f t="shared" si="119"/>
        <v>1</v>
      </c>
    </row>
    <row r="1522" spans="1:29" x14ac:dyDescent="0.25">
      <c r="A1522" s="1">
        <f>$P1522</f>
        <v>1312.336</v>
      </c>
      <c r="B1522">
        <v>7</v>
      </c>
      <c r="D1522" s="6">
        <f>ROUND($Q1522,1)</f>
        <v>76200</v>
      </c>
      <c r="E1522">
        <v>39732</v>
      </c>
      <c r="F1522" t="s">
        <v>15</v>
      </c>
      <c r="G1522" t="s">
        <v>23</v>
      </c>
      <c r="H1522">
        <v>115933</v>
      </c>
      <c r="I1522" t="s">
        <v>17</v>
      </c>
      <c r="J1522" t="s">
        <v>23</v>
      </c>
      <c r="K1522">
        <v>39732.99</v>
      </c>
      <c r="L1522">
        <v>115933.2</v>
      </c>
      <c r="M1522">
        <v>16</v>
      </c>
      <c r="N1522" s="4" t="s">
        <v>550</v>
      </c>
      <c r="O1522" s="4" t="s">
        <v>1103</v>
      </c>
      <c r="P1522">
        <f>RIGHT($N1522,8)+0</f>
        <v>1312.336</v>
      </c>
      <c r="Q1522" s="2">
        <f>100000000/P1522</f>
        <v>76199.997561600074</v>
      </c>
      <c r="R1522" s="2">
        <f>$L1522-$K1522</f>
        <v>76200.209999999992</v>
      </c>
      <c r="S1522" s="5">
        <f>100000000/76199</f>
        <v>1312.3531804879328</v>
      </c>
      <c r="T1522" s="1">
        <f>100000000/R1522</f>
        <v>1312.3323413413166</v>
      </c>
      <c r="U1522" s="1"/>
      <c r="V1522" s="1"/>
      <c r="W1522" s="1"/>
      <c r="X1522" s="1"/>
      <c r="Y1522" s="1">
        <f t="shared" si="115"/>
        <v>1312.336</v>
      </c>
      <c r="Z1522" s="2">
        <f t="shared" si="116"/>
        <v>76200</v>
      </c>
      <c r="AA1522" s="2">
        <f t="shared" si="117"/>
        <v>76199.997561600074</v>
      </c>
      <c r="AB1522" s="1">
        <f t="shared" si="118"/>
        <v>7.9032198141939292E-2</v>
      </c>
      <c r="AC1522" s="1" t="b">
        <f t="shared" si="119"/>
        <v>1</v>
      </c>
    </row>
    <row r="1523" spans="1:29" x14ac:dyDescent="0.25">
      <c r="A1523" s="1" t="s">
        <v>551</v>
      </c>
      <c r="B1523">
        <v>1</v>
      </c>
      <c r="C1523" t="s">
        <v>123</v>
      </c>
      <c r="D1523" s="2">
        <v>76279.3</v>
      </c>
      <c r="E1523">
        <v>37011</v>
      </c>
      <c r="F1523" t="s">
        <v>15</v>
      </c>
      <c r="G1523" t="s">
        <v>28</v>
      </c>
      <c r="H1523">
        <v>113291</v>
      </c>
      <c r="I1523" t="s">
        <v>17</v>
      </c>
      <c r="J1523" t="s">
        <v>18</v>
      </c>
      <c r="K1523">
        <v>37011.919999999998</v>
      </c>
      <c r="L1523">
        <v>113291.8</v>
      </c>
      <c r="M1523">
        <v>16</v>
      </c>
      <c r="Y1523" s="1">
        <f t="shared" si="115"/>
        <v>1310.972</v>
      </c>
      <c r="Z1523" s="2">
        <f t="shared" si="116"/>
        <v>76279.3</v>
      </c>
      <c r="AA1523" s="2">
        <f t="shared" si="117"/>
        <v>76279.27980155182</v>
      </c>
      <c r="AB1523" s="1">
        <f t="shared" si="118"/>
        <v>7.9092642635217161E-2</v>
      </c>
      <c r="AC1523" s="1" t="b">
        <f t="shared" si="119"/>
        <v>1</v>
      </c>
    </row>
    <row r="1524" spans="1:29" x14ac:dyDescent="0.25">
      <c r="A1524" s="1" t="s">
        <v>552</v>
      </c>
      <c r="B1524">
        <v>2</v>
      </c>
      <c r="C1524" t="s">
        <v>123</v>
      </c>
      <c r="D1524" s="2">
        <v>76283.600000000006</v>
      </c>
      <c r="M1524">
        <v>16</v>
      </c>
      <c r="Y1524" s="1">
        <f t="shared" si="115"/>
        <v>1310.8979999999999</v>
      </c>
      <c r="Z1524" s="2">
        <f t="shared" si="116"/>
        <v>76283.600000000006</v>
      </c>
      <c r="AA1524" s="2">
        <f t="shared" si="117"/>
        <v>76283.58575571861</v>
      </c>
      <c r="AB1524" s="1">
        <f t="shared" si="118"/>
        <v>7.909592727875038E-2</v>
      </c>
      <c r="AC1524" s="1" t="b">
        <f t="shared" si="119"/>
        <v>1</v>
      </c>
    </row>
    <row r="1525" spans="1:29" x14ac:dyDescent="0.25">
      <c r="A1525" s="1" t="s">
        <v>553</v>
      </c>
      <c r="B1525">
        <v>2</v>
      </c>
      <c r="D1525" s="2">
        <v>76318</v>
      </c>
      <c r="E1525">
        <v>35024</v>
      </c>
      <c r="F1525" t="s">
        <v>15</v>
      </c>
      <c r="G1525" t="s">
        <v>18</v>
      </c>
      <c r="H1525">
        <v>111342</v>
      </c>
      <c r="I1525" t="s">
        <v>17</v>
      </c>
      <c r="J1525" t="s">
        <v>18</v>
      </c>
      <c r="K1525">
        <v>35024.49</v>
      </c>
      <c r="L1525">
        <v>111342.8</v>
      </c>
      <c r="M1525">
        <v>16</v>
      </c>
      <c r="Y1525" s="1">
        <f t="shared" si="115"/>
        <v>1310.307</v>
      </c>
      <c r="Z1525" s="2">
        <f t="shared" si="116"/>
        <v>76318</v>
      </c>
      <c r="AA1525" s="2">
        <f t="shared" si="117"/>
        <v>76317.992653630019</v>
      </c>
      <c r="AB1525" s="1">
        <f t="shared" si="118"/>
        <v>7.9122180013397631E-2</v>
      </c>
      <c r="AC1525" s="1" t="b">
        <f t="shared" si="119"/>
        <v>1</v>
      </c>
    </row>
    <row r="1526" spans="1:29" x14ac:dyDescent="0.25">
      <c r="A1526" s="1" t="s">
        <v>554</v>
      </c>
      <c r="B1526">
        <v>1</v>
      </c>
      <c r="D1526" s="2">
        <v>76335.8</v>
      </c>
      <c r="M1526">
        <v>16</v>
      </c>
      <c r="Y1526" s="1">
        <f t="shared" si="115"/>
        <v>1310.001</v>
      </c>
      <c r="Z1526" s="2">
        <f t="shared" si="116"/>
        <v>76335.8</v>
      </c>
      <c r="AA1526" s="2">
        <f t="shared" si="117"/>
        <v>76335.819590977408</v>
      </c>
      <c r="AB1526" s="1">
        <f t="shared" si="118"/>
        <v>7.9135786763131252E-2</v>
      </c>
      <c r="AC1526" s="1" t="b">
        <f t="shared" si="119"/>
        <v>1</v>
      </c>
    </row>
    <row r="1527" spans="1:29" x14ac:dyDescent="0.25">
      <c r="A1527" s="1" t="s">
        <v>555</v>
      </c>
      <c r="B1527">
        <v>2</v>
      </c>
      <c r="C1527" t="s">
        <v>123</v>
      </c>
      <c r="D1527" s="2">
        <v>76345.7</v>
      </c>
      <c r="M1527">
        <v>16</v>
      </c>
      <c r="Y1527" s="1">
        <f t="shared" si="115"/>
        <v>1309.8309999999999</v>
      </c>
      <c r="Z1527" s="2">
        <f t="shared" si="116"/>
        <v>76345.7</v>
      </c>
      <c r="AA1527" s="2">
        <f t="shared" si="117"/>
        <v>76345.727044175932</v>
      </c>
      <c r="AB1527" s="1">
        <f t="shared" si="118"/>
        <v>7.9143350189519082E-2</v>
      </c>
      <c r="AC1527" s="1" t="b">
        <f t="shared" si="119"/>
        <v>1</v>
      </c>
    </row>
    <row r="1528" spans="1:29" x14ac:dyDescent="0.25">
      <c r="A1528" s="1" t="s">
        <v>556</v>
      </c>
      <c r="B1528">
        <v>2</v>
      </c>
      <c r="D1528" s="2">
        <v>76418.899999999994</v>
      </c>
      <c r="E1528">
        <v>16135</v>
      </c>
      <c r="F1528" t="s">
        <v>15</v>
      </c>
      <c r="G1528" t="s">
        <v>18</v>
      </c>
      <c r="H1528">
        <v>92554</v>
      </c>
      <c r="I1528" t="s">
        <v>17</v>
      </c>
      <c r="J1528" t="s">
        <v>28</v>
      </c>
      <c r="K1528">
        <v>16135.97</v>
      </c>
      <c r="L1528">
        <v>92554.8</v>
      </c>
      <c r="M1528">
        <v>16</v>
      </c>
      <c r="Y1528" s="1">
        <f t="shared" si="115"/>
        <v>1308.577</v>
      </c>
      <c r="Z1528" s="2">
        <f t="shared" si="116"/>
        <v>76418.899999999994</v>
      </c>
      <c r="AA1528" s="2">
        <f t="shared" si="117"/>
        <v>76418.888609535396</v>
      </c>
      <c r="AB1528" s="1">
        <f t="shared" si="118"/>
        <v>7.9199232681582896E-2</v>
      </c>
      <c r="AC1528" s="1" t="b">
        <f t="shared" si="119"/>
        <v>1</v>
      </c>
    </row>
    <row r="1529" spans="1:29" x14ac:dyDescent="0.25">
      <c r="A1529" s="1" t="s">
        <v>557</v>
      </c>
      <c r="B1529">
        <v>2</v>
      </c>
      <c r="D1529" s="2">
        <v>76438.899999999994</v>
      </c>
      <c r="E1529">
        <v>39870</v>
      </c>
      <c r="F1529" t="s">
        <v>15</v>
      </c>
      <c r="G1529" t="s">
        <v>16</v>
      </c>
      <c r="H1529">
        <v>116309</v>
      </c>
      <c r="I1529" t="s">
        <v>17</v>
      </c>
      <c r="J1529" t="s">
        <v>23</v>
      </c>
      <c r="K1529">
        <v>39870.17</v>
      </c>
      <c r="L1529">
        <v>116309.2</v>
      </c>
      <c r="M1529">
        <v>16</v>
      </c>
      <c r="Y1529" s="1">
        <f t="shared" si="115"/>
        <v>1308.2339999999999</v>
      </c>
      <c r="Z1529" s="2">
        <f t="shared" si="116"/>
        <v>76438.899999999994</v>
      </c>
      <c r="AA1529" s="2">
        <f t="shared" si="117"/>
        <v>76438.924534907375</v>
      </c>
      <c r="AB1529" s="1">
        <f t="shared" si="118"/>
        <v>7.9214545920266333E-2</v>
      </c>
      <c r="AC1529" s="1" t="b">
        <f t="shared" si="119"/>
        <v>1</v>
      </c>
    </row>
    <row r="1530" spans="1:29" x14ac:dyDescent="0.25">
      <c r="A1530" s="1" t="s">
        <v>558</v>
      </c>
      <c r="B1530">
        <v>20</v>
      </c>
      <c r="C1530" t="s">
        <v>123</v>
      </c>
      <c r="D1530" s="2">
        <v>76498.5</v>
      </c>
      <c r="M1530">
        <v>16</v>
      </c>
      <c r="Y1530" s="1">
        <f t="shared" si="115"/>
        <v>1307.2149999999999</v>
      </c>
      <c r="Z1530" s="2">
        <f t="shared" si="116"/>
        <v>76498.5</v>
      </c>
      <c r="AA1530" s="2">
        <f t="shared" si="117"/>
        <v>76498.510191514026</v>
      </c>
      <c r="AB1530" s="1">
        <f t="shared" si="118"/>
        <v>7.926011030760588E-2</v>
      </c>
      <c r="AC1530" s="1" t="b">
        <f t="shared" si="119"/>
        <v>1</v>
      </c>
    </row>
    <row r="1531" spans="1:29" x14ac:dyDescent="0.25">
      <c r="A1531" s="1" t="s">
        <v>559</v>
      </c>
      <c r="B1531">
        <v>1</v>
      </c>
      <c r="D1531" s="2">
        <v>76545.100000000006</v>
      </c>
      <c r="E1531">
        <v>37011</v>
      </c>
      <c r="F1531" t="s">
        <v>15</v>
      </c>
      <c r="G1531" t="s">
        <v>28</v>
      </c>
      <c r="H1531">
        <v>113556</v>
      </c>
      <c r="I1531" t="s">
        <v>17</v>
      </c>
      <c r="J1531" t="s">
        <v>28</v>
      </c>
      <c r="K1531">
        <v>37011.919999999998</v>
      </c>
      <c r="L1531">
        <v>113556.8</v>
      </c>
      <c r="M1531">
        <v>16</v>
      </c>
      <c r="Y1531" s="1">
        <f t="shared" si="115"/>
        <v>1306.42</v>
      </c>
      <c r="Z1531" s="2">
        <f t="shared" si="116"/>
        <v>76545.100000000006</v>
      </c>
      <c r="AA1531" s="2">
        <f t="shared" si="117"/>
        <v>76545.062078045346</v>
      </c>
      <c r="AB1531" s="1">
        <f t="shared" si="118"/>
        <v>7.9295732642659073E-2</v>
      </c>
      <c r="AC1531" s="1" t="b">
        <f t="shared" si="119"/>
        <v>1</v>
      </c>
    </row>
    <row r="1532" spans="1:29" x14ac:dyDescent="0.25">
      <c r="A1532" s="1" t="s">
        <v>560</v>
      </c>
      <c r="B1532">
        <v>1</v>
      </c>
      <c r="D1532" s="2">
        <v>76576</v>
      </c>
      <c r="E1532">
        <v>39732</v>
      </c>
      <c r="F1532" t="s">
        <v>15</v>
      </c>
      <c r="G1532" t="s">
        <v>23</v>
      </c>
      <c r="H1532">
        <v>116309</v>
      </c>
      <c r="I1532" t="s">
        <v>17</v>
      </c>
      <c r="J1532" t="s">
        <v>23</v>
      </c>
      <c r="K1532">
        <v>39732.99</v>
      </c>
      <c r="L1532">
        <v>116309.2</v>
      </c>
      <c r="M1532">
        <v>16</v>
      </c>
      <c r="Y1532" s="1">
        <f t="shared" si="115"/>
        <v>1305.8920000000001</v>
      </c>
      <c r="Z1532" s="2">
        <f t="shared" si="116"/>
        <v>76576</v>
      </c>
      <c r="AA1532" s="2">
        <f t="shared" si="117"/>
        <v>76576.010879919617</v>
      </c>
      <c r="AB1532" s="1">
        <f t="shared" si="118"/>
        <v>7.9319427211407834E-2</v>
      </c>
      <c r="AC1532" s="1" t="b">
        <f t="shared" si="119"/>
        <v>1</v>
      </c>
    </row>
    <row r="1533" spans="1:29" x14ac:dyDescent="0.25">
      <c r="A1533" s="1" t="s">
        <v>561</v>
      </c>
      <c r="B1533">
        <v>1</v>
      </c>
      <c r="D1533" s="2">
        <v>76583.100000000006</v>
      </c>
      <c r="E1533">
        <v>39870</v>
      </c>
      <c r="F1533" t="s">
        <v>15</v>
      </c>
      <c r="G1533" t="s">
        <v>16</v>
      </c>
      <c r="H1533">
        <v>116453</v>
      </c>
      <c r="I1533" t="s">
        <v>17</v>
      </c>
      <c r="J1533" t="s">
        <v>16</v>
      </c>
      <c r="K1533">
        <v>39870.17</v>
      </c>
      <c r="L1533">
        <v>116453.2</v>
      </c>
      <c r="M1533">
        <v>16</v>
      </c>
      <c r="Y1533" s="1">
        <f t="shared" si="115"/>
        <v>1305.771</v>
      </c>
      <c r="Z1533" s="2">
        <f t="shared" si="116"/>
        <v>76583.100000000006</v>
      </c>
      <c r="AA1533" s="2">
        <f t="shared" si="117"/>
        <v>76583.106838794862</v>
      </c>
      <c r="AB1533" s="1">
        <f t="shared" si="118"/>
        <v>7.9324861265411342E-2</v>
      </c>
      <c r="AC1533" s="1" t="b">
        <f t="shared" si="119"/>
        <v>1</v>
      </c>
    </row>
    <row r="1534" spans="1:29" x14ac:dyDescent="0.25">
      <c r="A1534" s="1" t="s">
        <v>562</v>
      </c>
      <c r="B1534">
        <v>1</v>
      </c>
      <c r="D1534" s="2">
        <v>76591.8</v>
      </c>
      <c r="M1534">
        <v>16</v>
      </c>
      <c r="Y1534" s="1">
        <f t="shared" si="115"/>
        <v>1305.623</v>
      </c>
      <c r="Z1534" s="2">
        <f t="shared" si="116"/>
        <v>76591.8</v>
      </c>
      <c r="AA1534" s="2">
        <f t="shared" si="117"/>
        <v>76591.787981676171</v>
      </c>
      <c r="AB1534" s="1">
        <f t="shared" si="118"/>
        <v>7.9331509931150179E-2</v>
      </c>
      <c r="AC1534" s="1" t="b">
        <f t="shared" si="119"/>
        <v>1</v>
      </c>
    </row>
    <row r="1535" spans="1:29" x14ac:dyDescent="0.25">
      <c r="A1535" s="1" t="s">
        <v>563</v>
      </c>
      <c r="B1535">
        <v>2</v>
      </c>
      <c r="D1535" s="2">
        <v>76716.5</v>
      </c>
      <c r="E1535">
        <v>37197</v>
      </c>
      <c r="F1535" t="s">
        <v>15</v>
      </c>
      <c r="G1535" t="s">
        <v>29</v>
      </c>
      <c r="H1535">
        <v>113914</v>
      </c>
      <c r="I1535" t="s">
        <v>17</v>
      </c>
      <c r="J1535" t="s">
        <v>28</v>
      </c>
      <c r="K1535">
        <v>37197.64</v>
      </c>
      <c r="L1535">
        <v>113914.1</v>
      </c>
      <c r="M1535">
        <v>16</v>
      </c>
      <c r="Y1535" s="1">
        <f t="shared" si="115"/>
        <v>1303.501</v>
      </c>
      <c r="Z1535" s="2">
        <f t="shared" si="116"/>
        <v>76716.5</v>
      </c>
      <c r="AA1535" s="2">
        <f t="shared" si="117"/>
        <v>76716.473558516649</v>
      </c>
      <c r="AB1535" s="1">
        <f t="shared" si="118"/>
        <v>7.9427086576272926E-2</v>
      </c>
      <c r="AC1535" s="1" t="b">
        <f t="shared" si="119"/>
        <v>1</v>
      </c>
    </row>
    <row r="1536" spans="1:29" x14ac:dyDescent="0.25">
      <c r="A1536" s="1" t="s">
        <v>564</v>
      </c>
      <c r="B1536">
        <v>3</v>
      </c>
      <c r="D1536" s="2">
        <v>76748.3</v>
      </c>
      <c r="E1536">
        <v>34520</v>
      </c>
      <c r="F1536" t="s">
        <v>15</v>
      </c>
      <c r="G1536" t="s">
        <v>28</v>
      </c>
      <c r="H1536">
        <v>111268</v>
      </c>
      <c r="I1536" t="s">
        <v>17</v>
      </c>
      <c r="J1536" t="s">
        <v>29</v>
      </c>
      <c r="K1536">
        <v>34520.269999999997</v>
      </c>
      <c r="L1536">
        <v>111268.7</v>
      </c>
      <c r="M1536">
        <v>16</v>
      </c>
      <c r="Y1536" s="1">
        <f t="shared" si="115"/>
        <v>1302.961</v>
      </c>
      <c r="Z1536" s="2">
        <f t="shared" si="116"/>
        <v>76748.3</v>
      </c>
      <c r="AA1536" s="2">
        <f t="shared" si="117"/>
        <v>76748.267983462283</v>
      </c>
      <c r="AB1536" s="1">
        <f t="shared" si="118"/>
        <v>7.9451483192306716E-2</v>
      </c>
      <c r="AC1536" s="1" t="b">
        <f t="shared" si="119"/>
        <v>1</v>
      </c>
    </row>
    <row r="1537" spans="1:29" x14ac:dyDescent="0.25">
      <c r="A1537" s="1" t="s">
        <v>565</v>
      </c>
      <c r="B1537">
        <v>3</v>
      </c>
      <c r="C1537" t="s">
        <v>123</v>
      </c>
      <c r="D1537" s="2">
        <v>76752.800000000003</v>
      </c>
      <c r="M1537">
        <v>16</v>
      </c>
      <c r="Y1537" s="1">
        <f t="shared" si="115"/>
        <v>1302.884</v>
      </c>
      <c r="Z1537" s="2">
        <f t="shared" si="116"/>
        <v>76752.800000000003</v>
      </c>
      <c r="AA1537" s="2">
        <f t="shared" si="117"/>
        <v>76752.803779922077</v>
      </c>
      <c r="AB1537" s="1">
        <f t="shared" si="118"/>
        <v>7.9454964440396111E-2</v>
      </c>
      <c r="AC1537" s="1" t="b">
        <f t="shared" si="119"/>
        <v>1</v>
      </c>
    </row>
    <row r="1538" spans="1:29" x14ac:dyDescent="0.25">
      <c r="A1538" s="1" t="s">
        <v>566</v>
      </c>
      <c r="B1538">
        <v>10</v>
      </c>
      <c r="D1538" s="2">
        <v>76763.899999999994</v>
      </c>
      <c r="E1538">
        <v>39725</v>
      </c>
      <c r="F1538" t="s">
        <v>15</v>
      </c>
      <c r="G1538" t="s">
        <v>57</v>
      </c>
      <c r="H1538">
        <v>116489</v>
      </c>
      <c r="I1538" t="s">
        <v>17</v>
      </c>
      <c r="J1538" t="s">
        <v>528</v>
      </c>
      <c r="K1538">
        <v>39725.99</v>
      </c>
      <c r="L1538">
        <v>116489.8</v>
      </c>
      <c r="M1538">
        <v>16</v>
      </c>
      <c r="Y1538" s="1">
        <f t="shared" si="115"/>
        <v>1302.6959999999999</v>
      </c>
      <c r="Z1538" s="2">
        <f t="shared" si="116"/>
        <v>76763.899999999994</v>
      </c>
      <c r="AA1538" s="2">
        <f t="shared" si="117"/>
        <v>76763.88044486205</v>
      </c>
      <c r="AB1538" s="1">
        <f t="shared" si="118"/>
        <v>7.9463466704765368E-2</v>
      </c>
      <c r="AC1538" s="1" t="b">
        <f t="shared" si="119"/>
        <v>1</v>
      </c>
    </row>
    <row r="1539" spans="1:29" x14ac:dyDescent="0.25">
      <c r="A1539" s="1" t="s">
        <v>567</v>
      </c>
      <c r="B1539">
        <v>50</v>
      </c>
      <c r="D1539" s="2">
        <v>76886.600000000006</v>
      </c>
      <c r="E1539">
        <v>38785</v>
      </c>
      <c r="F1539" t="s">
        <v>15</v>
      </c>
      <c r="G1539" t="s">
        <v>57</v>
      </c>
      <c r="H1539">
        <v>115672</v>
      </c>
      <c r="I1539" t="s">
        <v>17</v>
      </c>
      <c r="J1539" t="s">
        <v>57</v>
      </c>
      <c r="K1539">
        <v>38785.760000000002</v>
      </c>
      <c r="L1539">
        <v>115672.2</v>
      </c>
      <c r="M1539">
        <v>16</v>
      </c>
      <c r="Y1539" s="1">
        <f t="shared" ref="Y1539:Y1602" si="120">ROUND($A1539,3)+0</f>
        <v>1300.617</v>
      </c>
      <c r="Z1539" s="2">
        <f t="shared" ref="Z1539:Z1602" si="121">ROUND($D1539,1)+0</f>
        <v>76886.600000000006</v>
      </c>
      <c r="AA1539" s="2">
        <f t="shared" ref="AA1539:AA1602" si="122">100000000/Y1539</f>
        <v>76886.585366791303</v>
      </c>
      <c r="AB1539" s="1">
        <f t="shared" ref="AB1539:AB1602" si="123">0.0005/$Y1539*AA1539+0.05</f>
        <v>7.9557735046824438E-2</v>
      </c>
      <c r="AC1539" s="1" t="b">
        <f t="shared" ref="AC1539:AC1602" si="124">ABS(Z1539-AA1539)&lt;AB1539</f>
        <v>1</v>
      </c>
    </row>
    <row r="1540" spans="1:29" x14ac:dyDescent="0.25">
      <c r="A1540" s="1" t="s">
        <v>568</v>
      </c>
      <c r="B1540">
        <v>3</v>
      </c>
      <c r="D1540" s="2">
        <v>76906.2</v>
      </c>
      <c r="E1540">
        <v>18241</v>
      </c>
      <c r="F1540" t="s">
        <v>15</v>
      </c>
      <c r="G1540" t="s">
        <v>23</v>
      </c>
      <c r="H1540">
        <v>95147</v>
      </c>
      <c r="I1540" t="s">
        <v>17</v>
      </c>
      <c r="J1540" t="s">
        <v>16</v>
      </c>
      <c r="K1540">
        <v>18241.54</v>
      </c>
      <c r="L1540">
        <v>95147.9</v>
      </c>
      <c r="M1540">
        <v>16</v>
      </c>
      <c r="Y1540" s="1">
        <f t="shared" si="120"/>
        <v>1300.2850000000001</v>
      </c>
      <c r="Z1540" s="2">
        <f t="shared" si="121"/>
        <v>76906.2</v>
      </c>
      <c r="AA1540" s="2">
        <f t="shared" si="122"/>
        <v>76906.21671402808</v>
      </c>
      <c r="AB1540" s="1">
        <f t="shared" si="123"/>
        <v>7.9572830846325257E-2</v>
      </c>
      <c r="AC1540" s="1" t="b">
        <f t="shared" si="124"/>
        <v>1</v>
      </c>
    </row>
    <row r="1541" spans="1:29" x14ac:dyDescent="0.25">
      <c r="A1541" s="1" t="s">
        <v>569</v>
      </c>
      <c r="B1541">
        <v>30</v>
      </c>
      <c r="C1541" t="s">
        <v>123</v>
      </c>
      <c r="D1541" s="2">
        <v>76934.3</v>
      </c>
      <c r="M1541">
        <v>16</v>
      </c>
      <c r="Y1541" s="1">
        <f t="shared" si="120"/>
        <v>1299.8109999999999</v>
      </c>
      <c r="Z1541" s="2">
        <f t="shared" si="121"/>
        <v>76934.3</v>
      </c>
      <c r="AA1541" s="2">
        <f t="shared" si="122"/>
        <v>76934.261981164964</v>
      </c>
      <c r="AB1541" s="1">
        <f t="shared" si="123"/>
        <v>7.9594403332932634E-2</v>
      </c>
      <c r="AC1541" s="1" t="b">
        <f t="shared" si="124"/>
        <v>1</v>
      </c>
    </row>
    <row r="1542" spans="1:29" x14ac:dyDescent="0.25">
      <c r="A1542" s="1" t="s">
        <v>570</v>
      </c>
      <c r="B1542">
        <v>10</v>
      </c>
      <c r="D1542" s="2">
        <v>76958.2</v>
      </c>
      <c r="E1542">
        <v>36642</v>
      </c>
      <c r="F1542" t="s">
        <v>15</v>
      </c>
      <c r="G1542" t="s">
        <v>50</v>
      </c>
      <c r="H1542">
        <v>113600</v>
      </c>
      <c r="I1542" t="s">
        <v>17</v>
      </c>
      <c r="J1542" t="s">
        <v>50</v>
      </c>
      <c r="K1542">
        <v>36642.129999999997</v>
      </c>
      <c r="L1542">
        <v>113600.3</v>
      </c>
      <c r="M1542">
        <v>16</v>
      </c>
      <c r="Y1542" s="1">
        <f t="shared" si="120"/>
        <v>1299.4069999999999</v>
      </c>
      <c r="Z1542" s="2">
        <f t="shared" si="121"/>
        <v>76958.2</v>
      </c>
      <c r="AA1542" s="2">
        <f t="shared" si="122"/>
        <v>76958.181693649487</v>
      </c>
      <c r="AB1542" s="1">
        <f t="shared" si="123"/>
        <v>7.9612808647963842E-2</v>
      </c>
      <c r="AC1542" s="1" t="b">
        <f t="shared" si="124"/>
        <v>1</v>
      </c>
    </row>
    <row r="1543" spans="1:29" x14ac:dyDescent="0.25">
      <c r="A1543" s="1" t="s">
        <v>571</v>
      </c>
      <c r="B1543">
        <v>2</v>
      </c>
      <c r="D1543" s="2">
        <v>76970.899999999994</v>
      </c>
      <c r="E1543">
        <v>38701</v>
      </c>
      <c r="F1543" t="s">
        <v>15</v>
      </c>
      <c r="G1543" t="s">
        <v>50</v>
      </c>
      <c r="H1543">
        <v>115672</v>
      </c>
      <c r="I1543" t="s">
        <v>17</v>
      </c>
      <c r="J1543" t="s">
        <v>57</v>
      </c>
      <c r="K1543">
        <v>38701.589999999997</v>
      </c>
      <c r="L1543">
        <v>115672.2</v>
      </c>
      <c r="M1543">
        <v>16</v>
      </c>
      <c r="Y1543" s="1">
        <f t="shared" si="120"/>
        <v>1299.193</v>
      </c>
      <c r="Z1543" s="2">
        <f t="shared" si="121"/>
        <v>76970.899999999994</v>
      </c>
      <c r="AA1543" s="2">
        <f t="shared" si="122"/>
        <v>76970.858063428605</v>
      </c>
      <c r="AB1543" s="1">
        <f t="shared" si="123"/>
        <v>7.9622564955102365E-2</v>
      </c>
      <c r="AC1543" s="1" t="b">
        <f t="shared" si="124"/>
        <v>1</v>
      </c>
    </row>
    <row r="1544" spans="1:29" x14ac:dyDescent="0.25">
      <c r="A1544" s="1" t="s">
        <v>572</v>
      </c>
      <c r="B1544">
        <v>40</v>
      </c>
      <c r="D1544" s="2">
        <v>77000.5</v>
      </c>
      <c r="M1544">
        <v>16</v>
      </c>
      <c r="Y1544" s="1">
        <f t="shared" si="120"/>
        <v>1298.693</v>
      </c>
      <c r="Z1544" s="2">
        <f t="shared" si="121"/>
        <v>77000.5</v>
      </c>
      <c r="AA1544" s="2">
        <f t="shared" si="122"/>
        <v>77000.492033144095</v>
      </c>
      <c r="AB1544" s="1">
        <f t="shared" si="123"/>
        <v>7.9645378866731439E-2</v>
      </c>
      <c r="AC1544" s="1" t="b">
        <f t="shared" si="124"/>
        <v>1</v>
      </c>
    </row>
    <row r="1545" spans="1:29" x14ac:dyDescent="0.25">
      <c r="A1545" s="1" t="s">
        <v>573</v>
      </c>
      <c r="B1545">
        <v>100</v>
      </c>
      <c r="D1545" s="2">
        <v>77004.2</v>
      </c>
      <c r="M1545">
        <v>16</v>
      </c>
      <c r="Y1545" s="1">
        <f t="shared" si="120"/>
        <v>1298.6300000000001</v>
      </c>
      <c r="Z1545" s="2">
        <f t="shared" si="121"/>
        <v>77004.2</v>
      </c>
      <c r="AA1545" s="2">
        <f t="shared" si="122"/>
        <v>77004.227532091507</v>
      </c>
      <c r="AB1545" s="1">
        <f t="shared" si="123"/>
        <v>7.9648255289070602E-2</v>
      </c>
      <c r="AC1545" s="1" t="b">
        <f t="shared" si="124"/>
        <v>1</v>
      </c>
    </row>
    <row r="1546" spans="1:29" x14ac:dyDescent="0.25">
      <c r="A1546" s="1" t="s">
        <v>574</v>
      </c>
      <c r="B1546">
        <v>2</v>
      </c>
      <c r="D1546" s="2">
        <v>77017.3</v>
      </c>
      <c r="M1546">
        <v>16</v>
      </c>
      <c r="Y1546" s="1">
        <f t="shared" si="120"/>
        <v>1298.4100000000001</v>
      </c>
      <c r="Z1546" s="2">
        <f t="shared" si="121"/>
        <v>77017.3</v>
      </c>
      <c r="AA1546" s="2">
        <f t="shared" si="122"/>
        <v>77017.274974776839</v>
      </c>
      <c r="AB1546" s="1">
        <f t="shared" si="123"/>
        <v>7.965830322270194E-2</v>
      </c>
      <c r="AC1546" s="1" t="b">
        <f t="shared" si="124"/>
        <v>1</v>
      </c>
    </row>
    <row r="1547" spans="1:29" x14ac:dyDescent="0.25">
      <c r="A1547" s="1" t="s">
        <v>575</v>
      </c>
      <c r="B1547">
        <v>10</v>
      </c>
      <c r="C1547" t="s">
        <v>123</v>
      </c>
      <c r="D1547" s="2">
        <v>77033.399999999994</v>
      </c>
      <c r="M1547">
        <v>16</v>
      </c>
      <c r="Y1547" s="1">
        <f t="shared" si="120"/>
        <v>1298.1389999999999</v>
      </c>
      <c r="Z1547" s="2">
        <f t="shared" si="121"/>
        <v>77033.399999999994</v>
      </c>
      <c r="AA1547" s="2">
        <f t="shared" si="122"/>
        <v>77033.353130905089</v>
      </c>
      <c r="AB1547" s="1">
        <f t="shared" si="123"/>
        <v>7.9670687472953625E-2</v>
      </c>
      <c r="AC1547" s="1" t="b">
        <f t="shared" si="124"/>
        <v>1</v>
      </c>
    </row>
    <row r="1548" spans="1:29" x14ac:dyDescent="0.25">
      <c r="A1548" s="1" t="s">
        <v>576</v>
      </c>
      <c r="B1548">
        <v>3</v>
      </c>
      <c r="D1548" s="2">
        <v>77051.8</v>
      </c>
      <c r="E1548">
        <v>38448</v>
      </c>
      <c r="F1548" t="s">
        <v>15</v>
      </c>
      <c r="G1548" t="s">
        <v>16</v>
      </c>
      <c r="H1548">
        <v>115499</v>
      </c>
      <c r="I1548" t="s">
        <v>17</v>
      </c>
      <c r="J1548" t="s">
        <v>16</v>
      </c>
      <c r="K1548">
        <v>38448.379999999997</v>
      </c>
      <c r="L1548">
        <v>115499.8</v>
      </c>
      <c r="M1548">
        <v>16</v>
      </c>
      <c r="Y1548" s="1">
        <f t="shared" si="120"/>
        <v>1297.828</v>
      </c>
      <c r="Z1548" s="2">
        <f t="shared" si="121"/>
        <v>77051.8</v>
      </c>
      <c r="AA1548" s="2">
        <f t="shared" si="122"/>
        <v>77051.81272094608</v>
      </c>
      <c r="AB1548" s="1">
        <f t="shared" si="123"/>
        <v>7.9684909217918737E-2</v>
      </c>
      <c r="AC1548" s="1" t="b">
        <f t="shared" si="124"/>
        <v>1</v>
      </c>
    </row>
    <row r="1549" spans="1:29" x14ac:dyDescent="0.25">
      <c r="A1549" s="1" t="s">
        <v>577</v>
      </c>
      <c r="B1549">
        <v>30</v>
      </c>
      <c r="D1549" s="2">
        <v>77191.899999999994</v>
      </c>
      <c r="E1549">
        <v>36642</v>
      </c>
      <c r="F1549" t="s">
        <v>15</v>
      </c>
      <c r="G1549" t="s">
        <v>50</v>
      </c>
      <c r="H1549">
        <v>113833</v>
      </c>
      <c r="I1549" t="s">
        <v>17</v>
      </c>
      <c r="J1549" t="s">
        <v>57</v>
      </c>
      <c r="K1549">
        <v>36642.129999999997</v>
      </c>
      <c r="L1549">
        <v>113833.9</v>
      </c>
      <c r="M1549">
        <v>16</v>
      </c>
      <c r="Y1549" s="1">
        <f t="shared" si="120"/>
        <v>1295.473</v>
      </c>
      <c r="Z1549" s="2">
        <f t="shared" si="121"/>
        <v>77191.899999999994</v>
      </c>
      <c r="AA1549" s="2">
        <f t="shared" si="122"/>
        <v>77191.8828103712</v>
      </c>
      <c r="AB1549" s="1">
        <f t="shared" si="123"/>
        <v>7.9792933859050397E-2</v>
      </c>
      <c r="AC1549" s="1" t="b">
        <f t="shared" si="124"/>
        <v>1</v>
      </c>
    </row>
    <row r="1550" spans="1:29" x14ac:dyDescent="0.25">
      <c r="A1550" s="1" t="s">
        <v>578</v>
      </c>
      <c r="B1550">
        <v>2</v>
      </c>
      <c r="D1550" s="2">
        <v>77228.399999999994</v>
      </c>
      <c r="M1550">
        <v>16</v>
      </c>
      <c r="Y1550" s="1">
        <f t="shared" si="120"/>
        <v>1294.8599999999999</v>
      </c>
      <c r="Z1550" s="2">
        <f t="shared" si="121"/>
        <v>77228.399999999994</v>
      </c>
      <c r="AA1550" s="2">
        <f t="shared" si="122"/>
        <v>77228.426239130102</v>
      </c>
      <c r="AB1550" s="1">
        <f t="shared" si="123"/>
        <v>7.9821149096863803E-2</v>
      </c>
      <c r="AC1550" s="1" t="b">
        <f t="shared" si="124"/>
        <v>1</v>
      </c>
    </row>
    <row r="1551" spans="1:29" x14ac:dyDescent="0.25">
      <c r="A1551" s="1" t="s">
        <v>579</v>
      </c>
      <c r="B1551">
        <v>2</v>
      </c>
      <c r="D1551" s="2">
        <v>77252.5</v>
      </c>
      <c r="M1551">
        <v>16</v>
      </c>
      <c r="Y1551" s="1">
        <f t="shared" si="120"/>
        <v>1294.4559999999999</v>
      </c>
      <c r="Z1551" s="2">
        <f t="shared" si="121"/>
        <v>77252.5</v>
      </c>
      <c r="AA1551" s="2">
        <f t="shared" si="122"/>
        <v>77252.529247807586</v>
      </c>
      <c r="AB1551" s="1">
        <f t="shared" si="123"/>
        <v>7.9839766375916832E-2</v>
      </c>
      <c r="AC1551" s="1" t="b">
        <f t="shared" si="124"/>
        <v>1</v>
      </c>
    </row>
    <row r="1552" spans="1:29" x14ac:dyDescent="0.25">
      <c r="A1552" s="1" t="s">
        <v>580</v>
      </c>
      <c r="B1552">
        <v>3</v>
      </c>
      <c r="D1552" s="2">
        <v>77273.600000000006</v>
      </c>
      <c r="E1552">
        <v>36640</v>
      </c>
      <c r="F1552" t="s">
        <v>15</v>
      </c>
      <c r="G1552" t="s">
        <v>18</v>
      </c>
      <c r="H1552">
        <v>113914</v>
      </c>
      <c r="I1552" t="s">
        <v>17</v>
      </c>
      <c r="J1552" t="s">
        <v>28</v>
      </c>
      <c r="K1552">
        <v>36640.379999999997</v>
      </c>
      <c r="L1552">
        <v>113914.1</v>
      </c>
      <c r="M1552">
        <v>16</v>
      </c>
      <c r="Y1552" s="1">
        <f t="shared" si="120"/>
        <v>1294.1030000000001</v>
      </c>
      <c r="Z1552" s="2">
        <f t="shared" si="121"/>
        <v>77273.600000000006</v>
      </c>
      <c r="AA1552" s="2">
        <f t="shared" si="122"/>
        <v>77273.601869402977</v>
      </c>
      <c r="AB1552" s="1">
        <f t="shared" si="123"/>
        <v>7.9856047729354993E-2</v>
      </c>
      <c r="AC1552" s="1" t="b">
        <f t="shared" si="124"/>
        <v>1</v>
      </c>
    </row>
    <row r="1553" spans="1:29" x14ac:dyDescent="0.25">
      <c r="A1553" s="1" t="s">
        <v>581</v>
      </c>
      <c r="B1553">
        <v>10</v>
      </c>
      <c r="D1553" s="2">
        <v>77277.2</v>
      </c>
      <c r="E1553">
        <v>13352</v>
      </c>
      <c r="F1553" t="s">
        <v>15</v>
      </c>
      <c r="G1553" t="s">
        <v>23</v>
      </c>
      <c r="H1553">
        <v>90629</v>
      </c>
      <c r="I1553" t="s">
        <v>17</v>
      </c>
      <c r="J1553" t="s">
        <v>16</v>
      </c>
      <c r="K1553">
        <v>13352.1</v>
      </c>
      <c r="L1553">
        <v>90629.2</v>
      </c>
      <c r="M1553">
        <v>16</v>
      </c>
      <c r="Y1553" s="1">
        <f t="shared" si="120"/>
        <v>1294.0429999999999</v>
      </c>
      <c r="Z1553" s="2">
        <f t="shared" si="121"/>
        <v>77277.2</v>
      </c>
      <c r="AA1553" s="2">
        <f t="shared" si="122"/>
        <v>77277.184761248282</v>
      </c>
      <c r="AB1553" s="1">
        <f t="shared" si="123"/>
        <v>7.9858816423120524E-2</v>
      </c>
      <c r="AC1553" s="1" t="b">
        <f t="shared" si="124"/>
        <v>1</v>
      </c>
    </row>
    <row r="1554" spans="1:29" x14ac:dyDescent="0.25">
      <c r="A1554" s="1" t="s">
        <v>582</v>
      </c>
      <c r="B1554">
        <v>5</v>
      </c>
      <c r="D1554" s="2">
        <v>77334.8</v>
      </c>
      <c r="E1554">
        <v>40205</v>
      </c>
      <c r="F1554" t="s">
        <v>15</v>
      </c>
      <c r="G1554" t="s">
        <v>29</v>
      </c>
      <c r="H1554">
        <v>117540</v>
      </c>
      <c r="I1554" t="s">
        <v>17</v>
      </c>
      <c r="J1554" t="s">
        <v>29</v>
      </c>
      <c r="K1554">
        <v>40205.74</v>
      </c>
      <c r="L1554">
        <v>117540.5</v>
      </c>
      <c r="M1554">
        <v>16</v>
      </c>
      <c r="Y1554" s="1">
        <f t="shared" si="120"/>
        <v>1293.079</v>
      </c>
      <c r="Z1554" s="2">
        <f t="shared" si="121"/>
        <v>77334.8</v>
      </c>
      <c r="AA1554" s="2">
        <f t="shared" si="122"/>
        <v>77334.795476533152</v>
      </c>
      <c r="AB1554" s="1">
        <f t="shared" si="123"/>
        <v>7.9903352956986057E-2</v>
      </c>
      <c r="AC1554" s="1" t="b">
        <f t="shared" si="124"/>
        <v>1</v>
      </c>
    </row>
    <row r="1555" spans="1:29" x14ac:dyDescent="0.25">
      <c r="A1555" s="1" t="s">
        <v>583</v>
      </c>
      <c r="B1555">
        <v>3</v>
      </c>
      <c r="C1555" t="s">
        <v>123</v>
      </c>
      <c r="D1555" s="2">
        <v>77372.100000000006</v>
      </c>
      <c r="M1555">
        <v>16</v>
      </c>
      <c r="Y1555" s="1">
        <f t="shared" si="120"/>
        <v>1292.4559999999999</v>
      </c>
      <c r="Z1555" s="2">
        <f t="shared" si="121"/>
        <v>77372.100000000006</v>
      </c>
      <c r="AA1555" s="2">
        <f t="shared" si="122"/>
        <v>77372.073014477864</v>
      </c>
      <c r="AB1555" s="1">
        <f t="shared" si="123"/>
        <v>7.9932188412788471E-2</v>
      </c>
      <c r="AC1555" s="1" t="b">
        <f t="shared" si="124"/>
        <v>1</v>
      </c>
    </row>
    <row r="1556" spans="1:29" x14ac:dyDescent="0.25">
      <c r="A1556" s="1" t="s">
        <v>584</v>
      </c>
      <c r="B1556">
        <v>1</v>
      </c>
      <c r="D1556" s="2">
        <v>77395.7</v>
      </c>
      <c r="E1556">
        <v>15045</v>
      </c>
      <c r="F1556" t="s">
        <v>15</v>
      </c>
      <c r="G1556" t="s">
        <v>28</v>
      </c>
      <c r="H1556">
        <v>92441</v>
      </c>
      <c r="I1556" t="s">
        <v>17</v>
      </c>
      <c r="J1556" t="s">
        <v>18</v>
      </c>
      <c r="K1556">
        <v>15045.8</v>
      </c>
      <c r="L1556">
        <v>92441.7</v>
      </c>
      <c r="M1556">
        <v>16</v>
      </c>
      <c r="Y1556" s="1">
        <f t="shared" si="120"/>
        <v>1292.0619999999999</v>
      </c>
      <c r="Z1556" s="2">
        <f t="shared" si="121"/>
        <v>77395.7</v>
      </c>
      <c r="AA1556" s="2">
        <f t="shared" si="122"/>
        <v>77395.666771408811</v>
      </c>
      <c r="AB1556" s="1">
        <f t="shared" si="123"/>
        <v>7.9950446174954781E-2</v>
      </c>
      <c r="AC1556" s="1" t="b">
        <f t="shared" si="124"/>
        <v>1</v>
      </c>
    </row>
    <row r="1557" spans="1:29" x14ac:dyDescent="0.25">
      <c r="A1557" s="1" t="s">
        <v>585</v>
      </c>
      <c r="B1557">
        <v>20</v>
      </c>
      <c r="C1557" t="s">
        <v>27</v>
      </c>
      <c r="D1557" s="2">
        <v>77453.100000000006</v>
      </c>
      <c r="E1557">
        <v>38785</v>
      </c>
      <c r="F1557" t="s">
        <v>15</v>
      </c>
      <c r="G1557" t="s">
        <v>57</v>
      </c>
      <c r="H1557">
        <v>116238</v>
      </c>
      <c r="I1557" t="s">
        <v>17</v>
      </c>
      <c r="J1557" t="s">
        <v>57</v>
      </c>
      <c r="K1557">
        <v>38785.760000000002</v>
      </c>
      <c r="L1557">
        <v>116238.8</v>
      </c>
      <c r="M1557">
        <v>16</v>
      </c>
      <c r="Y1557" s="1">
        <f t="shared" si="120"/>
        <v>1291.104</v>
      </c>
      <c r="Z1557" s="2">
        <f t="shared" si="121"/>
        <v>77453.100000000006</v>
      </c>
      <c r="AA1557" s="2">
        <f t="shared" si="122"/>
        <v>77453.094406027711</v>
      </c>
      <c r="AB1557" s="1">
        <f t="shared" si="123"/>
        <v>7.9994909165345213E-2</v>
      </c>
      <c r="AC1557" s="1" t="b">
        <f t="shared" si="124"/>
        <v>1</v>
      </c>
    </row>
    <row r="1558" spans="1:29" x14ac:dyDescent="0.25">
      <c r="A1558" s="1" t="s">
        <v>585</v>
      </c>
      <c r="B1558">
        <v>20</v>
      </c>
      <c r="C1558" t="s">
        <v>27</v>
      </c>
      <c r="D1558" s="2">
        <v>77453.100000000006</v>
      </c>
      <c r="E1558">
        <v>39870</v>
      </c>
      <c r="F1558" t="s">
        <v>15</v>
      </c>
      <c r="G1558" t="s">
        <v>16</v>
      </c>
      <c r="H1558">
        <v>117323</v>
      </c>
      <c r="I1558" t="s">
        <v>17</v>
      </c>
      <c r="J1558" t="s">
        <v>23</v>
      </c>
      <c r="K1558">
        <v>39870.17</v>
      </c>
      <c r="L1558">
        <v>117323.1</v>
      </c>
      <c r="M1558">
        <v>16</v>
      </c>
      <c r="Y1558" s="1">
        <f t="shared" si="120"/>
        <v>1291.104</v>
      </c>
      <c r="Z1558" s="2">
        <f t="shared" si="121"/>
        <v>77453.100000000006</v>
      </c>
      <c r="AA1558" s="2">
        <f t="shared" si="122"/>
        <v>77453.094406027711</v>
      </c>
      <c r="AB1558" s="1">
        <f t="shared" si="123"/>
        <v>7.9994909165345213E-2</v>
      </c>
      <c r="AC1558" s="1" t="b">
        <f t="shared" si="124"/>
        <v>1</v>
      </c>
    </row>
    <row r="1559" spans="1:29" x14ac:dyDescent="0.25">
      <c r="A1559" s="1" t="s">
        <v>586</v>
      </c>
      <c r="B1559">
        <v>1</v>
      </c>
      <c r="D1559" s="2">
        <v>77530.399999999994</v>
      </c>
      <c r="M1559">
        <v>16</v>
      </c>
      <c r="Y1559" s="1">
        <f t="shared" si="120"/>
        <v>1289.817</v>
      </c>
      <c r="Z1559" s="2">
        <f t="shared" si="121"/>
        <v>77530.399999999994</v>
      </c>
      <c r="AA1559" s="2">
        <f t="shared" si="122"/>
        <v>77530.378340493262</v>
      </c>
      <c r="AB1559" s="1">
        <f t="shared" si="123"/>
        <v>8.0054797828100141E-2</v>
      </c>
      <c r="AC1559" s="1" t="b">
        <f t="shared" si="124"/>
        <v>1</v>
      </c>
    </row>
    <row r="1560" spans="1:29" x14ac:dyDescent="0.25">
      <c r="A1560" s="1" t="s">
        <v>587</v>
      </c>
      <c r="B1560">
        <v>2</v>
      </c>
      <c r="D1560" s="2">
        <v>77579.600000000006</v>
      </c>
      <c r="E1560">
        <v>37919</v>
      </c>
      <c r="F1560" t="s">
        <v>15</v>
      </c>
      <c r="G1560" t="s">
        <v>18</v>
      </c>
      <c r="H1560">
        <v>115499</v>
      </c>
      <c r="I1560" t="s">
        <v>17</v>
      </c>
      <c r="J1560" t="s">
        <v>16</v>
      </c>
      <c r="K1560">
        <v>37919.58</v>
      </c>
      <c r="L1560">
        <v>115499.8</v>
      </c>
      <c r="M1560">
        <v>16</v>
      </c>
      <c r="Y1560" s="1">
        <f t="shared" si="120"/>
        <v>1288.999</v>
      </c>
      <c r="Z1560" s="2">
        <f t="shared" si="121"/>
        <v>77579.600000000006</v>
      </c>
      <c r="AA1560" s="2">
        <f t="shared" si="122"/>
        <v>77579.579192846548</v>
      </c>
      <c r="AB1560" s="1">
        <f t="shared" si="123"/>
        <v>8.0092955538695748E-2</v>
      </c>
      <c r="AC1560" s="1" t="b">
        <f t="shared" si="124"/>
        <v>1</v>
      </c>
    </row>
    <row r="1561" spans="1:29" x14ac:dyDescent="0.25">
      <c r="A1561" s="1" t="s">
        <v>588</v>
      </c>
      <c r="B1561">
        <v>2</v>
      </c>
      <c r="C1561" t="s">
        <v>123</v>
      </c>
      <c r="D1561" s="2">
        <v>77655.7</v>
      </c>
      <c r="M1561">
        <v>16</v>
      </c>
      <c r="Y1561" s="1">
        <f t="shared" si="120"/>
        <v>1287.7360000000001</v>
      </c>
      <c r="Z1561" s="2">
        <f t="shared" si="121"/>
        <v>77655.7</v>
      </c>
      <c r="AA1561" s="2">
        <f t="shared" si="122"/>
        <v>77655.668553181706</v>
      </c>
      <c r="AB1561" s="1">
        <f t="shared" si="123"/>
        <v>8.0152014292208071E-2</v>
      </c>
      <c r="AC1561" s="1" t="b">
        <f t="shared" si="124"/>
        <v>1</v>
      </c>
    </row>
    <row r="1562" spans="1:29" x14ac:dyDescent="0.25">
      <c r="A1562" s="1" t="s">
        <v>589</v>
      </c>
      <c r="B1562">
        <v>300</v>
      </c>
      <c r="D1562" s="2">
        <v>77704</v>
      </c>
      <c r="E1562">
        <v>38785</v>
      </c>
      <c r="F1562" t="s">
        <v>15</v>
      </c>
      <c r="G1562" t="s">
        <v>57</v>
      </c>
      <c r="H1562">
        <v>116489</v>
      </c>
      <c r="I1562" t="s">
        <v>17</v>
      </c>
      <c r="J1562" t="s">
        <v>528</v>
      </c>
      <c r="K1562">
        <v>38785.760000000002</v>
      </c>
      <c r="L1562">
        <v>116489.8</v>
      </c>
      <c r="M1562">
        <v>16</v>
      </c>
      <c r="Y1562" s="1">
        <f t="shared" si="120"/>
        <v>1286.9349999999999</v>
      </c>
      <c r="Z1562" s="2">
        <f t="shared" si="121"/>
        <v>77704</v>
      </c>
      <c r="AA1562" s="2">
        <f t="shared" si="122"/>
        <v>77704.00214463046</v>
      </c>
      <c r="AB1562" s="1">
        <f t="shared" si="123"/>
        <v>8.018955974646369E-2</v>
      </c>
      <c r="AC1562" s="1" t="b">
        <f t="shared" si="124"/>
        <v>1</v>
      </c>
    </row>
    <row r="1563" spans="1:29" x14ac:dyDescent="0.25">
      <c r="A1563" s="1" t="s">
        <v>590</v>
      </c>
      <c r="B1563">
        <v>40</v>
      </c>
      <c r="C1563" t="s">
        <v>123</v>
      </c>
      <c r="D1563" s="2">
        <v>77728.5</v>
      </c>
      <c r="M1563">
        <v>16</v>
      </c>
      <c r="Y1563" s="1">
        <f t="shared" si="120"/>
        <v>1286.53</v>
      </c>
      <c r="Z1563" s="2">
        <f t="shared" si="121"/>
        <v>77728.5</v>
      </c>
      <c r="AA1563" s="2">
        <f t="shared" si="122"/>
        <v>77728.463386007323</v>
      </c>
      <c r="AB1563" s="1">
        <f t="shared" si="123"/>
        <v>8.0208570101749407E-2</v>
      </c>
      <c r="AC1563" s="1" t="b">
        <f t="shared" si="124"/>
        <v>1</v>
      </c>
    </row>
    <row r="1564" spans="1:29" x14ac:dyDescent="0.25">
      <c r="A1564" s="1" t="s">
        <v>591</v>
      </c>
      <c r="B1564">
        <v>1</v>
      </c>
      <c r="D1564" s="2">
        <v>77746.399999999994</v>
      </c>
      <c r="M1564">
        <v>16</v>
      </c>
      <c r="Y1564" s="1">
        <f t="shared" si="120"/>
        <v>1286.2329999999999</v>
      </c>
      <c r="Z1564" s="2">
        <f t="shared" si="121"/>
        <v>77746.399999999994</v>
      </c>
      <c r="AA1564" s="2">
        <f t="shared" si="122"/>
        <v>77746.411420014891</v>
      </c>
      <c r="AB1564" s="1">
        <f t="shared" si="123"/>
        <v>8.0222522443451114E-2</v>
      </c>
      <c r="AC1564" s="1" t="b">
        <f t="shared" si="124"/>
        <v>1</v>
      </c>
    </row>
    <row r="1565" spans="1:29" x14ac:dyDescent="0.25">
      <c r="A1565" s="1" t="s">
        <v>592</v>
      </c>
      <c r="B1565">
        <v>10</v>
      </c>
      <c r="D1565" s="2">
        <v>77880.2</v>
      </c>
      <c r="E1565">
        <v>37919</v>
      </c>
      <c r="F1565" t="s">
        <v>15</v>
      </c>
      <c r="G1565" t="s">
        <v>18</v>
      </c>
      <c r="H1565">
        <v>115800</v>
      </c>
      <c r="I1565" t="s">
        <v>17</v>
      </c>
      <c r="J1565" t="s">
        <v>28</v>
      </c>
      <c r="K1565">
        <v>37919.58</v>
      </c>
      <c r="L1565">
        <v>115800</v>
      </c>
      <c r="M1565">
        <v>16</v>
      </c>
      <c r="Y1565" s="1">
        <f t="shared" si="120"/>
        <v>1284.0229999999999</v>
      </c>
      <c r="Z1565" s="2">
        <f t="shared" si="121"/>
        <v>77880.2</v>
      </c>
      <c r="AA1565" s="2">
        <f t="shared" si="122"/>
        <v>77880.224886937387</v>
      </c>
      <c r="AB1565" s="1">
        <f t="shared" si="123"/>
        <v>8.0326647142199711E-2</v>
      </c>
      <c r="AC1565" s="1" t="b">
        <f t="shared" si="124"/>
        <v>1</v>
      </c>
    </row>
    <row r="1566" spans="1:29" x14ac:dyDescent="0.25">
      <c r="A1566" s="1" t="s">
        <v>593</v>
      </c>
      <c r="B1566">
        <v>3</v>
      </c>
      <c r="C1566" t="s">
        <v>123</v>
      </c>
      <c r="D1566" s="2">
        <v>78223.100000000006</v>
      </c>
      <c r="M1566">
        <v>16</v>
      </c>
      <c r="Y1566" s="1">
        <f t="shared" si="120"/>
        <v>1278.394</v>
      </c>
      <c r="Z1566" s="2">
        <f t="shared" si="121"/>
        <v>78223.100000000006</v>
      </c>
      <c r="AA1566" s="2">
        <f t="shared" si="122"/>
        <v>78223.14560299876</v>
      </c>
      <c r="AB1566" s="1">
        <f t="shared" si="123"/>
        <v>8.0594302540139731E-2</v>
      </c>
      <c r="AC1566" s="1" t="b">
        <f t="shared" si="124"/>
        <v>1</v>
      </c>
    </row>
    <row r="1567" spans="1:29" x14ac:dyDescent="0.25">
      <c r="A1567" s="1" t="s">
        <v>594</v>
      </c>
      <c r="B1567">
        <v>2</v>
      </c>
      <c r="D1567" s="2">
        <v>78264</v>
      </c>
      <c r="M1567">
        <v>16</v>
      </c>
      <c r="Y1567" s="1">
        <f t="shared" si="120"/>
        <v>1277.7260000000001</v>
      </c>
      <c r="Z1567" s="2">
        <f t="shared" si="121"/>
        <v>78264</v>
      </c>
      <c r="AA1567" s="2">
        <f t="shared" si="122"/>
        <v>78264.040960268467</v>
      </c>
      <c r="AB1567" s="1">
        <f t="shared" si="123"/>
        <v>8.0626300537152903E-2</v>
      </c>
      <c r="AC1567" s="1" t="b">
        <f t="shared" si="124"/>
        <v>1</v>
      </c>
    </row>
    <row r="1568" spans="1:29" x14ac:dyDescent="0.25">
      <c r="A1568" s="1" t="s">
        <v>595</v>
      </c>
      <c r="B1568">
        <v>50</v>
      </c>
      <c r="C1568" t="s">
        <v>123</v>
      </c>
      <c r="D1568" s="2">
        <v>78274.600000000006</v>
      </c>
      <c r="M1568">
        <v>16</v>
      </c>
      <c r="Y1568" s="1">
        <f t="shared" si="120"/>
        <v>1277.5530000000001</v>
      </c>
      <c r="Z1568" s="2">
        <f t="shared" si="121"/>
        <v>78274.600000000006</v>
      </c>
      <c r="AA1568" s="2">
        <f t="shared" si="122"/>
        <v>78274.639095207778</v>
      </c>
      <c r="AB1568" s="1">
        <f t="shared" si="123"/>
        <v>8.0634595627425157E-2</v>
      </c>
      <c r="AC1568" s="1" t="b">
        <f t="shared" si="124"/>
        <v>1</v>
      </c>
    </row>
    <row r="1569" spans="1:29" x14ac:dyDescent="0.25">
      <c r="A1569" s="1" t="s">
        <v>596</v>
      </c>
      <c r="B1569">
        <v>30</v>
      </c>
      <c r="D1569" s="2">
        <v>78291</v>
      </c>
      <c r="M1569">
        <v>16</v>
      </c>
      <c r="Y1569" s="1">
        <f t="shared" si="120"/>
        <v>1277.2860000000001</v>
      </c>
      <c r="Z1569" s="2">
        <f t="shared" si="121"/>
        <v>78291</v>
      </c>
      <c r="AA1569" s="2">
        <f t="shared" si="122"/>
        <v>78291.00138888236</v>
      </c>
      <c r="AB1569" s="1">
        <f t="shared" si="123"/>
        <v>8.0647404492369901E-2</v>
      </c>
      <c r="AC1569" s="1" t="b">
        <f t="shared" si="124"/>
        <v>1</v>
      </c>
    </row>
    <row r="1570" spans="1:29" x14ac:dyDescent="0.25">
      <c r="A1570" s="1" t="s">
        <v>597</v>
      </c>
      <c r="B1570">
        <v>1</v>
      </c>
      <c r="D1570" s="2">
        <v>78312.399999999994</v>
      </c>
      <c r="M1570">
        <v>16</v>
      </c>
      <c r="Y1570" s="1">
        <f t="shared" si="120"/>
        <v>1276.9369999999999</v>
      </c>
      <c r="Z1570" s="2">
        <f t="shared" si="121"/>
        <v>78312.399999999994</v>
      </c>
      <c r="AA1570" s="2">
        <f t="shared" si="122"/>
        <v>78312.399123840878</v>
      </c>
      <c r="AB1570" s="1">
        <f t="shared" si="123"/>
        <v>8.0664159282658771E-2</v>
      </c>
      <c r="AC1570" s="1" t="b">
        <f t="shared" si="124"/>
        <v>1</v>
      </c>
    </row>
    <row r="1571" spans="1:29" x14ac:dyDescent="0.25">
      <c r="A1571" s="1" t="s">
        <v>598</v>
      </c>
      <c r="B1571">
        <v>2</v>
      </c>
      <c r="C1571" t="s">
        <v>123</v>
      </c>
      <c r="D1571" s="2">
        <v>78319.8</v>
      </c>
      <c r="M1571">
        <v>16</v>
      </c>
      <c r="Y1571" s="1">
        <f t="shared" si="120"/>
        <v>1276.817</v>
      </c>
      <c r="Z1571" s="2">
        <f t="shared" si="121"/>
        <v>78319.8</v>
      </c>
      <c r="AA1571" s="2">
        <f t="shared" si="122"/>
        <v>78319.759213732279</v>
      </c>
      <c r="AB1571" s="1">
        <f t="shared" si="123"/>
        <v>8.0669923416485018E-2</v>
      </c>
      <c r="AC1571" s="1" t="b">
        <f t="shared" si="124"/>
        <v>1</v>
      </c>
    </row>
    <row r="1572" spans="1:29" x14ac:dyDescent="0.25">
      <c r="A1572" s="1" t="s">
        <v>599</v>
      </c>
      <c r="B1572">
        <v>2</v>
      </c>
      <c r="C1572" t="s">
        <v>123</v>
      </c>
      <c r="D1572" s="2">
        <v>78332.3</v>
      </c>
      <c r="M1572">
        <v>16</v>
      </c>
      <c r="Y1572" s="1">
        <f t="shared" si="120"/>
        <v>1276.6120000000001</v>
      </c>
      <c r="Z1572" s="2">
        <f t="shared" si="121"/>
        <v>78332.3</v>
      </c>
      <c r="AA1572" s="2">
        <f t="shared" si="122"/>
        <v>78332.335901589511</v>
      </c>
      <c r="AB1572" s="1">
        <f t="shared" si="123"/>
        <v>8.0679774238997248E-2</v>
      </c>
      <c r="AC1572" s="1" t="b">
        <f t="shared" si="124"/>
        <v>1</v>
      </c>
    </row>
    <row r="1573" spans="1:29" x14ac:dyDescent="0.25">
      <c r="A1573" s="1" t="s">
        <v>600</v>
      </c>
      <c r="B1573">
        <v>1</v>
      </c>
      <c r="D1573" s="2">
        <v>78349.8</v>
      </c>
      <c r="E1573">
        <v>38694</v>
      </c>
      <c r="F1573" t="s">
        <v>15</v>
      </c>
      <c r="G1573" t="s">
        <v>28</v>
      </c>
      <c r="H1573">
        <v>117044</v>
      </c>
      <c r="I1573" t="s">
        <v>17</v>
      </c>
      <c r="J1573" t="s">
        <v>18</v>
      </c>
      <c r="K1573">
        <v>38694.51</v>
      </c>
      <c r="L1573">
        <v>117044.6</v>
      </c>
      <c r="M1573">
        <v>16</v>
      </c>
      <c r="Y1573" s="1">
        <f t="shared" si="120"/>
        <v>1276.327</v>
      </c>
      <c r="Z1573" s="2">
        <f t="shared" si="121"/>
        <v>78349.8</v>
      </c>
      <c r="AA1573" s="2">
        <f t="shared" si="122"/>
        <v>78349.827277805773</v>
      </c>
      <c r="AB1573" s="1">
        <f t="shared" si="123"/>
        <v>8.0693477172309985E-2</v>
      </c>
      <c r="AC1573" s="1" t="b">
        <f t="shared" si="124"/>
        <v>1</v>
      </c>
    </row>
    <row r="1574" spans="1:29" x14ac:dyDescent="0.25">
      <c r="A1574" s="1" t="s">
        <v>601</v>
      </c>
      <c r="B1574">
        <v>1</v>
      </c>
      <c r="D1574" s="2">
        <v>78388.3</v>
      </c>
      <c r="M1574">
        <v>16</v>
      </c>
      <c r="Y1574" s="1">
        <f t="shared" si="120"/>
        <v>1275.701</v>
      </c>
      <c r="Z1574" s="2">
        <f t="shared" si="121"/>
        <v>78388.3</v>
      </c>
      <c r="AA1574" s="2">
        <f t="shared" si="122"/>
        <v>78388.274368366881</v>
      </c>
      <c r="AB1574" s="1">
        <f t="shared" si="123"/>
        <v>8.0723607792251822E-2</v>
      </c>
      <c r="AC1574" s="1" t="b">
        <f t="shared" si="124"/>
        <v>1</v>
      </c>
    </row>
    <row r="1575" spans="1:29" x14ac:dyDescent="0.25">
      <c r="A1575" s="1" t="s">
        <v>602</v>
      </c>
      <c r="B1575">
        <v>20</v>
      </c>
      <c r="D1575" s="2">
        <v>78436</v>
      </c>
      <c r="M1575">
        <v>16</v>
      </c>
      <c r="Y1575" s="1">
        <f t="shared" si="120"/>
        <v>1274.924</v>
      </c>
      <c r="Z1575" s="2">
        <f t="shared" si="121"/>
        <v>78436</v>
      </c>
      <c r="AA1575" s="2">
        <f t="shared" si="122"/>
        <v>78436.04795266228</v>
      </c>
      <c r="AB1575" s="1">
        <f t="shared" si="123"/>
        <v>8.0761068092161686E-2</v>
      </c>
      <c r="AC1575" s="1" t="b">
        <f t="shared" si="124"/>
        <v>1</v>
      </c>
    </row>
    <row r="1576" spans="1:29" x14ac:dyDescent="0.25">
      <c r="A1576" s="1" t="s">
        <v>603</v>
      </c>
      <c r="B1576">
        <v>5</v>
      </c>
      <c r="D1576" s="2">
        <v>78532.3</v>
      </c>
      <c r="E1576">
        <v>35024</v>
      </c>
      <c r="F1576" t="s">
        <v>15</v>
      </c>
      <c r="G1576" t="s">
        <v>18</v>
      </c>
      <c r="H1576">
        <v>113556</v>
      </c>
      <c r="I1576" t="s">
        <v>17</v>
      </c>
      <c r="J1576" t="s">
        <v>28</v>
      </c>
      <c r="K1576">
        <v>35024.49</v>
      </c>
      <c r="L1576">
        <v>113556.8</v>
      </c>
      <c r="M1576">
        <v>16</v>
      </c>
      <c r="Y1576" s="1">
        <f t="shared" si="120"/>
        <v>1273.3610000000001</v>
      </c>
      <c r="Z1576" s="2">
        <f t="shared" si="121"/>
        <v>78532.3</v>
      </c>
      <c r="AA1576" s="2">
        <f t="shared" si="122"/>
        <v>78532.325082989031</v>
      </c>
      <c r="AB1576" s="1">
        <f t="shared" si="123"/>
        <v>8.0836630414701349E-2</v>
      </c>
      <c r="AC1576" s="1" t="b">
        <f t="shared" si="124"/>
        <v>1</v>
      </c>
    </row>
    <row r="1577" spans="1:29" x14ac:dyDescent="0.25">
      <c r="A1577" s="1" t="s">
        <v>604</v>
      </c>
      <c r="B1577">
        <v>20</v>
      </c>
      <c r="D1577" s="2">
        <v>78560.7</v>
      </c>
      <c r="E1577">
        <v>25244</v>
      </c>
      <c r="F1577" t="s">
        <v>17</v>
      </c>
      <c r="G1577" t="s">
        <v>57</v>
      </c>
      <c r="H1577">
        <v>103805</v>
      </c>
      <c r="I1577" t="s">
        <v>15</v>
      </c>
      <c r="J1577" t="s">
        <v>50</v>
      </c>
      <c r="K1577">
        <v>25244.61</v>
      </c>
      <c r="L1577">
        <v>103805.38</v>
      </c>
      <c r="M1577">
        <v>16</v>
      </c>
      <c r="Y1577" s="1">
        <f t="shared" si="120"/>
        <v>1272.9010000000001</v>
      </c>
      <c r="Z1577" s="2">
        <f t="shared" si="121"/>
        <v>78560.7</v>
      </c>
      <c r="AA1577" s="2">
        <f t="shared" si="122"/>
        <v>78560.705035191262</v>
      </c>
      <c r="AB1577" s="1">
        <f t="shared" si="123"/>
        <v>8.0858921878131637E-2</v>
      </c>
      <c r="AC1577" s="1" t="b">
        <f t="shared" si="124"/>
        <v>1</v>
      </c>
    </row>
    <row r="1578" spans="1:29" x14ac:dyDescent="0.25">
      <c r="A1578" s="1" t="s">
        <v>605</v>
      </c>
      <c r="B1578">
        <v>1</v>
      </c>
      <c r="D1578" s="2">
        <v>78565.7</v>
      </c>
      <c r="E1578">
        <v>39120</v>
      </c>
      <c r="F1578" t="s">
        <v>15</v>
      </c>
      <c r="G1578" t="s">
        <v>29</v>
      </c>
      <c r="H1578">
        <v>117686</v>
      </c>
      <c r="I1578" t="s">
        <v>17</v>
      </c>
      <c r="J1578" t="s">
        <v>28</v>
      </c>
      <c r="K1578">
        <v>39120.49</v>
      </c>
      <c r="L1578">
        <v>117686.39999999999</v>
      </c>
      <c r="M1578">
        <v>16</v>
      </c>
      <c r="Y1578" s="1">
        <f t="shared" si="120"/>
        <v>1272.82</v>
      </c>
      <c r="Z1578" s="2">
        <f t="shared" si="121"/>
        <v>78565.7</v>
      </c>
      <c r="AA1578" s="2">
        <f t="shared" si="122"/>
        <v>78565.704498672247</v>
      </c>
      <c r="AB1578" s="1">
        <f t="shared" si="123"/>
        <v>8.0862849616863436E-2</v>
      </c>
      <c r="AC1578" s="1" t="b">
        <f t="shared" si="124"/>
        <v>1</v>
      </c>
    </row>
    <row r="1579" spans="1:29" x14ac:dyDescent="0.25">
      <c r="A1579" s="1" t="s">
        <v>606</v>
      </c>
      <c r="B1579">
        <v>3</v>
      </c>
      <c r="D1579" s="2">
        <v>78573.7</v>
      </c>
      <c r="E1579">
        <v>23091</v>
      </c>
      <c r="F1579" t="s">
        <v>17</v>
      </c>
      <c r="G1579" t="s">
        <v>29</v>
      </c>
      <c r="H1579">
        <v>101665</v>
      </c>
      <c r="I1579" t="s">
        <v>15</v>
      </c>
      <c r="J1579" t="s">
        <v>28</v>
      </c>
      <c r="K1579">
        <v>23091.7</v>
      </c>
      <c r="L1579">
        <v>101665.58</v>
      </c>
      <c r="M1579">
        <v>16</v>
      </c>
      <c r="Y1579" s="1">
        <f t="shared" si="120"/>
        <v>1272.69</v>
      </c>
      <c r="Z1579" s="2">
        <f t="shared" si="121"/>
        <v>78573.7</v>
      </c>
      <c r="AA1579" s="2">
        <f t="shared" si="122"/>
        <v>78573.729659225733</v>
      </c>
      <c r="AB1579" s="1">
        <f t="shared" si="123"/>
        <v>8.0869154962805445E-2</v>
      </c>
      <c r="AC1579" s="1" t="b">
        <f t="shared" si="124"/>
        <v>1</v>
      </c>
    </row>
    <row r="1580" spans="1:29" x14ac:dyDescent="0.25">
      <c r="A1580" s="1" t="s">
        <v>607</v>
      </c>
      <c r="B1580">
        <v>10</v>
      </c>
      <c r="C1580" t="s">
        <v>123</v>
      </c>
      <c r="D1580" s="2">
        <v>78620.399999999994</v>
      </c>
      <c r="M1580">
        <v>16</v>
      </c>
      <c r="Y1580" s="1">
        <f t="shared" si="120"/>
        <v>1271.934</v>
      </c>
      <c r="Z1580" s="2">
        <f t="shared" si="121"/>
        <v>78620.399999999994</v>
      </c>
      <c r="AA1580" s="2">
        <f t="shared" si="122"/>
        <v>78620.431563272941</v>
      </c>
      <c r="AB1580" s="1">
        <f t="shared" si="123"/>
        <v>8.0905861295976433E-2</v>
      </c>
      <c r="AC1580" s="1" t="b">
        <f t="shared" si="124"/>
        <v>1</v>
      </c>
    </row>
    <row r="1581" spans="1:29" x14ac:dyDescent="0.25">
      <c r="A1581" s="1" t="s">
        <v>608</v>
      </c>
      <c r="B1581">
        <v>1</v>
      </c>
      <c r="D1581" s="2">
        <v>78626.899999999994</v>
      </c>
      <c r="M1581">
        <v>16</v>
      </c>
      <c r="Y1581" s="1">
        <f t="shared" si="120"/>
        <v>1271.829</v>
      </c>
      <c r="Z1581" s="2">
        <f t="shared" si="121"/>
        <v>78626.899999999994</v>
      </c>
      <c r="AA1581" s="2">
        <f t="shared" si="122"/>
        <v>78626.922329967318</v>
      </c>
      <c r="AB1581" s="1">
        <f t="shared" si="123"/>
        <v>8.0910964575413566E-2</v>
      </c>
      <c r="AC1581" s="1" t="b">
        <f t="shared" si="124"/>
        <v>1</v>
      </c>
    </row>
    <row r="1582" spans="1:29" x14ac:dyDescent="0.25">
      <c r="A1582" s="1" t="s">
        <v>609</v>
      </c>
      <c r="B1582">
        <v>1</v>
      </c>
      <c r="D1582" s="2">
        <v>78771.199999999997</v>
      </c>
      <c r="E1582">
        <v>34520</v>
      </c>
      <c r="F1582" t="s">
        <v>15</v>
      </c>
      <c r="G1582" t="s">
        <v>28</v>
      </c>
      <c r="H1582">
        <v>113291</v>
      </c>
      <c r="I1582" t="s">
        <v>17</v>
      </c>
      <c r="J1582" t="s">
        <v>18</v>
      </c>
      <c r="K1582">
        <v>34520.269999999997</v>
      </c>
      <c r="L1582">
        <v>113291.8</v>
      </c>
      <c r="M1582">
        <v>16</v>
      </c>
      <c r="Y1582" s="1">
        <f t="shared" si="120"/>
        <v>1269.499</v>
      </c>
      <c r="Z1582" s="2">
        <f t="shared" si="121"/>
        <v>78771.199999999997</v>
      </c>
      <c r="AA1582" s="2">
        <f t="shared" si="122"/>
        <v>78771.231800891532</v>
      </c>
      <c r="AB1582" s="1">
        <f t="shared" si="123"/>
        <v>8.1024534797148925E-2</v>
      </c>
      <c r="AC1582" s="1" t="b">
        <f t="shared" si="124"/>
        <v>1</v>
      </c>
    </row>
    <row r="1583" spans="1:29" x14ac:dyDescent="0.25">
      <c r="A1583" s="1" t="s">
        <v>610</v>
      </c>
      <c r="B1583">
        <v>1</v>
      </c>
      <c r="D1583" s="2">
        <v>78780.800000000003</v>
      </c>
      <c r="E1583">
        <v>36640</v>
      </c>
      <c r="F1583" t="s">
        <v>15</v>
      </c>
      <c r="G1583" t="s">
        <v>18</v>
      </c>
      <c r="H1583">
        <v>115420</v>
      </c>
      <c r="I1583" t="s">
        <v>17</v>
      </c>
      <c r="J1583" t="s">
        <v>18</v>
      </c>
      <c r="K1583">
        <v>36640.379999999997</v>
      </c>
      <c r="L1583">
        <v>115420.8</v>
      </c>
      <c r="M1583">
        <v>16</v>
      </c>
      <c r="Y1583" s="1">
        <f t="shared" si="120"/>
        <v>1269.345</v>
      </c>
      <c r="Z1583" s="2">
        <f t="shared" si="121"/>
        <v>78780.800000000003</v>
      </c>
      <c r="AA1583" s="2">
        <f t="shared" si="122"/>
        <v>78780.78851691226</v>
      </c>
      <c r="AB1583" s="1">
        <f t="shared" si="123"/>
        <v>8.1032063196732285E-2</v>
      </c>
      <c r="AC1583" s="1" t="b">
        <f t="shared" si="124"/>
        <v>1</v>
      </c>
    </row>
    <row r="1584" spans="1:29" x14ac:dyDescent="0.25">
      <c r="A1584" s="1" t="s">
        <v>611</v>
      </c>
      <c r="B1584">
        <v>2</v>
      </c>
      <c r="D1584" s="2">
        <v>78787.8</v>
      </c>
      <c r="E1584">
        <v>37011</v>
      </c>
      <c r="F1584" t="s">
        <v>15</v>
      </c>
      <c r="G1584" t="s">
        <v>28</v>
      </c>
      <c r="H1584">
        <v>115800</v>
      </c>
      <c r="I1584" t="s">
        <v>17</v>
      </c>
      <c r="J1584" t="s">
        <v>28</v>
      </c>
      <c r="K1584">
        <v>37011.919999999998</v>
      </c>
      <c r="L1584">
        <v>115800</v>
      </c>
      <c r="M1584">
        <v>16</v>
      </c>
      <c r="Y1584" s="1">
        <f t="shared" si="120"/>
        <v>1269.232</v>
      </c>
      <c r="Z1584" s="2">
        <f t="shared" si="121"/>
        <v>78787.8</v>
      </c>
      <c r="AA1584" s="2">
        <f t="shared" si="122"/>
        <v>78787.802387585572</v>
      </c>
      <c r="AB1584" s="1">
        <f t="shared" si="123"/>
        <v>8.1037589025326179E-2</v>
      </c>
      <c r="AC1584" s="1" t="b">
        <f t="shared" si="124"/>
        <v>1</v>
      </c>
    </row>
    <row r="1585" spans="1:29" x14ac:dyDescent="0.25">
      <c r="A1585" s="1" t="s">
        <v>612</v>
      </c>
      <c r="B1585">
        <v>2</v>
      </c>
      <c r="D1585" s="2">
        <v>78813.399999999994</v>
      </c>
      <c r="M1585">
        <v>16</v>
      </c>
      <c r="Y1585" s="1">
        <f t="shared" si="120"/>
        <v>1268.819</v>
      </c>
      <c r="Z1585" s="2">
        <f t="shared" si="121"/>
        <v>78813.399999999994</v>
      </c>
      <c r="AA1585" s="2">
        <f t="shared" si="122"/>
        <v>78813.447780967967</v>
      </c>
      <c r="AB1585" s="1">
        <f t="shared" si="123"/>
        <v>8.1057797755616834E-2</v>
      </c>
      <c r="AC1585" s="1" t="b">
        <f t="shared" si="124"/>
        <v>1</v>
      </c>
    </row>
    <row r="1586" spans="1:29" x14ac:dyDescent="0.25">
      <c r="A1586" s="1" t="s">
        <v>613</v>
      </c>
      <c r="B1586">
        <v>1</v>
      </c>
      <c r="D1586" s="2">
        <v>78859.100000000006</v>
      </c>
      <c r="E1586">
        <v>36640</v>
      </c>
      <c r="F1586" t="s">
        <v>15</v>
      </c>
      <c r="G1586" t="s">
        <v>18</v>
      </c>
      <c r="H1586">
        <v>115499</v>
      </c>
      <c r="I1586" t="s">
        <v>17</v>
      </c>
      <c r="J1586" t="s">
        <v>16</v>
      </c>
      <c r="K1586">
        <v>36640.379999999997</v>
      </c>
      <c r="L1586">
        <v>115499.8</v>
      </c>
      <c r="M1586">
        <v>16</v>
      </c>
      <c r="Y1586" s="1">
        <f t="shared" si="120"/>
        <v>1268.0840000000001</v>
      </c>
      <c r="Z1586" s="2">
        <f t="shared" si="121"/>
        <v>78859.100000000006</v>
      </c>
      <c r="AA1586" s="2">
        <f t="shared" si="122"/>
        <v>78859.129205951656</v>
      </c>
      <c r="AB1586" s="1">
        <f t="shared" si="123"/>
        <v>8.109381129560489E-2</v>
      </c>
      <c r="AC1586" s="1" t="b">
        <f t="shared" si="124"/>
        <v>1</v>
      </c>
    </row>
    <row r="1587" spans="1:29" x14ac:dyDescent="0.25">
      <c r="A1587" s="1" t="s">
        <v>614</v>
      </c>
      <c r="B1587">
        <v>40</v>
      </c>
      <c r="D1587" s="2">
        <v>78877.8</v>
      </c>
      <c r="E1587">
        <v>39732</v>
      </c>
      <c r="F1587" t="s">
        <v>15</v>
      </c>
      <c r="G1587" t="s">
        <v>23</v>
      </c>
      <c r="H1587">
        <v>118610</v>
      </c>
      <c r="I1587" t="s">
        <v>17</v>
      </c>
      <c r="J1587" t="s">
        <v>50</v>
      </c>
      <c r="K1587">
        <v>39732.99</v>
      </c>
      <c r="L1587">
        <v>118610.9</v>
      </c>
      <c r="M1587">
        <v>16</v>
      </c>
      <c r="Y1587" s="1">
        <f t="shared" si="120"/>
        <v>1267.7829999999999</v>
      </c>
      <c r="Z1587" s="2">
        <f t="shared" si="121"/>
        <v>78877.8</v>
      </c>
      <c r="AA1587" s="2">
        <f t="shared" si="122"/>
        <v>78877.852124535508</v>
      </c>
      <c r="AB1587" s="1">
        <f t="shared" si="123"/>
        <v>8.1108577778900459E-2</v>
      </c>
      <c r="AC1587" s="1" t="b">
        <f t="shared" si="124"/>
        <v>1</v>
      </c>
    </row>
    <row r="1588" spans="1:29" x14ac:dyDescent="0.25">
      <c r="A1588" s="1" t="s">
        <v>615</v>
      </c>
      <c r="B1588">
        <v>2</v>
      </c>
      <c r="C1588" t="s">
        <v>123</v>
      </c>
      <c r="D1588" s="2">
        <v>78912</v>
      </c>
      <c r="M1588">
        <v>16</v>
      </c>
      <c r="Y1588" s="1">
        <f t="shared" si="120"/>
        <v>1267.2349999999999</v>
      </c>
      <c r="Z1588" s="2">
        <f t="shared" si="121"/>
        <v>78912</v>
      </c>
      <c r="AA1588" s="2">
        <f t="shared" si="122"/>
        <v>78911.961869740029</v>
      </c>
      <c r="AB1588" s="1">
        <f t="shared" si="123"/>
        <v>8.1135488630656533E-2</v>
      </c>
      <c r="AC1588" s="1" t="b">
        <f t="shared" si="124"/>
        <v>1</v>
      </c>
    </row>
    <row r="1589" spans="1:29" x14ac:dyDescent="0.25">
      <c r="A1589" s="1" t="s">
        <v>616</v>
      </c>
      <c r="B1589">
        <v>2</v>
      </c>
      <c r="C1589" t="s">
        <v>123</v>
      </c>
      <c r="D1589" s="2">
        <v>78943.399999999994</v>
      </c>
      <c r="M1589">
        <v>16</v>
      </c>
      <c r="Y1589" s="1">
        <f t="shared" si="120"/>
        <v>1266.73</v>
      </c>
      <c r="Z1589" s="2">
        <f t="shared" si="121"/>
        <v>78943.399999999994</v>
      </c>
      <c r="AA1589" s="2">
        <f t="shared" si="122"/>
        <v>78943.421249990133</v>
      </c>
      <c r="AB1589" s="1">
        <f t="shared" si="123"/>
        <v>8.1160318793266975E-2</v>
      </c>
      <c r="AC1589" s="1" t="b">
        <f t="shared" si="124"/>
        <v>1</v>
      </c>
    </row>
    <row r="1590" spans="1:29" x14ac:dyDescent="0.25">
      <c r="A1590" s="1" t="s">
        <v>617</v>
      </c>
      <c r="B1590">
        <v>20</v>
      </c>
      <c r="D1590" s="2">
        <v>79009.2</v>
      </c>
      <c r="E1590">
        <v>39870</v>
      </c>
      <c r="F1590" t="s">
        <v>15</v>
      </c>
      <c r="G1590" t="s">
        <v>16</v>
      </c>
      <c r="H1590">
        <v>118879</v>
      </c>
      <c r="I1590" t="s">
        <v>17</v>
      </c>
      <c r="J1590" t="s">
        <v>23</v>
      </c>
      <c r="K1590">
        <v>39870.17</v>
      </c>
      <c r="L1590">
        <v>118879.3</v>
      </c>
      <c r="M1590">
        <v>16</v>
      </c>
      <c r="Y1590" s="1">
        <f t="shared" si="120"/>
        <v>1265.6759999999999</v>
      </c>
      <c r="Z1590" s="2">
        <f t="shared" si="121"/>
        <v>79009.2</v>
      </c>
      <c r="AA1590" s="2">
        <f t="shared" si="122"/>
        <v>79009.161902414213</v>
      </c>
      <c r="AB1590" s="1">
        <f t="shared" si="123"/>
        <v>8.1212238322609515E-2</v>
      </c>
      <c r="AC1590" s="1" t="b">
        <f t="shared" si="124"/>
        <v>1</v>
      </c>
    </row>
    <row r="1591" spans="1:29" x14ac:dyDescent="0.25">
      <c r="A1591" s="1" t="s">
        <v>618</v>
      </c>
      <c r="B1591">
        <v>5</v>
      </c>
      <c r="C1591" t="s">
        <v>27</v>
      </c>
      <c r="D1591" s="2">
        <v>79029.7</v>
      </c>
      <c r="E1591">
        <v>36640</v>
      </c>
      <c r="F1591" t="s">
        <v>15</v>
      </c>
      <c r="G1591" t="s">
        <v>18</v>
      </c>
      <c r="H1591">
        <v>115670</v>
      </c>
      <c r="I1591" t="s">
        <v>17</v>
      </c>
      <c r="J1591" t="s">
        <v>18</v>
      </c>
      <c r="K1591">
        <v>36640.379999999997</v>
      </c>
      <c r="L1591">
        <v>115670</v>
      </c>
      <c r="M1591">
        <v>16</v>
      </c>
      <c r="Y1591" s="1">
        <f t="shared" si="120"/>
        <v>1265.347</v>
      </c>
      <c r="Z1591" s="2">
        <f t="shared" si="121"/>
        <v>79029.7</v>
      </c>
      <c r="AA1591" s="2">
        <f t="shared" si="122"/>
        <v>79029.704895178947</v>
      </c>
      <c r="AB1591" s="1">
        <f t="shared" si="123"/>
        <v>8.1228471279095354E-2</v>
      </c>
      <c r="AC1591" s="1" t="b">
        <f t="shared" si="124"/>
        <v>1</v>
      </c>
    </row>
    <row r="1592" spans="1:29" x14ac:dyDescent="0.25">
      <c r="A1592" s="1" t="s">
        <v>618</v>
      </c>
      <c r="B1592">
        <v>5</v>
      </c>
      <c r="C1592" t="s">
        <v>27</v>
      </c>
      <c r="D1592" s="2">
        <v>79029.7</v>
      </c>
      <c r="E1592">
        <v>36642</v>
      </c>
      <c r="F1592" t="s">
        <v>15</v>
      </c>
      <c r="G1592" t="s">
        <v>50</v>
      </c>
      <c r="H1592">
        <v>115672</v>
      </c>
      <c r="I1592" t="s">
        <v>17</v>
      </c>
      <c r="J1592" t="s">
        <v>57</v>
      </c>
      <c r="K1592">
        <v>36642.129999999997</v>
      </c>
      <c r="L1592">
        <v>115672.2</v>
      </c>
      <c r="M1592">
        <v>16</v>
      </c>
      <c r="Y1592" s="1">
        <f t="shared" si="120"/>
        <v>1265.347</v>
      </c>
      <c r="Z1592" s="2">
        <f t="shared" si="121"/>
        <v>79029.7</v>
      </c>
      <c r="AA1592" s="2">
        <f t="shared" si="122"/>
        <v>79029.704895178947</v>
      </c>
      <c r="AB1592" s="1">
        <f t="shared" si="123"/>
        <v>8.1228471279095354E-2</v>
      </c>
      <c r="AC1592" s="1" t="b">
        <f t="shared" si="124"/>
        <v>1</v>
      </c>
    </row>
    <row r="1593" spans="1:29" x14ac:dyDescent="0.25">
      <c r="A1593" s="1" t="s">
        <v>619</v>
      </c>
      <c r="B1593">
        <v>10</v>
      </c>
      <c r="D1593" s="2">
        <v>79100.100000000006</v>
      </c>
      <c r="M1593">
        <v>16</v>
      </c>
      <c r="Y1593" s="1">
        <f t="shared" si="120"/>
        <v>1264.221</v>
      </c>
      <c r="Z1593" s="2">
        <f t="shared" si="121"/>
        <v>79100.100000000006</v>
      </c>
      <c r="AA1593" s="2">
        <f t="shared" si="122"/>
        <v>79100.09405001183</v>
      </c>
      <c r="AB1593" s="1">
        <f t="shared" si="123"/>
        <v>8.128412439360358E-2</v>
      </c>
      <c r="AC1593" s="1" t="b">
        <f t="shared" si="124"/>
        <v>1</v>
      </c>
    </row>
    <row r="1594" spans="1:29" x14ac:dyDescent="0.25">
      <c r="A1594" s="1" t="s">
        <v>620</v>
      </c>
      <c r="B1594">
        <v>20</v>
      </c>
      <c r="D1594" s="2">
        <v>79145.899999999994</v>
      </c>
      <c r="E1594">
        <v>39732</v>
      </c>
      <c r="F1594" t="s">
        <v>15</v>
      </c>
      <c r="G1594" t="s">
        <v>23</v>
      </c>
      <c r="H1594">
        <v>118879</v>
      </c>
      <c r="I1594" t="s">
        <v>17</v>
      </c>
      <c r="J1594" t="s">
        <v>23</v>
      </c>
      <c r="K1594">
        <v>39732.99</v>
      </c>
      <c r="L1594">
        <v>118879.3</v>
      </c>
      <c r="M1594">
        <v>16</v>
      </c>
      <c r="Y1594" s="1">
        <f t="shared" si="120"/>
        <v>1263.489</v>
      </c>
      <c r="Z1594" s="2">
        <f t="shared" si="121"/>
        <v>79145.899999999994</v>
      </c>
      <c r="AA1594" s="2">
        <f t="shared" si="122"/>
        <v>79145.920542244523</v>
      </c>
      <c r="AB1594" s="1">
        <f t="shared" si="123"/>
        <v>8.1320383692396414E-2</v>
      </c>
      <c r="AC1594" s="1" t="b">
        <f t="shared" si="124"/>
        <v>1</v>
      </c>
    </row>
    <row r="1595" spans="1:29" x14ac:dyDescent="0.25">
      <c r="A1595" s="1" t="s">
        <v>621</v>
      </c>
      <c r="B1595">
        <v>20</v>
      </c>
      <c r="D1595" s="2">
        <v>79159.399999999994</v>
      </c>
      <c r="E1595">
        <v>36640</v>
      </c>
      <c r="F1595" t="s">
        <v>15</v>
      </c>
      <c r="G1595" t="s">
        <v>18</v>
      </c>
      <c r="H1595">
        <v>115800</v>
      </c>
      <c r="I1595" t="s">
        <v>17</v>
      </c>
      <c r="J1595" t="s">
        <v>28</v>
      </c>
      <c r="K1595">
        <v>36640.379999999997</v>
      </c>
      <c r="L1595">
        <v>115800</v>
      </c>
      <c r="M1595">
        <v>16</v>
      </c>
      <c r="Y1595" s="1">
        <f t="shared" si="120"/>
        <v>1263.2739999999999</v>
      </c>
      <c r="Z1595" s="2">
        <f t="shared" si="121"/>
        <v>79159.399999999994</v>
      </c>
      <c r="AA1595" s="2">
        <f t="shared" si="122"/>
        <v>79159.390599347418</v>
      </c>
      <c r="AB1595" s="1">
        <f t="shared" si="123"/>
        <v>8.1331045600300272E-2</v>
      </c>
      <c r="AC1595" s="1" t="b">
        <f t="shared" si="124"/>
        <v>1</v>
      </c>
    </row>
    <row r="1596" spans="1:29" x14ac:dyDescent="0.25">
      <c r="A1596" s="1" t="s">
        <v>622</v>
      </c>
      <c r="B1596">
        <v>1</v>
      </c>
      <c r="D1596" s="2">
        <v>79166.5</v>
      </c>
      <c r="M1596">
        <v>16</v>
      </c>
      <c r="Y1596" s="1">
        <f t="shared" si="120"/>
        <v>1263.1600000000001</v>
      </c>
      <c r="Z1596" s="2">
        <f t="shared" si="121"/>
        <v>79166.5</v>
      </c>
      <c r="AA1596" s="2">
        <f t="shared" si="122"/>
        <v>79166.534722442128</v>
      </c>
      <c r="AB1596" s="1">
        <f t="shared" si="123"/>
        <v>8.1336701099798181E-2</v>
      </c>
      <c r="AC1596" s="1" t="b">
        <f t="shared" si="124"/>
        <v>1</v>
      </c>
    </row>
    <row r="1597" spans="1:29" x14ac:dyDescent="0.25">
      <c r="A1597" s="1" t="s">
        <v>623</v>
      </c>
      <c r="B1597">
        <v>20</v>
      </c>
      <c r="D1597" s="2">
        <v>79247.399999999994</v>
      </c>
      <c r="E1597">
        <v>39024</v>
      </c>
      <c r="F1597" t="s">
        <v>15</v>
      </c>
      <c r="G1597" t="s">
        <v>16</v>
      </c>
      <c r="H1597">
        <v>118271</v>
      </c>
      <c r="I1597" t="s">
        <v>17</v>
      </c>
      <c r="J1597" t="s">
        <v>23</v>
      </c>
      <c r="K1597">
        <v>39024.269999999997</v>
      </c>
      <c r="L1597">
        <v>118271.6</v>
      </c>
      <c r="M1597">
        <v>16</v>
      </c>
      <c r="Y1597" s="1">
        <f t="shared" si="120"/>
        <v>1261.8710000000001</v>
      </c>
      <c r="Z1597" s="2">
        <f t="shared" si="121"/>
        <v>79247.399999999994</v>
      </c>
      <c r="AA1597" s="2">
        <f t="shared" si="122"/>
        <v>79247.403260713647</v>
      </c>
      <c r="AB1597" s="1">
        <f t="shared" si="123"/>
        <v>8.1400754617830834E-2</v>
      </c>
      <c r="AC1597" s="1" t="b">
        <f t="shared" si="124"/>
        <v>1</v>
      </c>
    </row>
    <row r="1598" spans="1:29" x14ac:dyDescent="0.25">
      <c r="A1598" s="1" t="s">
        <v>624</v>
      </c>
      <c r="B1598">
        <v>20</v>
      </c>
      <c r="D1598" s="2">
        <v>79302.7</v>
      </c>
      <c r="M1598">
        <v>16</v>
      </c>
      <c r="Y1598" s="1">
        <f t="shared" si="120"/>
        <v>1260.991</v>
      </c>
      <c r="Z1598" s="2">
        <f t="shared" si="121"/>
        <v>79302.7</v>
      </c>
      <c r="AA1598" s="2">
        <f t="shared" si="122"/>
        <v>79302.707156514196</v>
      </c>
      <c r="AB1598" s="1">
        <f t="shared" si="123"/>
        <v>8.1444596811759251E-2</v>
      </c>
      <c r="AC1598" s="1" t="b">
        <f t="shared" si="124"/>
        <v>1</v>
      </c>
    </row>
    <row r="1599" spans="1:29" x14ac:dyDescent="0.25">
      <c r="A1599" s="1" t="s">
        <v>625</v>
      </c>
      <c r="B1599">
        <v>4</v>
      </c>
      <c r="D1599" s="2">
        <v>79381</v>
      </c>
      <c r="E1599">
        <v>36640</v>
      </c>
      <c r="F1599" t="s">
        <v>15</v>
      </c>
      <c r="G1599" t="s">
        <v>18</v>
      </c>
      <c r="H1599">
        <v>116021</v>
      </c>
      <c r="I1599" t="s">
        <v>17</v>
      </c>
      <c r="J1599" t="s">
        <v>18</v>
      </c>
      <c r="K1599">
        <v>36640.379999999997</v>
      </c>
      <c r="L1599">
        <v>116021.8</v>
      </c>
      <c r="M1599">
        <v>16</v>
      </c>
      <c r="Y1599" s="1">
        <f t="shared" si="120"/>
        <v>1259.7470000000001</v>
      </c>
      <c r="Z1599" s="2">
        <f t="shared" si="121"/>
        <v>79381</v>
      </c>
      <c r="AA1599" s="2">
        <f t="shared" si="122"/>
        <v>79381.018569601671</v>
      </c>
      <c r="AB1599" s="1">
        <f t="shared" si="123"/>
        <v>8.1506730545737233E-2</v>
      </c>
      <c r="AC1599" s="1" t="b">
        <f t="shared" si="124"/>
        <v>1</v>
      </c>
    </row>
    <row r="1600" spans="1:29" x14ac:dyDescent="0.25">
      <c r="A1600" s="1" t="s">
        <v>626</v>
      </c>
      <c r="B1600">
        <v>4</v>
      </c>
      <c r="C1600" t="s">
        <v>123</v>
      </c>
      <c r="D1600" s="2">
        <v>79437</v>
      </c>
      <c r="M1600">
        <v>16</v>
      </c>
      <c r="Y1600" s="1">
        <f t="shared" si="120"/>
        <v>1258.8589999999999</v>
      </c>
      <c r="Z1600" s="2">
        <f t="shared" si="121"/>
        <v>79437</v>
      </c>
      <c r="AA1600" s="2">
        <f t="shared" si="122"/>
        <v>79437.013994418754</v>
      </c>
      <c r="AB1600" s="1">
        <f t="shared" si="123"/>
        <v>8.1551195961747411E-2</v>
      </c>
      <c r="AC1600" s="1" t="b">
        <f t="shared" si="124"/>
        <v>1</v>
      </c>
    </row>
    <row r="1601" spans="1:29" x14ac:dyDescent="0.25">
      <c r="A1601" s="1">
        <v>1258.7539999999999</v>
      </c>
      <c r="B1601">
        <v>1</v>
      </c>
      <c r="D1601" s="2">
        <v>79443.600000000006</v>
      </c>
      <c r="M1601">
        <v>17</v>
      </c>
      <c r="Y1601" s="1">
        <f t="shared" si="120"/>
        <v>1258.7539999999999</v>
      </c>
      <c r="Z1601" s="2">
        <f t="shared" si="121"/>
        <v>79443.600000000006</v>
      </c>
      <c r="AA1601" s="2">
        <f t="shared" si="122"/>
        <v>79443.640298263213</v>
      </c>
      <c r="AB1601" s="1">
        <f t="shared" si="123"/>
        <v>8.1556459919199159E-2</v>
      </c>
      <c r="AC1601" s="1" t="b">
        <f t="shared" si="124"/>
        <v>1</v>
      </c>
    </row>
    <row r="1602" spans="1:29" x14ac:dyDescent="0.25">
      <c r="A1602" s="1">
        <v>1258.7</v>
      </c>
      <c r="B1602">
        <v>2</v>
      </c>
      <c r="D1602" s="2">
        <v>79447</v>
      </c>
      <c r="E1602">
        <v>24357</v>
      </c>
      <c r="F1602" t="s">
        <v>17</v>
      </c>
      <c r="G1602" t="s">
        <v>23</v>
      </c>
      <c r="H1602">
        <v>103805</v>
      </c>
      <c r="I1602" t="s">
        <v>15</v>
      </c>
      <c r="J1602" t="s">
        <v>50</v>
      </c>
      <c r="K1602">
        <v>24357.98</v>
      </c>
      <c r="L1602">
        <v>103805.38</v>
      </c>
      <c r="M1602">
        <v>17</v>
      </c>
      <c r="N1602" t="s">
        <v>1092</v>
      </c>
      <c r="Y1602" s="1">
        <f t="shared" si="120"/>
        <v>1258.7</v>
      </c>
      <c r="Z1602" s="2">
        <f t="shared" si="121"/>
        <v>79447</v>
      </c>
      <c r="AA1602" s="2">
        <f t="shared" si="122"/>
        <v>79447.048542146658</v>
      </c>
      <c r="AB1602" s="1">
        <f t="shared" si="123"/>
        <v>8.1559167610291042E-2</v>
      </c>
      <c r="AC1602" s="1" t="b">
        <f t="shared" si="124"/>
        <v>1</v>
      </c>
    </row>
    <row r="1603" spans="1:29" x14ac:dyDescent="0.25">
      <c r="A1603" s="1">
        <v>1257.9359999999999</v>
      </c>
      <c r="B1603">
        <v>1</v>
      </c>
      <c r="D1603" s="2">
        <v>79495.3</v>
      </c>
      <c r="E1603">
        <v>35828</v>
      </c>
      <c r="F1603" t="s">
        <v>15</v>
      </c>
      <c r="G1603" t="s">
        <v>16</v>
      </c>
      <c r="H1603">
        <v>115324</v>
      </c>
      <c r="I1603" t="s">
        <v>17</v>
      </c>
      <c r="J1603" t="s">
        <v>16</v>
      </c>
      <c r="K1603">
        <v>35828.46</v>
      </c>
      <c r="L1603">
        <v>115324.3</v>
      </c>
      <c r="M1603">
        <v>17</v>
      </c>
      <c r="Y1603" s="1">
        <f t="shared" ref="Y1603:Y1666" si="125">ROUND($A1603,3)+0</f>
        <v>1257.9359999999999</v>
      </c>
      <c r="Z1603" s="2">
        <f t="shared" ref="Z1603:Z1666" si="126">ROUND($D1603,1)+0</f>
        <v>79495.3</v>
      </c>
      <c r="AA1603" s="2">
        <f t="shared" ref="AA1603:AA1666" si="127">100000000/Y1603</f>
        <v>79495.300237849937</v>
      </c>
      <c r="AB1603" s="1">
        <f t="shared" ref="AB1603:AB1666" si="128">0.0005/$Y1603*AA1603+0.05</f>
        <v>8.1597513799529522E-2</v>
      </c>
      <c r="AC1603" s="1" t="b">
        <f t="shared" ref="AC1603:AC1666" si="129">ABS(Z1603-AA1603)&lt;AB1603</f>
        <v>1</v>
      </c>
    </row>
    <row r="1604" spans="1:29" x14ac:dyDescent="0.25">
      <c r="A1604" s="1">
        <v>1257.835</v>
      </c>
      <c r="B1604">
        <v>10</v>
      </c>
      <c r="C1604" t="s">
        <v>123</v>
      </c>
      <c r="D1604" s="2">
        <v>79501.7</v>
      </c>
      <c r="M1604">
        <v>17</v>
      </c>
      <c r="Y1604" s="1">
        <f t="shared" si="125"/>
        <v>1257.835</v>
      </c>
      <c r="Z1604" s="2">
        <f t="shared" si="126"/>
        <v>79501.7</v>
      </c>
      <c r="AA1604" s="2">
        <f t="shared" si="127"/>
        <v>79501.683448147014</v>
      </c>
      <c r="AB1604" s="1">
        <f t="shared" si="128"/>
        <v>8.160258835544687E-2</v>
      </c>
      <c r="AC1604" s="1" t="b">
        <f t="shared" si="129"/>
        <v>1</v>
      </c>
    </row>
    <row r="1605" spans="1:29" x14ac:dyDescent="0.25">
      <c r="A1605" s="1">
        <v>1256.3620000000001</v>
      </c>
      <c r="B1605">
        <v>20</v>
      </c>
      <c r="D1605" s="2">
        <v>79594.899999999994</v>
      </c>
      <c r="E1605">
        <v>12846</v>
      </c>
      <c r="F1605" t="s">
        <v>15</v>
      </c>
      <c r="G1605" t="s">
        <v>16</v>
      </c>
      <c r="H1605">
        <v>92441</v>
      </c>
      <c r="I1605" t="s">
        <v>17</v>
      </c>
      <c r="J1605" t="s">
        <v>18</v>
      </c>
      <c r="K1605">
        <v>12846.66</v>
      </c>
      <c r="L1605">
        <v>92441.7</v>
      </c>
      <c r="M1605">
        <v>17</v>
      </c>
      <c r="Y1605" s="1">
        <f t="shared" si="125"/>
        <v>1256.3620000000001</v>
      </c>
      <c r="Z1605" s="2">
        <f t="shared" si="126"/>
        <v>79594.899999999994</v>
      </c>
      <c r="AA1605" s="2">
        <f t="shared" si="127"/>
        <v>79594.893828371118</v>
      </c>
      <c r="AB1605" s="1">
        <f t="shared" si="128"/>
        <v>8.1676735617748353E-2</v>
      </c>
      <c r="AC1605" s="1" t="b">
        <f t="shared" si="129"/>
        <v>1</v>
      </c>
    </row>
    <row r="1606" spans="1:29" x14ac:dyDescent="0.25">
      <c r="A1606" s="1">
        <v>1255.4680000000001</v>
      </c>
      <c r="B1606">
        <v>1</v>
      </c>
      <c r="D1606" s="2">
        <v>79651.600000000006</v>
      </c>
      <c r="E1606">
        <v>38549</v>
      </c>
      <c r="F1606" t="s">
        <v>15</v>
      </c>
      <c r="G1606" t="s">
        <v>258</v>
      </c>
      <c r="H1606">
        <v>118201</v>
      </c>
      <c r="I1606" t="s">
        <v>17</v>
      </c>
      <c r="J1606" t="s">
        <v>29</v>
      </c>
      <c r="K1606">
        <v>38549.9</v>
      </c>
      <c r="L1606">
        <v>118201.4</v>
      </c>
      <c r="M1606">
        <v>17</v>
      </c>
      <c r="Y1606" s="1">
        <f t="shared" si="125"/>
        <v>1255.4680000000001</v>
      </c>
      <c r="Z1606" s="2">
        <f t="shared" si="126"/>
        <v>79651.600000000006</v>
      </c>
      <c r="AA1606" s="2">
        <f t="shared" si="127"/>
        <v>79651.572162731347</v>
      </c>
      <c r="AB1606" s="1">
        <f t="shared" si="128"/>
        <v>8.1721864739974004E-2</v>
      </c>
      <c r="AC1606" s="1" t="b">
        <f t="shared" si="129"/>
        <v>1</v>
      </c>
    </row>
    <row r="1607" spans="1:29" x14ac:dyDescent="0.25">
      <c r="A1607" s="1">
        <v>1255.162</v>
      </c>
      <c r="B1607">
        <v>3</v>
      </c>
      <c r="D1607" s="2">
        <v>79671</v>
      </c>
      <c r="E1607">
        <v>35828</v>
      </c>
      <c r="F1607" t="s">
        <v>15</v>
      </c>
      <c r="G1607" t="s">
        <v>16</v>
      </c>
      <c r="H1607">
        <v>115499</v>
      </c>
      <c r="I1607" t="s">
        <v>17</v>
      </c>
      <c r="J1607" t="s">
        <v>16</v>
      </c>
      <c r="K1607">
        <v>35828.46</v>
      </c>
      <c r="L1607">
        <v>115499.8</v>
      </c>
      <c r="M1607">
        <v>17</v>
      </c>
      <c r="Y1607" s="1">
        <f t="shared" si="125"/>
        <v>1255.162</v>
      </c>
      <c r="Z1607" s="2">
        <f t="shared" si="126"/>
        <v>79671</v>
      </c>
      <c r="AA1607" s="2">
        <f t="shared" si="127"/>
        <v>79670.990676900663</v>
      </c>
      <c r="AB1607" s="1">
        <f t="shared" si="128"/>
        <v>8.1737333777193971E-2</v>
      </c>
      <c r="AC1607" s="1" t="b">
        <f t="shared" si="129"/>
        <v>1</v>
      </c>
    </row>
    <row r="1608" spans="1:29" x14ac:dyDescent="0.25">
      <c r="A1608" s="1">
        <v>1254.915</v>
      </c>
      <c r="B1608">
        <v>5</v>
      </c>
      <c r="D1608" s="2">
        <v>79686.7</v>
      </c>
      <c r="M1608">
        <v>17</v>
      </c>
      <c r="Y1608" s="1">
        <f t="shared" si="125"/>
        <v>1254.915</v>
      </c>
      <c r="Z1608" s="2">
        <f t="shared" si="126"/>
        <v>79686.7</v>
      </c>
      <c r="AA1608" s="2">
        <f t="shared" si="127"/>
        <v>79686.672005673696</v>
      </c>
      <c r="AB1608" s="1">
        <f t="shared" si="128"/>
        <v>8.1749828476699093E-2</v>
      </c>
      <c r="AC1608" s="1" t="b">
        <f t="shared" si="129"/>
        <v>1</v>
      </c>
    </row>
    <row r="1609" spans="1:29" x14ac:dyDescent="0.25">
      <c r="A1609" s="1">
        <v>1252.9369999999999</v>
      </c>
      <c r="B1609">
        <v>7</v>
      </c>
      <c r="C1609" t="s">
        <v>27</v>
      </c>
      <c r="D1609" s="2">
        <v>79812.5</v>
      </c>
      <c r="E1609">
        <v>36640</v>
      </c>
      <c r="F1609" t="s">
        <v>15</v>
      </c>
      <c r="G1609" t="s">
        <v>18</v>
      </c>
      <c r="H1609">
        <v>116453</v>
      </c>
      <c r="I1609" t="s">
        <v>17</v>
      </c>
      <c r="J1609" t="s">
        <v>16</v>
      </c>
      <c r="K1609">
        <v>36640.379999999997</v>
      </c>
      <c r="L1609">
        <v>116453.2</v>
      </c>
      <c r="M1609">
        <v>17</v>
      </c>
      <c r="Y1609" s="1">
        <f t="shared" si="125"/>
        <v>1252.9369999999999</v>
      </c>
      <c r="Z1609" s="2">
        <f t="shared" si="126"/>
        <v>79812.5</v>
      </c>
      <c r="AA1609" s="2">
        <f t="shared" si="127"/>
        <v>79812.472614345344</v>
      </c>
      <c r="AB1609" s="1">
        <f t="shared" si="128"/>
        <v>8.1850153924078128E-2</v>
      </c>
      <c r="AC1609" s="1" t="b">
        <f t="shared" si="129"/>
        <v>1</v>
      </c>
    </row>
    <row r="1610" spans="1:29" x14ac:dyDescent="0.25">
      <c r="A1610" s="1">
        <v>1252.9369999999999</v>
      </c>
      <c r="B1610">
        <v>7</v>
      </c>
      <c r="C1610" t="s">
        <v>27</v>
      </c>
      <c r="D1610" s="2">
        <v>79812.5</v>
      </c>
      <c r="E1610">
        <v>48401</v>
      </c>
      <c r="F1610" t="s">
        <v>15</v>
      </c>
      <c r="G1610" t="s">
        <v>29</v>
      </c>
      <c r="H1610">
        <v>128214</v>
      </c>
      <c r="I1610" t="s">
        <v>17</v>
      </c>
      <c r="J1610" t="s">
        <v>29</v>
      </c>
      <c r="K1610">
        <v>48401.64</v>
      </c>
      <c r="L1610">
        <v>128214.2</v>
      </c>
      <c r="M1610">
        <v>17</v>
      </c>
      <c r="Y1610" s="1">
        <f t="shared" si="125"/>
        <v>1252.9369999999999</v>
      </c>
      <c r="Z1610" s="2">
        <f t="shared" si="126"/>
        <v>79812.5</v>
      </c>
      <c r="AA1610" s="2">
        <f t="shared" si="127"/>
        <v>79812.472614345344</v>
      </c>
      <c r="AB1610" s="1">
        <f t="shared" si="128"/>
        <v>8.1850153924078128E-2</v>
      </c>
      <c r="AC1610" s="1" t="b">
        <f t="shared" si="129"/>
        <v>1</v>
      </c>
    </row>
    <row r="1611" spans="1:29" x14ac:dyDescent="0.25">
      <c r="A1611" s="1">
        <v>1250.337</v>
      </c>
      <c r="B1611">
        <v>20</v>
      </c>
      <c r="D1611" s="2">
        <v>79978.399999999994</v>
      </c>
      <c r="M1611">
        <v>17</v>
      </c>
      <c r="Y1611" s="1">
        <f t="shared" si="125"/>
        <v>1250.337</v>
      </c>
      <c r="Z1611" s="2">
        <f t="shared" si="126"/>
        <v>79978.399999999994</v>
      </c>
      <c r="AA1611" s="2">
        <f t="shared" si="127"/>
        <v>79978.437813165569</v>
      </c>
      <c r="AB1611" s="1">
        <f t="shared" si="128"/>
        <v>8.1982752575171958E-2</v>
      </c>
      <c r="AC1611" s="1" t="b">
        <f t="shared" si="129"/>
        <v>1</v>
      </c>
    </row>
    <row r="1612" spans="1:29" x14ac:dyDescent="0.25">
      <c r="A1612" s="1">
        <v>1250.19</v>
      </c>
      <c r="B1612">
        <v>10</v>
      </c>
      <c r="D1612" s="2">
        <v>79987.8</v>
      </c>
      <c r="M1612">
        <v>17</v>
      </c>
      <c r="Y1612" s="1">
        <f t="shared" si="125"/>
        <v>1250.19</v>
      </c>
      <c r="Z1612" s="2">
        <f t="shared" si="126"/>
        <v>79987.8</v>
      </c>
      <c r="AA1612" s="2">
        <f t="shared" si="127"/>
        <v>79987.841848039097</v>
      </c>
      <c r="AB1612" s="1">
        <f t="shared" si="128"/>
        <v>8.1990274217534576E-2</v>
      </c>
      <c r="AC1612" s="1" t="b">
        <f t="shared" si="129"/>
        <v>1</v>
      </c>
    </row>
    <row r="1613" spans="1:29" x14ac:dyDescent="0.25">
      <c r="A1613" s="1">
        <v>1249.0250000000001</v>
      </c>
      <c r="B1613">
        <v>3</v>
      </c>
      <c r="D1613" s="2">
        <v>80062.399999999994</v>
      </c>
      <c r="E1613">
        <v>23245</v>
      </c>
      <c r="F1613" t="s">
        <v>17</v>
      </c>
      <c r="G1613" t="s">
        <v>28</v>
      </c>
      <c r="H1613">
        <v>103308</v>
      </c>
      <c r="I1613" t="s">
        <v>15</v>
      </c>
      <c r="J1613" t="s">
        <v>18</v>
      </c>
      <c r="K1613">
        <v>23245.99</v>
      </c>
      <c r="L1613">
        <v>103308.53</v>
      </c>
      <c r="M1613">
        <v>17</v>
      </c>
      <c r="Y1613" s="1">
        <f t="shared" si="125"/>
        <v>1249.0250000000001</v>
      </c>
      <c r="Z1613" s="2">
        <f t="shared" si="126"/>
        <v>80062.399999999994</v>
      </c>
      <c r="AA1613" s="2">
        <f t="shared" si="127"/>
        <v>80062.448709993783</v>
      </c>
      <c r="AB1613" s="1">
        <f t="shared" si="128"/>
        <v>8.2049978467201939E-2</v>
      </c>
      <c r="AC1613" s="1" t="b">
        <f t="shared" si="129"/>
        <v>1</v>
      </c>
    </row>
    <row r="1614" spans="1:29" x14ac:dyDescent="0.25">
      <c r="A1614" s="1">
        <v>1246.8599999999999</v>
      </c>
      <c r="B1614">
        <v>5</v>
      </c>
      <c r="C1614" t="s">
        <v>123</v>
      </c>
      <c r="D1614" s="2">
        <v>80201.5</v>
      </c>
      <c r="M1614">
        <v>17</v>
      </c>
      <c r="Y1614" s="1">
        <f t="shared" si="125"/>
        <v>1246.8599999999999</v>
      </c>
      <c r="Z1614" s="2">
        <f t="shared" si="126"/>
        <v>80201.5</v>
      </c>
      <c r="AA1614" s="2">
        <f t="shared" si="127"/>
        <v>80201.466082800005</v>
      </c>
      <c r="AB1614" s="1">
        <f t="shared" si="128"/>
        <v>8.2161375809152601E-2</v>
      </c>
      <c r="AC1614" s="1" t="b">
        <f t="shared" si="129"/>
        <v>1</v>
      </c>
    </row>
    <row r="1615" spans="1:29" x14ac:dyDescent="0.25">
      <c r="A1615" s="1">
        <v>1245.521</v>
      </c>
      <c r="B1615">
        <v>5</v>
      </c>
      <c r="D1615" s="2">
        <v>80287.7</v>
      </c>
      <c r="E1615">
        <v>14859</v>
      </c>
      <c r="F1615" t="s">
        <v>15</v>
      </c>
      <c r="G1615" t="s">
        <v>23</v>
      </c>
      <c r="H1615">
        <v>95147</v>
      </c>
      <c r="I1615" t="s">
        <v>17</v>
      </c>
      <c r="J1615" t="s">
        <v>16</v>
      </c>
      <c r="K1615">
        <v>14859.96</v>
      </c>
      <c r="L1615">
        <v>95147.9</v>
      </c>
      <c r="M1615">
        <v>17</v>
      </c>
      <c r="Y1615" s="1">
        <f t="shared" si="125"/>
        <v>1245.521</v>
      </c>
      <c r="Z1615" s="2">
        <f t="shared" si="126"/>
        <v>80287.7</v>
      </c>
      <c r="AA1615" s="2">
        <f t="shared" si="127"/>
        <v>80287.686839483242</v>
      </c>
      <c r="AB1615" s="1">
        <f t="shared" si="128"/>
        <v>8.2230563290174655E-2</v>
      </c>
      <c r="AC1615" s="1" t="b">
        <f t="shared" si="129"/>
        <v>1</v>
      </c>
    </row>
    <row r="1616" spans="1:29" x14ac:dyDescent="0.25">
      <c r="A1616" s="1">
        <v>1244.6690000000001</v>
      </c>
      <c r="B1616">
        <v>2</v>
      </c>
      <c r="D1616" s="2">
        <v>80342.600000000006</v>
      </c>
      <c r="E1616">
        <v>37197</v>
      </c>
      <c r="F1616" t="s">
        <v>15</v>
      </c>
      <c r="G1616" t="s">
        <v>29</v>
      </c>
      <c r="H1616">
        <v>117540</v>
      </c>
      <c r="I1616" t="s">
        <v>17</v>
      </c>
      <c r="J1616" t="s">
        <v>29</v>
      </c>
      <c r="K1616">
        <v>37197.64</v>
      </c>
      <c r="L1616">
        <v>117540.5</v>
      </c>
      <c r="M1616">
        <v>17</v>
      </c>
      <c r="Y1616" s="1">
        <f t="shared" si="125"/>
        <v>1244.6690000000001</v>
      </c>
      <c r="Z1616" s="2">
        <f t="shared" si="126"/>
        <v>80342.600000000006</v>
      </c>
      <c r="AA1616" s="2">
        <f t="shared" si="127"/>
        <v>80342.645313734</v>
      </c>
      <c r="AB1616" s="1">
        <f t="shared" si="128"/>
        <v>8.2274703280042327E-2</v>
      </c>
      <c r="AC1616" s="1" t="b">
        <f t="shared" si="129"/>
        <v>1</v>
      </c>
    </row>
    <row r="1617" spans="1:29" x14ac:dyDescent="0.25">
      <c r="A1617" s="1">
        <v>1242.6669999999999</v>
      </c>
      <c r="B1617">
        <v>1</v>
      </c>
      <c r="D1617" s="2">
        <v>80472.100000000006</v>
      </c>
      <c r="M1617">
        <v>17</v>
      </c>
      <c r="Y1617" s="1">
        <f t="shared" si="125"/>
        <v>1242.6669999999999</v>
      </c>
      <c r="Z1617" s="2">
        <f t="shared" si="126"/>
        <v>80472.100000000006</v>
      </c>
      <c r="AA1617" s="2">
        <f t="shared" si="127"/>
        <v>80472.081418433096</v>
      </c>
      <c r="AB1617" s="1">
        <f t="shared" si="128"/>
        <v>8.2378779439074623E-2</v>
      </c>
      <c r="AC1617" s="1" t="b">
        <f t="shared" si="129"/>
        <v>1</v>
      </c>
    </row>
    <row r="1618" spans="1:29" x14ac:dyDescent="0.25">
      <c r="A1618" s="1">
        <v>1241.027</v>
      </c>
      <c r="B1618">
        <v>5</v>
      </c>
      <c r="C1618" t="s">
        <v>123</v>
      </c>
      <c r="D1618" s="2">
        <v>80578.399999999994</v>
      </c>
      <c r="M1618">
        <v>17</v>
      </c>
      <c r="Y1618" s="1">
        <f t="shared" si="125"/>
        <v>1241.027</v>
      </c>
      <c r="Z1618" s="2">
        <f t="shared" si="126"/>
        <v>80578.399999999994</v>
      </c>
      <c r="AA1618" s="2">
        <f t="shared" si="127"/>
        <v>80578.424159990071</v>
      </c>
      <c r="AB1618" s="1">
        <f t="shared" si="128"/>
        <v>8.2464412200536352E-2</v>
      </c>
      <c r="AC1618" s="1" t="b">
        <f t="shared" si="129"/>
        <v>1</v>
      </c>
    </row>
    <row r="1619" spans="1:29" x14ac:dyDescent="0.25">
      <c r="A1619" s="1">
        <v>1239.4670000000001</v>
      </c>
      <c r="B1619">
        <v>7</v>
      </c>
      <c r="D1619" s="2">
        <v>80679.8</v>
      </c>
      <c r="E1619">
        <v>24886</v>
      </c>
      <c r="F1619" t="s">
        <v>17</v>
      </c>
      <c r="G1619" t="s">
        <v>18</v>
      </c>
      <c r="H1619">
        <v>105566</v>
      </c>
      <c r="I1619" t="s">
        <v>15</v>
      </c>
      <c r="J1619" t="s">
        <v>16</v>
      </c>
      <c r="K1619">
        <v>24886.51</v>
      </c>
      <c r="L1619">
        <v>105566.62</v>
      </c>
      <c r="M1619">
        <v>17</v>
      </c>
      <c r="Y1619" s="1">
        <f t="shared" si="125"/>
        <v>1239.4670000000001</v>
      </c>
      <c r="Z1619" s="2">
        <f t="shared" si="126"/>
        <v>80679.8</v>
      </c>
      <c r="AA1619" s="2">
        <f t="shared" si="127"/>
        <v>80679.840608906889</v>
      </c>
      <c r="AB1619" s="1">
        <f t="shared" si="128"/>
        <v>8.2546183403393106E-2</v>
      </c>
      <c r="AC1619" s="1" t="b">
        <f t="shared" si="129"/>
        <v>1</v>
      </c>
    </row>
    <row r="1620" spans="1:29" x14ac:dyDescent="0.25">
      <c r="A1620" s="1">
        <v>1238.0070000000001</v>
      </c>
      <c r="B1620">
        <v>4</v>
      </c>
      <c r="D1620" s="2">
        <v>80775</v>
      </c>
      <c r="E1620">
        <v>35024</v>
      </c>
      <c r="F1620" t="s">
        <v>15</v>
      </c>
      <c r="G1620" t="s">
        <v>18</v>
      </c>
      <c r="H1620">
        <v>115800</v>
      </c>
      <c r="I1620" t="s">
        <v>17</v>
      </c>
      <c r="J1620" t="s">
        <v>28</v>
      </c>
      <c r="K1620">
        <v>35024.49</v>
      </c>
      <c r="L1620">
        <v>115800</v>
      </c>
      <c r="M1620">
        <v>17</v>
      </c>
      <c r="Y1620" s="1">
        <f t="shared" si="125"/>
        <v>1238.0070000000001</v>
      </c>
      <c r="Z1620" s="2">
        <f t="shared" si="126"/>
        <v>80775</v>
      </c>
      <c r="AA1620" s="2">
        <f t="shared" si="127"/>
        <v>80774.987540458169</v>
      </c>
      <c r="AB1620" s="1">
        <f t="shared" si="128"/>
        <v>8.2622993060805866E-2</v>
      </c>
      <c r="AC1620" s="1" t="b">
        <f t="shared" si="129"/>
        <v>1</v>
      </c>
    </row>
    <row r="1621" spans="1:29" x14ac:dyDescent="0.25">
      <c r="A1621" s="1">
        <v>1237.9760000000001</v>
      </c>
      <c r="B1621">
        <v>2</v>
      </c>
      <c r="D1621" s="2">
        <v>80777</v>
      </c>
      <c r="M1621">
        <v>17</v>
      </c>
      <c r="Y1621" s="1">
        <f t="shared" si="125"/>
        <v>1237.9760000000001</v>
      </c>
      <c r="Z1621" s="2">
        <f t="shared" si="126"/>
        <v>80777</v>
      </c>
      <c r="AA1621" s="2">
        <f t="shared" si="127"/>
        <v>80777.010216676252</v>
      </c>
      <c r="AB1621" s="1">
        <f t="shared" si="128"/>
        <v>8.2624626897725095E-2</v>
      </c>
      <c r="AC1621" s="1" t="b">
        <f t="shared" si="129"/>
        <v>1</v>
      </c>
    </row>
    <row r="1622" spans="1:29" x14ac:dyDescent="0.25">
      <c r="A1622" s="1">
        <v>1236.596</v>
      </c>
      <c r="B1622">
        <v>1</v>
      </c>
      <c r="D1622" s="2">
        <v>80867.199999999997</v>
      </c>
      <c r="M1622">
        <v>17</v>
      </c>
      <c r="Y1622" s="1">
        <f t="shared" si="125"/>
        <v>1236.596</v>
      </c>
      <c r="Z1622" s="2">
        <f t="shared" si="126"/>
        <v>80867.199999999997</v>
      </c>
      <c r="AA1622" s="2">
        <f t="shared" si="127"/>
        <v>80867.154672989403</v>
      </c>
      <c r="AB1622" s="1">
        <f t="shared" si="128"/>
        <v>8.2697483524525967E-2</v>
      </c>
      <c r="AC1622" s="1" t="b">
        <f t="shared" si="129"/>
        <v>1</v>
      </c>
    </row>
    <row r="1623" spans="1:29" x14ac:dyDescent="0.25">
      <c r="A1623" s="1">
        <v>1235.607</v>
      </c>
      <c r="B1623">
        <v>20</v>
      </c>
      <c r="C1623" t="s">
        <v>123</v>
      </c>
      <c r="D1623" s="2">
        <v>80931.899999999994</v>
      </c>
      <c r="M1623">
        <v>17</v>
      </c>
      <c r="Y1623" s="1">
        <f t="shared" si="125"/>
        <v>1235.607</v>
      </c>
      <c r="Z1623" s="2">
        <f t="shared" si="126"/>
        <v>80931.899999999994</v>
      </c>
      <c r="AA1623" s="2">
        <f t="shared" si="127"/>
        <v>80931.882062824181</v>
      </c>
      <c r="AB1623" s="1">
        <f t="shared" si="128"/>
        <v>8.2749847671154425E-2</v>
      </c>
      <c r="AC1623" s="1" t="b">
        <f t="shared" si="129"/>
        <v>1</v>
      </c>
    </row>
    <row r="1624" spans="1:29" x14ac:dyDescent="0.25">
      <c r="A1624" s="1">
        <v>1235.3689999999999</v>
      </c>
      <c r="B1624">
        <v>1</v>
      </c>
      <c r="D1624" s="2">
        <v>80947.5</v>
      </c>
      <c r="M1624">
        <v>17</v>
      </c>
      <c r="Y1624" s="1">
        <f t="shared" si="125"/>
        <v>1235.3689999999999</v>
      </c>
      <c r="Z1624" s="2">
        <f t="shared" si="126"/>
        <v>80947.5</v>
      </c>
      <c r="AA1624" s="2">
        <f t="shared" si="127"/>
        <v>80947.473993600302</v>
      </c>
      <c r="AB1624" s="1">
        <f t="shared" si="128"/>
        <v>8.2762467729722983E-2</v>
      </c>
      <c r="AC1624" s="1" t="b">
        <f t="shared" si="129"/>
        <v>1</v>
      </c>
    </row>
    <row r="1625" spans="1:29" x14ac:dyDescent="0.25">
      <c r="A1625" s="1">
        <v>1234.6489999999999</v>
      </c>
      <c r="B1625">
        <v>1</v>
      </c>
      <c r="D1625" s="2">
        <v>80994.7</v>
      </c>
      <c r="E1625">
        <v>36652</v>
      </c>
      <c r="F1625" t="s">
        <v>15</v>
      </c>
      <c r="G1625" t="s">
        <v>28</v>
      </c>
      <c r="H1625">
        <v>117647</v>
      </c>
      <c r="I1625" t="s">
        <v>17</v>
      </c>
      <c r="J1625" t="s">
        <v>18</v>
      </c>
      <c r="K1625">
        <v>36652.29</v>
      </c>
      <c r="L1625">
        <v>117647.2</v>
      </c>
      <c r="M1625">
        <v>17</v>
      </c>
      <c r="Y1625" s="1">
        <f t="shared" si="125"/>
        <v>1234.6489999999999</v>
      </c>
      <c r="Z1625" s="2">
        <f t="shared" si="126"/>
        <v>80994.7</v>
      </c>
      <c r="AA1625" s="2">
        <f t="shared" si="127"/>
        <v>80994.679459506311</v>
      </c>
      <c r="AB1625" s="1">
        <f t="shared" si="128"/>
        <v>8.2800690503740865E-2</v>
      </c>
      <c r="AC1625" s="1" t="b">
        <f t="shared" si="129"/>
        <v>1</v>
      </c>
    </row>
    <row r="1626" spans="1:29" x14ac:dyDescent="0.25">
      <c r="A1626" s="1">
        <v>1234.5340000000001</v>
      </c>
      <c r="B1626">
        <v>3</v>
      </c>
      <c r="D1626" s="2">
        <v>81002.2</v>
      </c>
      <c r="M1626">
        <v>17</v>
      </c>
      <c r="Y1626" s="1">
        <f t="shared" si="125"/>
        <v>1234.5340000000001</v>
      </c>
      <c r="Z1626" s="2">
        <f t="shared" si="126"/>
        <v>81002.2</v>
      </c>
      <c r="AA1626" s="2">
        <f t="shared" si="127"/>
        <v>81002.224321079848</v>
      </c>
      <c r="AB1626" s="1">
        <f t="shared" si="128"/>
        <v>8.2806801724812695E-2</v>
      </c>
      <c r="AC1626" s="1" t="b">
        <f t="shared" si="129"/>
        <v>1</v>
      </c>
    </row>
    <row r="1627" spans="1:29" x14ac:dyDescent="0.25">
      <c r="A1627" s="1">
        <v>1234.3510000000001</v>
      </c>
      <c r="B1627">
        <v>1</v>
      </c>
      <c r="D1627" s="2">
        <v>81014.2</v>
      </c>
      <c r="M1627">
        <v>17</v>
      </c>
      <c r="Y1627" s="1">
        <f t="shared" si="125"/>
        <v>1234.3510000000001</v>
      </c>
      <c r="Z1627" s="2">
        <f t="shared" si="126"/>
        <v>81014.2</v>
      </c>
      <c r="AA1627" s="2">
        <f t="shared" si="127"/>
        <v>81014.233390664405</v>
      </c>
      <c r="AB1627" s="1">
        <f t="shared" si="128"/>
        <v>8.2816530059385218E-2</v>
      </c>
      <c r="AC1627" s="1" t="b">
        <f t="shared" si="129"/>
        <v>1</v>
      </c>
    </row>
    <row r="1628" spans="1:29" x14ac:dyDescent="0.25">
      <c r="A1628" s="1">
        <v>1234.1500000000001</v>
      </c>
      <c r="B1628">
        <v>3</v>
      </c>
      <c r="D1628" s="2">
        <v>81027.399999999994</v>
      </c>
      <c r="M1628">
        <v>17</v>
      </c>
      <c r="Y1628" s="1">
        <f t="shared" si="125"/>
        <v>1234.1500000000001</v>
      </c>
      <c r="Z1628" s="2">
        <f t="shared" si="126"/>
        <v>81027.399999999994</v>
      </c>
      <c r="AA1628" s="2">
        <f t="shared" si="127"/>
        <v>81027.427784304979</v>
      </c>
      <c r="AB1628" s="1">
        <f t="shared" si="128"/>
        <v>8.2827220266703805E-2</v>
      </c>
      <c r="AC1628" s="1" t="b">
        <f t="shared" si="129"/>
        <v>1</v>
      </c>
    </row>
    <row r="1629" spans="1:29" x14ac:dyDescent="0.25">
      <c r="A1629" s="1">
        <v>1233.8689999999999</v>
      </c>
      <c r="B1629">
        <v>3</v>
      </c>
      <c r="C1629" t="s">
        <v>27</v>
      </c>
      <c r="D1629" s="2">
        <v>81045.899999999994</v>
      </c>
      <c r="E1629">
        <v>29835</v>
      </c>
      <c r="F1629" t="s">
        <v>15</v>
      </c>
      <c r="G1629" t="s">
        <v>16</v>
      </c>
      <c r="H1629">
        <v>110881</v>
      </c>
      <c r="I1629" t="s">
        <v>17</v>
      </c>
      <c r="J1629" t="s">
        <v>23</v>
      </c>
      <c r="K1629">
        <v>29835.09</v>
      </c>
      <c r="L1629">
        <v>110881.1</v>
      </c>
      <c r="M1629">
        <v>17</v>
      </c>
      <c r="Y1629" s="1">
        <f t="shared" si="125"/>
        <v>1233.8689999999999</v>
      </c>
      <c r="Z1629" s="2">
        <f t="shared" si="126"/>
        <v>81045.899999999994</v>
      </c>
      <c r="AA1629" s="2">
        <f t="shared" si="127"/>
        <v>81045.880883627033</v>
      </c>
      <c r="AB1629" s="1">
        <f t="shared" si="128"/>
        <v>8.2842174041015321E-2</v>
      </c>
      <c r="AC1629" s="1" t="b">
        <f t="shared" si="129"/>
        <v>1</v>
      </c>
    </row>
    <row r="1630" spans="1:29" x14ac:dyDescent="0.25">
      <c r="A1630" s="1">
        <v>1233.8689999999999</v>
      </c>
      <c r="B1630">
        <v>3</v>
      </c>
      <c r="C1630" t="s">
        <v>27</v>
      </c>
      <c r="D1630" s="2">
        <v>81045.899999999994</v>
      </c>
      <c r="E1630">
        <v>36640</v>
      </c>
      <c r="F1630" t="s">
        <v>15</v>
      </c>
      <c r="G1630" t="s">
        <v>18</v>
      </c>
      <c r="H1630">
        <v>117686</v>
      </c>
      <c r="I1630" t="s">
        <v>17</v>
      </c>
      <c r="J1630" t="s">
        <v>28</v>
      </c>
      <c r="K1630">
        <v>36640.379999999997</v>
      </c>
      <c r="L1630">
        <v>117686.39999999999</v>
      </c>
      <c r="M1630">
        <v>17</v>
      </c>
      <c r="Y1630" s="1">
        <f t="shared" si="125"/>
        <v>1233.8689999999999</v>
      </c>
      <c r="Z1630" s="2">
        <f t="shared" si="126"/>
        <v>81045.899999999994</v>
      </c>
      <c r="AA1630" s="2">
        <f t="shared" si="127"/>
        <v>81045.880883627033</v>
      </c>
      <c r="AB1630" s="1">
        <f t="shared" si="128"/>
        <v>8.2842174041015321E-2</v>
      </c>
      <c r="AC1630" s="1" t="b">
        <f t="shared" si="129"/>
        <v>1</v>
      </c>
    </row>
    <row r="1631" spans="1:29" x14ac:dyDescent="0.25">
      <c r="A1631" s="1">
        <v>1233.5730000000001</v>
      </c>
      <c r="B1631">
        <v>1</v>
      </c>
      <c r="D1631" s="2">
        <v>81065.3</v>
      </c>
      <c r="E1631">
        <v>29267</v>
      </c>
      <c r="F1631" t="s">
        <v>15</v>
      </c>
      <c r="G1631" t="s">
        <v>28</v>
      </c>
      <c r="H1631">
        <v>110333</v>
      </c>
      <c r="I1631" t="s">
        <v>17</v>
      </c>
      <c r="J1631" t="s">
        <v>18</v>
      </c>
      <c r="K1631">
        <v>29267.86</v>
      </c>
      <c r="L1631">
        <v>110333.5</v>
      </c>
      <c r="M1631">
        <v>17</v>
      </c>
      <c r="Y1631" s="1">
        <f t="shared" si="125"/>
        <v>1233.5730000000001</v>
      </c>
      <c r="Z1631" s="2">
        <f t="shared" si="126"/>
        <v>81065.3</v>
      </c>
      <c r="AA1631" s="2">
        <f t="shared" si="127"/>
        <v>81065.328115968805</v>
      </c>
      <c r="AB1631" s="1">
        <f t="shared" si="128"/>
        <v>8.2857937112748414E-2</v>
      </c>
      <c r="AC1631" s="1" t="b">
        <f t="shared" si="129"/>
        <v>1</v>
      </c>
    </row>
    <row r="1632" spans="1:29" x14ac:dyDescent="0.25">
      <c r="A1632" s="1">
        <v>1233.242</v>
      </c>
      <c r="B1632">
        <v>1</v>
      </c>
      <c r="D1632" s="2">
        <v>81087.100000000006</v>
      </c>
      <c r="E1632">
        <v>29835</v>
      </c>
      <c r="F1632" t="s">
        <v>15</v>
      </c>
      <c r="G1632" t="s">
        <v>16</v>
      </c>
      <c r="H1632">
        <v>110922</v>
      </c>
      <c r="I1632" t="s">
        <v>17</v>
      </c>
      <c r="J1632" t="s">
        <v>16</v>
      </c>
      <c r="K1632">
        <v>29835.09</v>
      </c>
      <c r="L1632">
        <v>110922.5</v>
      </c>
      <c r="M1632">
        <v>17</v>
      </c>
      <c r="Y1632" s="1">
        <f t="shared" si="125"/>
        <v>1233.242</v>
      </c>
      <c r="Z1632" s="2">
        <f t="shared" si="126"/>
        <v>81087.100000000006</v>
      </c>
      <c r="AA1632" s="2">
        <f t="shared" si="127"/>
        <v>81087.085908524037</v>
      </c>
      <c r="AB1632" s="1">
        <f t="shared" si="128"/>
        <v>8.2875577505681794E-2</v>
      </c>
      <c r="AC1632" s="1" t="b">
        <f t="shared" si="129"/>
        <v>1</v>
      </c>
    </row>
    <row r="1633" spans="1:29" x14ac:dyDescent="0.25">
      <c r="A1633" s="1">
        <v>1231.9580000000001</v>
      </c>
      <c r="B1633">
        <v>1</v>
      </c>
      <c r="D1633" s="2">
        <v>81171.600000000006</v>
      </c>
      <c r="M1633">
        <v>17</v>
      </c>
      <c r="Y1633" s="1">
        <f t="shared" si="125"/>
        <v>1231.9580000000001</v>
      </c>
      <c r="Z1633" s="2">
        <f t="shared" si="126"/>
        <v>81171.600000000006</v>
      </c>
      <c r="AA1633" s="2">
        <f t="shared" si="127"/>
        <v>81171.598382412383</v>
      </c>
      <c r="AB1633" s="1">
        <f t="shared" si="128"/>
        <v>8.2944141919778266E-2</v>
      </c>
      <c r="AC1633" s="1" t="b">
        <f t="shared" si="129"/>
        <v>1</v>
      </c>
    </row>
    <row r="1634" spans="1:29" x14ac:dyDescent="0.25">
      <c r="A1634" s="1">
        <v>1229.989</v>
      </c>
      <c r="B1634">
        <v>3</v>
      </c>
      <c r="C1634" t="s">
        <v>123</v>
      </c>
      <c r="D1634" s="2">
        <v>81301.5</v>
      </c>
      <c r="M1634">
        <v>17</v>
      </c>
      <c r="Y1634" s="1">
        <f t="shared" si="125"/>
        <v>1229.989</v>
      </c>
      <c r="Z1634" s="2">
        <f t="shared" si="126"/>
        <v>81301.5</v>
      </c>
      <c r="AA1634" s="2">
        <f t="shared" si="127"/>
        <v>81301.540095074015</v>
      </c>
      <c r="AB1634" s="1">
        <f t="shared" si="128"/>
        <v>8.3049702109154647E-2</v>
      </c>
      <c r="AC1634" s="1" t="b">
        <f t="shared" si="129"/>
        <v>1</v>
      </c>
    </row>
    <row r="1635" spans="1:29" x14ac:dyDescent="0.25">
      <c r="A1635" s="1">
        <v>1229.7280000000001</v>
      </c>
      <c r="B1635">
        <v>20</v>
      </c>
      <c r="D1635" s="2">
        <v>81318.8</v>
      </c>
      <c r="M1635">
        <v>17</v>
      </c>
      <c r="Y1635" s="1">
        <f t="shared" si="125"/>
        <v>1229.7280000000001</v>
      </c>
      <c r="Z1635" s="2">
        <f t="shared" si="126"/>
        <v>81318.8</v>
      </c>
      <c r="AA1635" s="2">
        <f t="shared" si="127"/>
        <v>81318.795701163181</v>
      </c>
      <c r="AB1635" s="1">
        <f t="shared" si="128"/>
        <v>8.3063732671437573E-2</v>
      </c>
      <c r="AC1635" s="1" t="b">
        <f t="shared" si="129"/>
        <v>1</v>
      </c>
    </row>
    <row r="1636" spans="1:29" x14ac:dyDescent="0.25">
      <c r="A1636" s="1">
        <v>1228.6099999999999</v>
      </c>
      <c r="B1636">
        <v>10</v>
      </c>
      <c r="C1636" t="s">
        <v>122</v>
      </c>
      <c r="D1636" s="2">
        <v>81392.800000000003</v>
      </c>
      <c r="E1636">
        <v>39725</v>
      </c>
      <c r="F1636" t="s">
        <v>15</v>
      </c>
      <c r="G1636" t="s">
        <v>57</v>
      </c>
      <c r="H1636">
        <v>121119</v>
      </c>
      <c r="I1636" t="s">
        <v>17</v>
      </c>
      <c r="J1636" t="s">
        <v>57</v>
      </c>
      <c r="K1636">
        <v>39725.99</v>
      </c>
      <c r="L1636">
        <v>121119.2</v>
      </c>
      <c r="M1636">
        <v>17</v>
      </c>
      <c r="Y1636" s="1">
        <f t="shared" si="125"/>
        <v>1228.6099999999999</v>
      </c>
      <c r="Z1636" s="2">
        <f t="shared" si="126"/>
        <v>81392.800000000003</v>
      </c>
      <c r="AA1636" s="2">
        <f t="shared" si="127"/>
        <v>81392.793482065099</v>
      </c>
      <c r="AB1636" s="1">
        <f t="shared" si="128"/>
        <v>8.3123934154070503E-2</v>
      </c>
      <c r="AC1636" s="1" t="b">
        <f t="shared" si="129"/>
        <v>1</v>
      </c>
    </row>
    <row r="1637" spans="1:29" x14ac:dyDescent="0.25">
      <c r="A1637" s="1">
        <v>1228.067</v>
      </c>
      <c r="B1637">
        <v>2</v>
      </c>
      <c r="D1637" s="2">
        <v>81428.800000000003</v>
      </c>
      <c r="E1637">
        <v>35024</v>
      </c>
      <c r="F1637" t="s">
        <v>15</v>
      </c>
      <c r="G1637" t="s">
        <v>18</v>
      </c>
      <c r="H1637">
        <v>116453</v>
      </c>
      <c r="I1637" t="s">
        <v>17</v>
      </c>
      <c r="J1637" t="s">
        <v>16</v>
      </c>
      <c r="K1637">
        <v>35024.49</v>
      </c>
      <c r="L1637">
        <v>116453.2</v>
      </c>
      <c r="M1637">
        <v>17</v>
      </c>
      <c r="Y1637" s="1">
        <f t="shared" si="125"/>
        <v>1228.067</v>
      </c>
      <c r="Z1637" s="2">
        <f t="shared" si="126"/>
        <v>81428.800000000003</v>
      </c>
      <c r="AA1637" s="2">
        <f t="shared" si="127"/>
        <v>81428.781980136264</v>
      </c>
      <c r="AB1637" s="1">
        <f t="shared" si="128"/>
        <v>8.3153232673842836E-2</v>
      </c>
      <c r="AC1637" s="1" t="b">
        <f t="shared" si="129"/>
        <v>1</v>
      </c>
    </row>
    <row r="1638" spans="1:29" x14ac:dyDescent="0.25">
      <c r="A1638" s="1">
        <v>1224.0150000000001</v>
      </c>
      <c r="B1638">
        <v>5</v>
      </c>
      <c r="D1638" s="2">
        <v>81698.3</v>
      </c>
      <c r="E1638">
        <v>39732</v>
      </c>
      <c r="F1638" t="s">
        <v>15</v>
      </c>
      <c r="G1638" t="s">
        <v>23</v>
      </c>
      <c r="H1638">
        <v>121431</v>
      </c>
      <c r="I1638" t="s">
        <v>17</v>
      </c>
      <c r="J1638" t="s">
        <v>50</v>
      </c>
      <c r="K1638">
        <v>39732.99</v>
      </c>
      <c r="L1638">
        <v>121431.2</v>
      </c>
      <c r="M1638">
        <v>17</v>
      </c>
      <c r="Y1638" s="1">
        <f t="shared" si="125"/>
        <v>1224.0150000000001</v>
      </c>
      <c r="Z1638" s="2">
        <f t="shared" si="126"/>
        <v>81698.3</v>
      </c>
      <c r="AA1638" s="2">
        <f t="shared" si="127"/>
        <v>81698.345200017968</v>
      </c>
      <c r="AB1638" s="1">
        <f t="shared" si="128"/>
        <v>8.3373098042106492E-2</v>
      </c>
      <c r="AC1638" s="1" t="b">
        <f t="shared" si="129"/>
        <v>1</v>
      </c>
    </row>
    <row r="1639" spans="1:29" x14ac:dyDescent="0.25">
      <c r="A1639" s="1">
        <v>1223.251</v>
      </c>
      <c r="B1639">
        <v>1</v>
      </c>
      <c r="D1639" s="2">
        <v>81749.399999999994</v>
      </c>
      <c r="M1639">
        <v>17</v>
      </c>
      <c r="Y1639" s="1">
        <f t="shared" si="125"/>
        <v>1223.251</v>
      </c>
      <c r="Z1639" s="2">
        <f t="shared" si="126"/>
        <v>81749.399999999994</v>
      </c>
      <c r="AA1639" s="2">
        <f t="shared" si="127"/>
        <v>81749.371142962482</v>
      </c>
      <c r="AB1639" s="1">
        <f t="shared" si="128"/>
        <v>8.3414798411349134E-2</v>
      </c>
      <c r="AC1639" s="1" t="b">
        <f t="shared" si="129"/>
        <v>1</v>
      </c>
    </row>
    <row r="1640" spans="1:29" x14ac:dyDescent="0.25">
      <c r="A1640" s="1">
        <v>1223.0550000000001</v>
      </c>
      <c r="B1640">
        <v>1</v>
      </c>
      <c r="D1640" s="2">
        <v>81762.5</v>
      </c>
      <c r="M1640">
        <v>17</v>
      </c>
      <c r="Y1640" s="1">
        <f t="shared" si="125"/>
        <v>1223.0550000000001</v>
      </c>
      <c r="Z1640" s="2">
        <f t="shared" si="126"/>
        <v>81762.5</v>
      </c>
      <c r="AA1640" s="2">
        <f t="shared" si="127"/>
        <v>81762.471843048756</v>
      </c>
      <c r="AB1640" s="1">
        <f t="shared" si="128"/>
        <v>8.3425509009426704E-2</v>
      </c>
      <c r="AC1640" s="1" t="b">
        <f t="shared" si="129"/>
        <v>1</v>
      </c>
    </row>
    <row r="1641" spans="1:29" x14ac:dyDescent="0.25">
      <c r="A1641" s="1">
        <v>1222.4970000000001</v>
      </c>
      <c r="B1641">
        <v>10</v>
      </c>
      <c r="D1641" s="2">
        <v>81799.8</v>
      </c>
      <c r="E1641">
        <v>39732</v>
      </c>
      <c r="F1641" t="s">
        <v>15</v>
      </c>
      <c r="G1641" t="s">
        <v>23</v>
      </c>
      <c r="H1641">
        <v>121532</v>
      </c>
      <c r="I1641" t="s">
        <v>17</v>
      </c>
      <c r="J1641" t="s">
        <v>23</v>
      </c>
      <c r="K1641">
        <v>39732.99</v>
      </c>
      <c r="L1641">
        <v>121532.5</v>
      </c>
      <c r="M1641">
        <v>17</v>
      </c>
      <c r="Y1641" s="1">
        <f t="shared" si="125"/>
        <v>1222.4970000000001</v>
      </c>
      <c r="Z1641" s="2">
        <f t="shared" si="126"/>
        <v>81799.8</v>
      </c>
      <c r="AA1641" s="2">
        <f t="shared" si="127"/>
        <v>81799.791737730236</v>
      </c>
      <c r="AB1641" s="1">
        <f t="shared" si="128"/>
        <v>8.3456029641680196E-2</v>
      </c>
      <c r="AC1641" s="1" t="b">
        <f t="shared" si="129"/>
        <v>1</v>
      </c>
    </row>
    <row r="1642" spans="1:29" x14ac:dyDescent="0.25">
      <c r="A1642" s="1">
        <v>1222.2139999999999</v>
      </c>
      <c r="B1642">
        <v>2</v>
      </c>
      <c r="D1642" s="2">
        <v>81818.7</v>
      </c>
      <c r="E1642">
        <v>35828</v>
      </c>
      <c r="F1642" t="s">
        <v>15</v>
      </c>
      <c r="G1642" t="s">
        <v>16</v>
      </c>
      <c r="H1642">
        <v>117647</v>
      </c>
      <c r="I1642" t="s">
        <v>17</v>
      </c>
      <c r="J1642" t="s">
        <v>18</v>
      </c>
      <c r="K1642">
        <v>35828.46</v>
      </c>
      <c r="L1642">
        <v>117647.2</v>
      </c>
      <c r="M1642">
        <v>17</v>
      </c>
      <c r="Y1642" s="1">
        <f t="shared" si="125"/>
        <v>1222.2139999999999</v>
      </c>
      <c r="Z1642" s="2">
        <f t="shared" si="126"/>
        <v>81818.7</v>
      </c>
      <c r="AA1642" s="2">
        <f t="shared" si="127"/>
        <v>81818.732235107775</v>
      </c>
      <c r="AB1642" s="1">
        <f t="shared" si="128"/>
        <v>8.3471524722801324E-2</v>
      </c>
      <c r="AC1642" s="1" t="b">
        <f t="shared" si="129"/>
        <v>1</v>
      </c>
    </row>
    <row r="1643" spans="1:29" x14ac:dyDescent="0.25">
      <c r="A1643" s="1">
        <v>1222.173</v>
      </c>
      <c r="B1643">
        <v>1</v>
      </c>
      <c r="D1643" s="2">
        <v>81821.5</v>
      </c>
      <c r="M1643">
        <v>17</v>
      </c>
      <c r="Y1643" s="1">
        <f t="shared" si="125"/>
        <v>1222.173</v>
      </c>
      <c r="Z1643" s="2">
        <f t="shared" si="126"/>
        <v>81821.5</v>
      </c>
      <c r="AA1643" s="2">
        <f t="shared" si="127"/>
        <v>81821.476992209777</v>
      </c>
      <c r="AB1643" s="1">
        <f t="shared" si="128"/>
        <v>8.3473770485933574E-2</v>
      </c>
      <c r="AC1643" s="1" t="b">
        <f t="shared" si="129"/>
        <v>1</v>
      </c>
    </row>
    <row r="1644" spans="1:29" x14ac:dyDescent="0.25">
      <c r="A1644" s="1">
        <v>1220.3979999999999</v>
      </c>
      <c r="B1644">
        <v>1</v>
      </c>
      <c r="D1644" s="2">
        <v>81940.5</v>
      </c>
      <c r="E1644">
        <v>36670</v>
      </c>
      <c r="F1644" t="s">
        <v>15</v>
      </c>
      <c r="G1644" t="s">
        <v>23</v>
      </c>
      <c r="H1644">
        <v>118610</v>
      </c>
      <c r="I1644" t="s">
        <v>17</v>
      </c>
      <c r="J1644" t="s">
        <v>50</v>
      </c>
      <c r="K1644">
        <v>36670.57</v>
      </c>
      <c r="L1644">
        <v>118610.9</v>
      </c>
      <c r="M1644">
        <v>17</v>
      </c>
      <c r="Y1644" s="1">
        <f t="shared" si="125"/>
        <v>1220.3979999999999</v>
      </c>
      <c r="Z1644" s="2">
        <f t="shared" si="126"/>
        <v>81940.5</v>
      </c>
      <c r="AA1644" s="2">
        <f t="shared" si="127"/>
        <v>81940.481711703891</v>
      </c>
      <c r="AB1644" s="1">
        <f t="shared" si="128"/>
        <v>8.3571212715730397E-2</v>
      </c>
      <c r="AC1644" s="1" t="b">
        <f t="shared" si="129"/>
        <v>1</v>
      </c>
    </row>
    <row r="1645" spans="1:29" x14ac:dyDescent="0.25">
      <c r="A1645" s="1">
        <v>1220.279</v>
      </c>
      <c r="B1645">
        <v>4</v>
      </c>
      <c r="D1645" s="2">
        <v>81948.5</v>
      </c>
      <c r="M1645">
        <v>17</v>
      </c>
      <c r="Y1645" s="1">
        <f t="shared" si="125"/>
        <v>1220.279</v>
      </c>
      <c r="Z1645" s="2">
        <f t="shared" si="126"/>
        <v>81948.5</v>
      </c>
      <c r="AA1645" s="2">
        <f t="shared" si="127"/>
        <v>81948.472439499485</v>
      </c>
      <c r="AB1645" s="1">
        <f t="shared" si="128"/>
        <v>8.357776067583704E-2</v>
      </c>
      <c r="AC1645" s="1" t="b">
        <f t="shared" si="129"/>
        <v>1</v>
      </c>
    </row>
    <row r="1646" spans="1:29" x14ac:dyDescent="0.25">
      <c r="A1646" s="1">
        <v>1219.9749999999999</v>
      </c>
      <c r="B1646">
        <v>2</v>
      </c>
      <c r="D1646" s="2">
        <v>81968.899999999994</v>
      </c>
      <c r="E1646">
        <v>36642</v>
      </c>
      <c r="F1646" t="s">
        <v>15</v>
      </c>
      <c r="G1646" t="s">
        <v>50</v>
      </c>
      <c r="H1646">
        <v>118610</v>
      </c>
      <c r="I1646" t="s">
        <v>17</v>
      </c>
      <c r="J1646" t="s">
        <v>50</v>
      </c>
      <c r="K1646">
        <v>36642.129999999997</v>
      </c>
      <c r="L1646">
        <v>118610.9</v>
      </c>
      <c r="M1646">
        <v>17</v>
      </c>
      <c r="Y1646" s="1">
        <f t="shared" si="125"/>
        <v>1219.9749999999999</v>
      </c>
      <c r="Z1646" s="2">
        <f t="shared" si="126"/>
        <v>81968.899999999994</v>
      </c>
      <c r="AA1646" s="2">
        <f t="shared" si="127"/>
        <v>81968.89280518044</v>
      </c>
      <c r="AB1646" s="1">
        <f t="shared" si="128"/>
        <v>8.3594496938535823E-2</v>
      </c>
      <c r="AC1646" s="1" t="b">
        <f t="shared" si="129"/>
        <v>1</v>
      </c>
    </row>
    <row r="1647" spans="1:29" x14ac:dyDescent="0.25">
      <c r="A1647" s="1">
        <v>1219.5</v>
      </c>
      <c r="B1647">
        <v>1</v>
      </c>
      <c r="D1647" s="2">
        <v>82000.800000000003</v>
      </c>
      <c r="E1647">
        <v>29267</v>
      </c>
      <c r="F1647" t="s">
        <v>15</v>
      </c>
      <c r="G1647" t="s">
        <v>28</v>
      </c>
      <c r="H1647">
        <v>111268</v>
      </c>
      <c r="I1647" t="s">
        <v>17</v>
      </c>
      <c r="J1647" t="s">
        <v>29</v>
      </c>
      <c r="K1647">
        <v>29267.86</v>
      </c>
      <c r="L1647">
        <v>111268.7</v>
      </c>
      <c r="M1647">
        <v>17</v>
      </c>
      <c r="Y1647" s="1">
        <f t="shared" si="125"/>
        <v>1219.5</v>
      </c>
      <c r="Z1647" s="2">
        <f t="shared" si="126"/>
        <v>82000.800000000003</v>
      </c>
      <c r="AA1647" s="2">
        <f t="shared" si="127"/>
        <v>82000.820008200084</v>
      </c>
      <c r="AB1647" s="1">
        <f t="shared" si="128"/>
        <v>8.3620672410086139E-2</v>
      </c>
      <c r="AC1647" s="1" t="b">
        <f t="shared" si="129"/>
        <v>1</v>
      </c>
    </row>
    <row r="1648" spans="1:29" x14ac:dyDescent="0.25">
      <c r="A1648" s="1">
        <v>1219.2080000000001</v>
      </c>
      <c r="B1648">
        <v>20</v>
      </c>
      <c r="D1648" s="2">
        <v>82020.5</v>
      </c>
      <c r="E1648">
        <v>35024</v>
      </c>
      <c r="F1648" t="s">
        <v>15</v>
      </c>
      <c r="G1648" t="s">
        <v>18</v>
      </c>
      <c r="H1648">
        <v>117044</v>
      </c>
      <c r="I1648" t="s">
        <v>17</v>
      </c>
      <c r="J1648" t="s">
        <v>18</v>
      </c>
      <c r="K1648">
        <v>35024.49</v>
      </c>
      <c r="L1648">
        <v>117044.6</v>
      </c>
      <c r="M1648">
        <v>17</v>
      </c>
      <c r="Y1648" s="1">
        <f t="shared" si="125"/>
        <v>1219.2080000000001</v>
      </c>
      <c r="Z1648" s="2">
        <f t="shared" si="126"/>
        <v>82020.5</v>
      </c>
      <c r="AA1648" s="2">
        <f t="shared" si="127"/>
        <v>82020.45918333868</v>
      </c>
      <c r="AB1648" s="1">
        <f t="shared" si="128"/>
        <v>8.363677862322863E-2</v>
      </c>
      <c r="AC1648" s="1" t="b">
        <f t="shared" si="129"/>
        <v>1</v>
      </c>
    </row>
    <row r="1649" spans="1:29" x14ac:dyDescent="0.25">
      <c r="A1649" s="1">
        <v>1218.5329999999999</v>
      </c>
      <c r="B1649">
        <v>2</v>
      </c>
      <c r="D1649" s="2">
        <v>82065.899999999994</v>
      </c>
      <c r="M1649">
        <v>17</v>
      </c>
      <c r="Y1649" s="1">
        <f t="shared" si="125"/>
        <v>1218.5329999999999</v>
      </c>
      <c r="Z1649" s="2">
        <f t="shared" si="126"/>
        <v>82065.899999999994</v>
      </c>
      <c r="AA1649" s="2">
        <f t="shared" si="127"/>
        <v>82065.893988919473</v>
      </c>
      <c r="AB1649" s="1">
        <f t="shared" si="128"/>
        <v>8.3674054781002843E-2</v>
      </c>
      <c r="AC1649" s="1" t="b">
        <f t="shared" si="129"/>
        <v>1</v>
      </c>
    </row>
    <row r="1650" spans="1:29" x14ac:dyDescent="0.25">
      <c r="A1650" s="1">
        <v>1218.403</v>
      </c>
      <c r="B1650">
        <v>4</v>
      </c>
      <c r="D1650" s="2">
        <v>82074.600000000006</v>
      </c>
      <c r="E1650">
        <v>29267</v>
      </c>
      <c r="F1650" t="s">
        <v>15</v>
      </c>
      <c r="G1650" t="s">
        <v>28</v>
      </c>
      <c r="H1650">
        <v>111342</v>
      </c>
      <c r="I1650" t="s">
        <v>17</v>
      </c>
      <c r="J1650" t="s">
        <v>18</v>
      </c>
      <c r="K1650">
        <v>29267.86</v>
      </c>
      <c r="L1650">
        <v>111342.8</v>
      </c>
      <c r="M1650">
        <v>17</v>
      </c>
      <c r="Y1650" s="1">
        <f t="shared" si="125"/>
        <v>1218.403</v>
      </c>
      <c r="Z1650" s="2">
        <f t="shared" si="126"/>
        <v>82074.600000000006</v>
      </c>
      <c r="AA1650" s="2">
        <f t="shared" si="127"/>
        <v>82074.650177322284</v>
      </c>
      <c r="AB1650" s="1">
        <f t="shared" si="128"/>
        <v>8.3681241008649154E-2</v>
      </c>
      <c r="AC1650" s="1" t="b">
        <f t="shared" si="129"/>
        <v>1</v>
      </c>
    </row>
    <row r="1651" spans="1:29" x14ac:dyDescent="0.25">
      <c r="A1651" s="1">
        <v>1217.644</v>
      </c>
      <c r="B1651">
        <v>40</v>
      </c>
      <c r="D1651" s="2">
        <v>82125.8</v>
      </c>
      <c r="M1651">
        <v>17</v>
      </c>
      <c r="Y1651" s="1">
        <f t="shared" si="125"/>
        <v>1217.644</v>
      </c>
      <c r="Z1651" s="2">
        <f t="shared" si="126"/>
        <v>82125.8</v>
      </c>
      <c r="AA1651" s="2">
        <f t="shared" si="127"/>
        <v>82125.810171117337</v>
      </c>
      <c r="AB1651" s="1">
        <f t="shared" si="128"/>
        <v>8.3723243481312007E-2</v>
      </c>
      <c r="AC1651" s="1" t="b">
        <f t="shared" si="129"/>
        <v>1</v>
      </c>
    </row>
    <row r="1652" spans="1:29" x14ac:dyDescent="0.25">
      <c r="A1652" s="1">
        <v>1217.473</v>
      </c>
      <c r="B1652">
        <v>3</v>
      </c>
      <c r="D1652" s="2">
        <v>82137.3</v>
      </c>
      <c r="E1652">
        <v>30505</v>
      </c>
      <c r="F1652" t="s">
        <v>15</v>
      </c>
      <c r="G1652" t="s">
        <v>23</v>
      </c>
      <c r="H1652">
        <v>112643</v>
      </c>
      <c r="I1652" t="s">
        <v>17</v>
      </c>
      <c r="J1652" t="s">
        <v>23</v>
      </c>
      <c r="K1652">
        <v>30505.72</v>
      </c>
      <c r="L1652">
        <v>112643.2</v>
      </c>
      <c r="M1652">
        <v>17</v>
      </c>
      <c r="Y1652" s="1">
        <f t="shared" si="125"/>
        <v>1217.473</v>
      </c>
      <c r="Z1652" s="2">
        <f t="shared" si="126"/>
        <v>82137.3</v>
      </c>
      <c r="AA1652" s="2">
        <f t="shared" si="127"/>
        <v>82137.345140302903</v>
      </c>
      <c r="AB1652" s="1">
        <f t="shared" si="128"/>
        <v>8.3732717333486209E-2</v>
      </c>
      <c r="AC1652" s="1" t="b">
        <f t="shared" si="129"/>
        <v>1</v>
      </c>
    </row>
    <row r="1653" spans="1:29" x14ac:dyDescent="0.25">
      <c r="A1653" s="1">
        <v>1217.1690000000001</v>
      </c>
      <c r="B1653">
        <v>4</v>
      </c>
      <c r="D1653" s="2">
        <v>82157.899999999994</v>
      </c>
      <c r="E1653">
        <v>29835</v>
      </c>
      <c r="F1653" t="s">
        <v>15</v>
      </c>
      <c r="G1653" t="s">
        <v>16</v>
      </c>
      <c r="H1653">
        <v>111993</v>
      </c>
      <c r="I1653" t="s">
        <v>17</v>
      </c>
      <c r="J1653" t="s">
        <v>16</v>
      </c>
      <c r="K1653">
        <v>29835.09</v>
      </c>
      <c r="L1653">
        <v>111993</v>
      </c>
      <c r="M1653">
        <v>17</v>
      </c>
      <c r="Y1653" s="1">
        <f t="shared" si="125"/>
        <v>1217.1690000000001</v>
      </c>
      <c r="Z1653" s="2">
        <f t="shared" si="126"/>
        <v>82157.899999999994</v>
      </c>
      <c r="AA1653" s="2">
        <f t="shared" si="127"/>
        <v>82157.859754890233</v>
      </c>
      <c r="AB1653" s="1">
        <f t="shared" si="128"/>
        <v>8.374956959752107E-2</v>
      </c>
      <c r="AC1653" s="1" t="b">
        <f t="shared" si="129"/>
        <v>1</v>
      </c>
    </row>
    <row r="1654" spans="1:29" x14ac:dyDescent="0.25">
      <c r="A1654" s="1">
        <v>1217.0630000000001</v>
      </c>
      <c r="B1654">
        <v>1</v>
      </c>
      <c r="D1654" s="2">
        <v>82165</v>
      </c>
      <c r="M1654">
        <v>17</v>
      </c>
      <c r="Y1654" s="1">
        <f t="shared" si="125"/>
        <v>1217.0630000000001</v>
      </c>
      <c r="Z1654" s="2">
        <f t="shared" si="126"/>
        <v>82165</v>
      </c>
      <c r="AA1654" s="2">
        <f t="shared" si="127"/>
        <v>82165.015286801092</v>
      </c>
      <c r="AB1654" s="1">
        <f t="shared" si="128"/>
        <v>8.3755448685401288E-2</v>
      </c>
      <c r="AC1654" s="1" t="b">
        <f t="shared" si="129"/>
        <v>1</v>
      </c>
    </row>
    <row r="1655" spans="1:29" x14ac:dyDescent="0.25">
      <c r="A1655" s="1">
        <v>1215.9960000000001</v>
      </c>
      <c r="B1655">
        <v>2</v>
      </c>
      <c r="D1655" s="2">
        <v>82237.100000000006</v>
      </c>
      <c r="E1655">
        <v>36642</v>
      </c>
      <c r="F1655" t="s">
        <v>15</v>
      </c>
      <c r="G1655" t="s">
        <v>50</v>
      </c>
      <c r="H1655">
        <v>118879</v>
      </c>
      <c r="I1655" t="s">
        <v>17</v>
      </c>
      <c r="J1655" t="s">
        <v>23</v>
      </c>
      <c r="K1655">
        <v>36642.129999999997</v>
      </c>
      <c r="L1655">
        <v>118879.3</v>
      </c>
      <c r="M1655">
        <v>17</v>
      </c>
      <c r="Y1655" s="1">
        <f t="shared" si="125"/>
        <v>1215.9960000000001</v>
      </c>
      <c r="Z1655" s="2">
        <f t="shared" si="126"/>
        <v>82237.100000000006</v>
      </c>
      <c r="AA1655" s="2">
        <f t="shared" si="127"/>
        <v>82237.112622080982</v>
      </c>
      <c r="AB1655" s="1">
        <f t="shared" si="128"/>
        <v>8.3814713462084162E-2</v>
      </c>
      <c r="AC1655" s="1" t="b">
        <f t="shared" si="129"/>
        <v>1</v>
      </c>
    </row>
    <row r="1656" spans="1:29" x14ac:dyDescent="0.25">
      <c r="A1656" s="1">
        <v>1214.5619999999999</v>
      </c>
      <c r="B1656">
        <v>1</v>
      </c>
      <c r="D1656" s="2">
        <v>82334.2</v>
      </c>
      <c r="M1656">
        <v>17</v>
      </c>
      <c r="Y1656" s="1">
        <f t="shared" si="125"/>
        <v>1214.5619999999999</v>
      </c>
      <c r="Z1656" s="2">
        <f t="shared" si="126"/>
        <v>82334.2</v>
      </c>
      <c r="AA1656" s="2">
        <f t="shared" si="127"/>
        <v>82334.207722619351</v>
      </c>
      <c r="AB1656" s="1">
        <f t="shared" si="128"/>
        <v>8.3894608806557164E-2</v>
      </c>
      <c r="AC1656" s="1" t="b">
        <f t="shared" si="129"/>
        <v>1</v>
      </c>
    </row>
    <row r="1657" spans="1:29" x14ac:dyDescent="0.25">
      <c r="A1657" s="1">
        <v>1212.271</v>
      </c>
      <c r="B1657">
        <v>1</v>
      </c>
      <c r="D1657" s="2">
        <v>82489.8</v>
      </c>
      <c r="E1657">
        <v>35828</v>
      </c>
      <c r="F1657" t="s">
        <v>15</v>
      </c>
      <c r="G1657" t="s">
        <v>16</v>
      </c>
      <c r="H1657">
        <v>118318</v>
      </c>
      <c r="I1657" t="s">
        <v>17</v>
      </c>
      <c r="J1657" t="s">
        <v>18</v>
      </c>
      <c r="K1657">
        <v>35828.46</v>
      </c>
      <c r="L1657">
        <v>118318.6</v>
      </c>
      <c r="M1657">
        <v>17</v>
      </c>
      <c r="Y1657" s="1">
        <f t="shared" si="125"/>
        <v>1212.271</v>
      </c>
      <c r="Z1657" s="2">
        <f t="shared" si="126"/>
        <v>82489.8</v>
      </c>
      <c r="AA1657" s="2">
        <f t="shared" si="127"/>
        <v>82489.806322183736</v>
      </c>
      <c r="AB1657" s="1">
        <f t="shared" si="128"/>
        <v>8.402284073535693E-2</v>
      </c>
      <c r="AC1657" s="1" t="b">
        <f t="shared" si="129"/>
        <v>1</v>
      </c>
    </row>
    <row r="1658" spans="1:29" x14ac:dyDescent="0.25">
      <c r="A1658" s="1">
        <v>1212.0530000000001</v>
      </c>
      <c r="B1658">
        <v>2</v>
      </c>
      <c r="D1658" s="2">
        <v>82504.600000000006</v>
      </c>
      <c r="M1658">
        <v>17</v>
      </c>
      <c r="Y1658" s="1">
        <f t="shared" si="125"/>
        <v>1212.0530000000001</v>
      </c>
      <c r="Z1658" s="2">
        <f t="shared" si="126"/>
        <v>82504.600000000006</v>
      </c>
      <c r="AA1658" s="2">
        <f t="shared" si="127"/>
        <v>82504.642948781941</v>
      </c>
      <c r="AB1658" s="1">
        <f t="shared" si="128"/>
        <v>8.4035080540529966E-2</v>
      </c>
      <c r="AC1658" s="1" t="b">
        <f t="shared" si="129"/>
        <v>1</v>
      </c>
    </row>
    <row r="1659" spans="1:29" x14ac:dyDescent="0.25">
      <c r="A1659" s="1">
        <v>1211.998</v>
      </c>
      <c r="B1659">
        <v>1</v>
      </c>
      <c r="D1659" s="2">
        <v>82508.399999999994</v>
      </c>
      <c r="E1659">
        <v>39024</v>
      </c>
      <c r="F1659" t="s">
        <v>15</v>
      </c>
      <c r="G1659" t="s">
        <v>16</v>
      </c>
      <c r="H1659">
        <v>121532</v>
      </c>
      <c r="I1659" t="s">
        <v>17</v>
      </c>
      <c r="J1659" t="s">
        <v>23</v>
      </c>
      <c r="K1659">
        <v>39024.269999999997</v>
      </c>
      <c r="L1659">
        <v>121532.5</v>
      </c>
      <c r="M1659">
        <v>17</v>
      </c>
      <c r="Y1659" s="1">
        <f t="shared" si="125"/>
        <v>1211.998</v>
      </c>
      <c r="Z1659" s="2">
        <f t="shared" si="126"/>
        <v>82508.399999999994</v>
      </c>
      <c r="AA1659" s="2">
        <f t="shared" si="127"/>
        <v>82508.386977536269</v>
      </c>
      <c r="AB1659" s="1">
        <f t="shared" si="128"/>
        <v>8.4038169608174382E-2</v>
      </c>
      <c r="AC1659" s="1" t="b">
        <f t="shared" si="129"/>
        <v>1</v>
      </c>
    </row>
    <row r="1660" spans="1:29" x14ac:dyDescent="0.25">
      <c r="A1660" s="1">
        <v>1211.894</v>
      </c>
      <c r="B1660">
        <v>60</v>
      </c>
      <c r="D1660" s="2">
        <v>82515.5</v>
      </c>
      <c r="M1660">
        <v>17</v>
      </c>
      <c r="Y1660" s="1">
        <f t="shared" si="125"/>
        <v>1211.894</v>
      </c>
      <c r="Z1660" s="2">
        <f t="shared" si="126"/>
        <v>82515.5</v>
      </c>
      <c r="AA1660" s="2">
        <f t="shared" si="127"/>
        <v>82515.467524387452</v>
      </c>
      <c r="AB1660" s="1">
        <f t="shared" si="128"/>
        <v>8.4044011903841198E-2</v>
      </c>
      <c r="AC1660" s="1" t="b">
        <f t="shared" si="129"/>
        <v>1</v>
      </c>
    </row>
    <row r="1661" spans="1:29" x14ac:dyDescent="0.25">
      <c r="A1661" s="1">
        <v>1211.1110000000001</v>
      </c>
      <c r="B1661">
        <v>3</v>
      </c>
      <c r="D1661" s="2">
        <v>82568.800000000003</v>
      </c>
      <c r="M1661">
        <v>17</v>
      </c>
      <c r="Y1661" s="1">
        <f t="shared" si="125"/>
        <v>1211.1110000000001</v>
      </c>
      <c r="Z1661" s="2">
        <f t="shared" si="126"/>
        <v>82568.800000000003</v>
      </c>
      <c r="AA1661" s="2">
        <f t="shared" si="127"/>
        <v>82568.814914570175</v>
      </c>
      <c r="AB1661" s="1">
        <f t="shared" si="128"/>
        <v>8.4088045981982731E-2</v>
      </c>
      <c r="AC1661" s="1" t="b">
        <f t="shared" si="129"/>
        <v>1</v>
      </c>
    </row>
    <row r="1662" spans="1:29" x14ac:dyDescent="0.25">
      <c r="A1662" s="1">
        <v>1210.5319999999999</v>
      </c>
      <c r="B1662">
        <v>3</v>
      </c>
      <c r="D1662" s="2">
        <v>82608.3</v>
      </c>
      <c r="M1662">
        <v>17</v>
      </c>
      <c r="Y1662" s="1">
        <f t="shared" si="125"/>
        <v>1210.5319999999999</v>
      </c>
      <c r="Z1662" s="2">
        <f t="shared" si="126"/>
        <v>82608.3</v>
      </c>
      <c r="AA1662" s="2">
        <f t="shared" si="127"/>
        <v>82608.307752294044</v>
      </c>
      <c r="AB1662" s="1">
        <f t="shared" si="128"/>
        <v>8.4120662548488628E-2</v>
      </c>
      <c r="AC1662" s="1" t="b">
        <f t="shared" si="129"/>
        <v>1</v>
      </c>
    </row>
    <row r="1663" spans="1:29" x14ac:dyDescent="0.25">
      <c r="A1663" s="1">
        <v>1210.1579999999999</v>
      </c>
      <c r="B1663">
        <v>4</v>
      </c>
      <c r="D1663" s="2">
        <v>82633.8</v>
      </c>
      <c r="M1663">
        <v>17</v>
      </c>
      <c r="Y1663" s="1">
        <f t="shared" si="125"/>
        <v>1210.1579999999999</v>
      </c>
      <c r="Z1663" s="2">
        <f t="shared" si="126"/>
        <v>82633.8</v>
      </c>
      <c r="AA1663" s="2">
        <f t="shared" si="127"/>
        <v>82633.837895547535</v>
      </c>
      <c r="AB1663" s="1">
        <f t="shared" si="128"/>
        <v>8.4141755826738135E-2</v>
      </c>
      <c r="AC1663" s="1" t="b">
        <f t="shared" si="129"/>
        <v>1</v>
      </c>
    </row>
    <row r="1664" spans="1:29" x14ac:dyDescent="0.25">
      <c r="A1664" s="1">
        <v>1210.078</v>
      </c>
      <c r="B1664">
        <v>20</v>
      </c>
      <c r="D1664" s="2">
        <v>82639.3</v>
      </c>
      <c r="M1664">
        <v>17</v>
      </c>
      <c r="Y1664" s="1">
        <f t="shared" si="125"/>
        <v>1210.078</v>
      </c>
      <c r="Z1664" s="2">
        <f t="shared" si="126"/>
        <v>82639.3</v>
      </c>
      <c r="AA1664" s="2">
        <f t="shared" si="127"/>
        <v>82639.300937625507</v>
      </c>
      <c r="AB1664" s="1">
        <f t="shared" si="128"/>
        <v>8.4146270297297154E-2</v>
      </c>
      <c r="AC1664" s="1" t="b">
        <f t="shared" si="129"/>
        <v>1</v>
      </c>
    </row>
    <row r="1665" spans="1:29" x14ac:dyDescent="0.25">
      <c r="A1665" s="1">
        <v>1209.191</v>
      </c>
      <c r="B1665">
        <v>2</v>
      </c>
      <c r="D1665" s="2">
        <v>82699.899999999994</v>
      </c>
      <c r="M1665">
        <v>17</v>
      </c>
      <c r="Y1665" s="1">
        <f t="shared" si="125"/>
        <v>1209.191</v>
      </c>
      <c r="Z1665" s="2">
        <f t="shared" si="126"/>
        <v>82699.899999999994</v>
      </c>
      <c r="AA1665" s="2">
        <f t="shared" si="127"/>
        <v>82699.92085617574</v>
      </c>
      <c r="AB1665" s="1">
        <f t="shared" si="128"/>
        <v>8.4196384548088657E-2</v>
      </c>
      <c r="AC1665" s="1" t="b">
        <f t="shared" si="129"/>
        <v>1</v>
      </c>
    </row>
    <row r="1666" spans="1:29" x14ac:dyDescent="0.25">
      <c r="A1666" s="1">
        <v>1208.9380000000001</v>
      </c>
      <c r="B1666">
        <v>2</v>
      </c>
      <c r="C1666" t="s">
        <v>123</v>
      </c>
      <c r="D1666" s="2">
        <v>82717.2</v>
      </c>
      <c r="M1666">
        <v>17</v>
      </c>
      <c r="Y1666" s="1">
        <f t="shared" si="125"/>
        <v>1208.9380000000001</v>
      </c>
      <c r="Z1666" s="2">
        <f t="shared" si="126"/>
        <v>82717.2</v>
      </c>
      <c r="AA1666" s="2">
        <f t="shared" si="127"/>
        <v>82717.227847912785</v>
      </c>
      <c r="AB1666" s="1">
        <f t="shared" si="128"/>
        <v>8.4210698914217591E-2</v>
      </c>
      <c r="AC1666" s="1" t="b">
        <f t="shared" si="129"/>
        <v>1</v>
      </c>
    </row>
    <row r="1667" spans="1:29" x14ac:dyDescent="0.25">
      <c r="A1667" s="1">
        <v>1208.7550000000001</v>
      </c>
      <c r="B1667">
        <v>2</v>
      </c>
      <c r="C1667" t="s">
        <v>27</v>
      </c>
      <c r="D1667" s="2">
        <v>82729.8</v>
      </c>
      <c r="E1667">
        <v>27604</v>
      </c>
      <c r="F1667" t="s">
        <v>15</v>
      </c>
      <c r="G1667" t="s">
        <v>16</v>
      </c>
      <c r="H1667">
        <v>110333</v>
      </c>
      <c r="I1667" t="s">
        <v>17</v>
      </c>
      <c r="J1667" t="s">
        <v>18</v>
      </c>
      <c r="K1667">
        <v>27604.26</v>
      </c>
      <c r="L1667">
        <v>110333.5</v>
      </c>
      <c r="M1667">
        <v>17</v>
      </c>
      <c r="Y1667" s="1">
        <f t="shared" ref="Y1667:Y1730" si="130">ROUND($A1667,3)+0</f>
        <v>1208.7550000000001</v>
      </c>
      <c r="Z1667" s="2">
        <f t="shared" ref="Z1667:Z1730" si="131">ROUND($D1667,1)+0</f>
        <v>82729.8</v>
      </c>
      <c r="AA1667" s="2">
        <f t="shared" ref="AA1667:AA1730" si="132">100000000/Y1667</f>
        <v>82729.750859355277</v>
      </c>
      <c r="AB1667" s="1">
        <f t="shared" ref="AB1667:AB1730" si="133">0.0005/$Y1667*AA1667+0.05</f>
        <v>8.4221058386254988E-2</v>
      </c>
      <c r="AC1667" s="1" t="b">
        <f t="shared" ref="AC1667:AC1730" si="134">ABS(Z1667-AA1667)&lt;AB1667</f>
        <v>1</v>
      </c>
    </row>
    <row r="1668" spans="1:29" x14ac:dyDescent="0.25">
      <c r="A1668" s="1">
        <v>1208.7550000000001</v>
      </c>
      <c r="B1668">
        <v>2</v>
      </c>
      <c r="C1668" t="s">
        <v>27</v>
      </c>
      <c r="D1668" s="2">
        <v>82729.8</v>
      </c>
      <c r="E1668">
        <v>38701</v>
      </c>
      <c r="F1668" t="s">
        <v>15</v>
      </c>
      <c r="G1668" t="s">
        <v>50</v>
      </c>
      <c r="H1668">
        <v>121431</v>
      </c>
      <c r="I1668" t="s">
        <v>17</v>
      </c>
      <c r="J1668" t="s">
        <v>50</v>
      </c>
      <c r="K1668">
        <v>38701.589999999997</v>
      </c>
      <c r="L1668">
        <v>121431.2</v>
      </c>
      <c r="M1668" s="9">
        <v>17</v>
      </c>
      <c r="O1668" t="s">
        <v>1080</v>
      </c>
      <c r="Y1668" s="1">
        <f t="shared" si="130"/>
        <v>1208.7550000000001</v>
      </c>
      <c r="Z1668" s="2">
        <f t="shared" si="131"/>
        <v>82729.8</v>
      </c>
      <c r="AA1668" s="2">
        <f t="shared" si="132"/>
        <v>82729.750859355277</v>
      </c>
      <c r="AB1668" s="1">
        <f t="shared" si="133"/>
        <v>8.4221058386254988E-2</v>
      </c>
      <c r="AC1668" s="1" t="b">
        <f t="shared" si="134"/>
        <v>1</v>
      </c>
    </row>
    <row r="1669" spans="1:29" x14ac:dyDescent="0.25">
      <c r="A1669" s="1">
        <v>1208.2719999999999</v>
      </c>
      <c r="B1669">
        <v>2</v>
      </c>
      <c r="D1669" s="2">
        <v>82762.8</v>
      </c>
      <c r="E1669">
        <v>45805</v>
      </c>
      <c r="F1669" t="s">
        <v>15</v>
      </c>
      <c r="G1669" t="s">
        <v>16</v>
      </c>
      <c r="H1669">
        <v>128568</v>
      </c>
      <c r="I1669" t="s">
        <v>17</v>
      </c>
      <c r="J1669" t="s">
        <v>16</v>
      </c>
      <c r="K1669">
        <v>45805.95</v>
      </c>
      <c r="L1669">
        <v>128568.6</v>
      </c>
      <c r="M1669">
        <v>17</v>
      </c>
      <c r="N1669" t="s">
        <v>1096</v>
      </c>
      <c r="Y1669" s="1">
        <f t="shared" si="130"/>
        <v>1208.2719999999999</v>
      </c>
      <c r="Z1669" s="2">
        <f t="shared" si="131"/>
        <v>82762.8</v>
      </c>
      <c r="AA1669" s="2">
        <f t="shared" si="132"/>
        <v>82762.8216163248</v>
      </c>
      <c r="AB1669" s="1">
        <f t="shared" si="133"/>
        <v>8.4248423209478007E-2</v>
      </c>
      <c r="AC1669" s="1" t="b">
        <f t="shared" si="134"/>
        <v>1</v>
      </c>
    </row>
    <row r="1670" spans="1:29" x14ac:dyDescent="0.25">
      <c r="A1670" s="1">
        <v>1208.0129999999999</v>
      </c>
      <c r="B1670">
        <v>40</v>
      </c>
      <c r="C1670" t="s">
        <v>124</v>
      </c>
      <c r="D1670" s="2">
        <v>82780.600000000006</v>
      </c>
      <c r="M1670">
        <v>17</v>
      </c>
      <c r="Y1670" s="1">
        <f t="shared" si="130"/>
        <v>1208.0129999999999</v>
      </c>
      <c r="Z1670" s="2">
        <f t="shared" si="131"/>
        <v>82780.600000000006</v>
      </c>
      <c r="AA1670" s="2">
        <f t="shared" si="132"/>
        <v>82780.566103179357</v>
      </c>
      <c r="AB1670" s="1">
        <f t="shared" si="133"/>
        <v>8.4263110621814241E-2</v>
      </c>
      <c r="AC1670" s="1" t="b">
        <f t="shared" si="134"/>
        <v>1</v>
      </c>
    </row>
    <row r="1671" spans="1:29" x14ac:dyDescent="0.25">
      <c r="A1671" s="1">
        <v>1205.675</v>
      </c>
      <c r="B1671">
        <v>2</v>
      </c>
      <c r="C1671" t="s">
        <v>123</v>
      </c>
      <c r="D1671" s="2">
        <v>82941.100000000006</v>
      </c>
      <c r="M1671">
        <v>17</v>
      </c>
      <c r="Y1671" s="1">
        <f t="shared" si="130"/>
        <v>1205.675</v>
      </c>
      <c r="Z1671" s="2">
        <f t="shared" si="131"/>
        <v>82941.100000000006</v>
      </c>
      <c r="AA1671" s="2">
        <f t="shared" si="132"/>
        <v>82941.091090053291</v>
      </c>
      <c r="AB1671" s="1">
        <f t="shared" si="133"/>
        <v>8.4396122956042596E-2</v>
      </c>
      <c r="AC1671" s="1" t="b">
        <f t="shared" si="134"/>
        <v>1</v>
      </c>
    </row>
    <row r="1672" spans="1:29" x14ac:dyDescent="0.25">
      <c r="A1672" s="1">
        <v>1205.511</v>
      </c>
      <c r="B1672">
        <v>20</v>
      </c>
      <c r="C1672" t="s">
        <v>123</v>
      </c>
      <c r="D1672" s="2">
        <v>82952.399999999994</v>
      </c>
      <c r="M1672">
        <v>17</v>
      </c>
      <c r="Y1672" s="1">
        <f t="shared" si="130"/>
        <v>1205.511</v>
      </c>
      <c r="Z1672" s="2">
        <f t="shared" si="131"/>
        <v>82952.399999999994</v>
      </c>
      <c r="AA1672" s="2">
        <f t="shared" si="132"/>
        <v>82952.374553197777</v>
      </c>
      <c r="AB1672" s="1">
        <f t="shared" si="133"/>
        <v>8.4405482220070077E-2</v>
      </c>
      <c r="AC1672" s="1" t="b">
        <f t="shared" si="134"/>
        <v>1</v>
      </c>
    </row>
    <row r="1673" spans="1:29" x14ac:dyDescent="0.25">
      <c r="A1673" s="1">
        <v>1204.999</v>
      </c>
      <c r="B1673">
        <v>20</v>
      </c>
      <c r="C1673" t="s">
        <v>124</v>
      </c>
      <c r="D1673" s="2">
        <v>82987.600000000006</v>
      </c>
      <c r="M1673">
        <v>17</v>
      </c>
      <c r="Y1673" s="1">
        <f t="shared" si="130"/>
        <v>1204.999</v>
      </c>
      <c r="Z1673" s="2">
        <f t="shared" si="131"/>
        <v>82987.600000000006</v>
      </c>
      <c r="AA1673" s="2">
        <f t="shared" si="132"/>
        <v>82987.620736614714</v>
      </c>
      <c r="AB1673" s="1">
        <f t="shared" si="133"/>
        <v>8.4434725977621028E-2</v>
      </c>
      <c r="AC1673" s="1" t="b">
        <f t="shared" si="134"/>
        <v>1</v>
      </c>
    </row>
    <row r="1674" spans="1:29" x14ac:dyDescent="0.25">
      <c r="A1674" s="1">
        <v>1204.511</v>
      </c>
      <c r="B1674">
        <v>4</v>
      </c>
      <c r="C1674" t="s">
        <v>123</v>
      </c>
      <c r="D1674" s="2">
        <v>83021.2</v>
      </c>
      <c r="M1674">
        <v>17</v>
      </c>
      <c r="Y1674" s="1">
        <f t="shared" si="130"/>
        <v>1204.511</v>
      </c>
      <c r="Z1674" s="2">
        <f t="shared" si="131"/>
        <v>83021.2</v>
      </c>
      <c r="AA1674" s="2">
        <f t="shared" si="132"/>
        <v>83021.242645355669</v>
      </c>
      <c r="AB1674" s="1">
        <f t="shared" si="133"/>
        <v>8.4462633651895117E-2</v>
      </c>
      <c r="AC1674" s="1" t="b">
        <f t="shared" si="134"/>
        <v>1</v>
      </c>
    </row>
    <row r="1675" spans="1:29" x14ac:dyDescent="0.25">
      <c r="A1675" s="1">
        <v>1204.078</v>
      </c>
      <c r="B1675">
        <v>50</v>
      </c>
      <c r="D1675" s="2">
        <v>83051.100000000006</v>
      </c>
      <c r="E1675">
        <v>35828</v>
      </c>
      <c r="F1675" t="s">
        <v>15</v>
      </c>
      <c r="G1675" t="s">
        <v>16</v>
      </c>
      <c r="H1675">
        <v>118879</v>
      </c>
      <c r="I1675" t="s">
        <v>17</v>
      </c>
      <c r="J1675" t="s">
        <v>23</v>
      </c>
      <c r="K1675">
        <v>35828.46</v>
      </c>
      <c r="L1675">
        <v>118879.3</v>
      </c>
      <c r="M1675">
        <v>17</v>
      </c>
      <c r="Y1675" s="1">
        <f t="shared" si="130"/>
        <v>1204.078</v>
      </c>
      <c r="Z1675" s="2">
        <f t="shared" si="131"/>
        <v>83051.100000000006</v>
      </c>
      <c r="AA1675" s="2">
        <f t="shared" si="132"/>
        <v>83051.098018566903</v>
      </c>
      <c r="AB1675" s="1">
        <f t="shared" si="133"/>
        <v>8.4487424410448042E-2</v>
      </c>
      <c r="AC1675" s="1" t="b">
        <f t="shared" si="134"/>
        <v>1</v>
      </c>
    </row>
    <row r="1676" spans="1:29" x14ac:dyDescent="0.25">
      <c r="A1676" s="1">
        <v>1204</v>
      </c>
      <c r="B1676">
        <v>4</v>
      </c>
      <c r="D1676" s="2">
        <v>83056.5</v>
      </c>
      <c r="E1676">
        <v>35024</v>
      </c>
      <c r="F1676" t="s">
        <v>15</v>
      </c>
      <c r="G1676" t="s">
        <v>18</v>
      </c>
      <c r="H1676">
        <v>118081</v>
      </c>
      <c r="I1676" t="s">
        <v>17</v>
      </c>
      <c r="J1676" t="s">
        <v>16</v>
      </c>
      <c r="K1676">
        <v>35024.49</v>
      </c>
      <c r="L1676">
        <v>118081.1</v>
      </c>
      <c r="M1676">
        <v>17</v>
      </c>
      <c r="Y1676" s="1">
        <f t="shared" si="130"/>
        <v>1204</v>
      </c>
      <c r="Z1676" s="2">
        <f t="shared" si="131"/>
        <v>83056.5</v>
      </c>
      <c r="AA1676" s="2">
        <f t="shared" si="132"/>
        <v>83056.478405315618</v>
      </c>
      <c r="AB1676" s="1">
        <f t="shared" si="133"/>
        <v>8.449189302546331E-2</v>
      </c>
      <c r="AC1676" s="1" t="b">
        <f t="shared" si="134"/>
        <v>1</v>
      </c>
    </row>
    <row r="1677" spans="1:29" x14ac:dyDescent="0.25">
      <c r="A1677" s="1">
        <v>1203.9459999999999</v>
      </c>
      <c r="B1677">
        <v>2</v>
      </c>
      <c r="C1677" t="s">
        <v>123</v>
      </c>
      <c r="D1677" s="2">
        <v>83060.2</v>
      </c>
      <c r="M1677">
        <v>17</v>
      </c>
      <c r="Y1677" s="1">
        <f t="shared" si="130"/>
        <v>1203.9459999999999</v>
      </c>
      <c r="Z1677" s="2">
        <f t="shared" si="131"/>
        <v>83060.2</v>
      </c>
      <c r="AA1677" s="2">
        <f t="shared" si="132"/>
        <v>83060.203696843557</v>
      </c>
      <c r="AB1677" s="1">
        <f t="shared" si="133"/>
        <v>8.4494987190805726E-2</v>
      </c>
      <c r="AC1677" s="1" t="b">
        <f t="shared" si="134"/>
        <v>1</v>
      </c>
    </row>
    <row r="1678" spans="1:29" x14ac:dyDescent="0.25">
      <c r="A1678" s="1">
        <v>1203.4480000000001</v>
      </c>
      <c r="B1678">
        <v>2</v>
      </c>
      <c r="D1678" s="2">
        <v>83094.600000000006</v>
      </c>
      <c r="E1678">
        <v>30505</v>
      </c>
      <c r="F1678" t="s">
        <v>15</v>
      </c>
      <c r="G1678" t="s">
        <v>23</v>
      </c>
      <c r="H1678">
        <v>113600</v>
      </c>
      <c r="I1678" t="s">
        <v>17</v>
      </c>
      <c r="J1678" t="s">
        <v>50</v>
      </c>
      <c r="K1678">
        <v>30505.72</v>
      </c>
      <c r="L1678">
        <v>113600.3</v>
      </c>
      <c r="M1678">
        <v>17</v>
      </c>
      <c r="Y1678" s="1">
        <f t="shared" si="130"/>
        <v>1203.4480000000001</v>
      </c>
      <c r="Z1678" s="2">
        <f t="shared" si="131"/>
        <v>83094.600000000006</v>
      </c>
      <c r="AA1678" s="2">
        <f t="shared" si="132"/>
        <v>83094.57492139253</v>
      </c>
      <c r="AB1678" s="1">
        <f t="shared" si="133"/>
        <v>8.4523541906834587E-2</v>
      </c>
      <c r="AC1678" s="1" t="b">
        <f t="shared" si="134"/>
        <v>1</v>
      </c>
    </row>
    <row r="1679" spans="1:29" x14ac:dyDescent="0.25">
      <c r="A1679" s="1">
        <v>1203.2660000000001</v>
      </c>
      <c r="B1679">
        <v>1</v>
      </c>
      <c r="D1679" s="2">
        <v>83107.100000000006</v>
      </c>
      <c r="M1679">
        <v>17</v>
      </c>
      <c r="Y1679" s="1">
        <f t="shared" si="130"/>
        <v>1203.2660000000001</v>
      </c>
      <c r="Z1679" s="2">
        <f t="shared" si="131"/>
        <v>83107.100000000006</v>
      </c>
      <c r="AA1679" s="2">
        <f t="shared" si="132"/>
        <v>83107.143391403064</v>
      </c>
      <c r="AB1679" s="1">
        <f t="shared" si="133"/>
        <v>8.4533986413396156E-2</v>
      </c>
      <c r="AC1679" s="1" t="b">
        <f t="shared" si="134"/>
        <v>1</v>
      </c>
    </row>
    <row r="1680" spans="1:29" x14ac:dyDescent="0.25">
      <c r="A1680" s="1">
        <v>1203.106</v>
      </c>
      <c r="B1680">
        <v>10</v>
      </c>
      <c r="C1680" t="s">
        <v>123</v>
      </c>
      <c r="D1680" s="2">
        <v>83118.2</v>
      </c>
      <c r="M1680">
        <v>17</v>
      </c>
      <c r="Y1680" s="1">
        <f t="shared" si="130"/>
        <v>1203.106</v>
      </c>
      <c r="Z1680" s="2">
        <f t="shared" si="131"/>
        <v>83118.2</v>
      </c>
      <c r="AA1680" s="2">
        <f t="shared" si="132"/>
        <v>83118.195736701498</v>
      </c>
      <c r="AB1680" s="1">
        <f t="shared" si="133"/>
        <v>8.4543172312623122E-2</v>
      </c>
      <c r="AC1680" s="1" t="b">
        <f t="shared" si="134"/>
        <v>1</v>
      </c>
    </row>
    <row r="1681" spans="1:29" x14ac:dyDescent="0.25">
      <c r="A1681" s="1">
        <v>1203.0540000000001</v>
      </c>
      <c r="B1681">
        <v>2</v>
      </c>
      <c r="C1681" t="s">
        <v>123</v>
      </c>
      <c r="D1681" s="2">
        <v>83121.8</v>
      </c>
      <c r="M1681">
        <v>17</v>
      </c>
      <c r="Y1681" s="1">
        <f t="shared" si="130"/>
        <v>1203.0540000000001</v>
      </c>
      <c r="Z1681" s="2">
        <f t="shared" si="131"/>
        <v>83121.8</v>
      </c>
      <c r="AA1681" s="2">
        <f t="shared" si="132"/>
        <v>83121.788381901395</v>
      </c>
      <c r="AB1681" s="1">
        <f t="shared" si="133"/>
        <v>8.4546158519027997E-2</v>
      </c>
      <c r="AC1681" s="1" t="b">
        <f t="shared" si="134"/>
        <v>1</v>
      </c>
    </row>
    <row r="1682" spans="1:29" x14ac:dyDescent="0.25">
      <c r="A1682" s="1">
        <v>1202.9970000000001</v>
      </c>
      <c r="B1682">
        <v>1</v>
      </c>
      <c r="D1682" s="2">
        <v>83125.7</v>
      </c>
      <c r="M1682">
        <v>17</v>
      </c>
      <c r="Y1682" s="1">
        <f t="shared" si="130"/>
        <v>1202.9970000000001</v>
      </c>
      <c r="Z1682" s="2">
        <f t="shared" si="131"/>
        <v>83125.7</v>
      </c>
      <c r="AA1682" s="2">
        <f t="shared" si="132"/>
        <v>83125.726830573971</v>
      </c>
      <c r="AB1682" s="1">
        <f t="shared" si="133"/>
        <v>8.4549432305556033E-2</v>
      </c>
      <c r="AC1682" s="1" t="b">
        <f t="shared" si="134"/>
        <v>1</v>
      </c>
    </row>
    <row r="1683" spans="1:29" x14ac:dyDescent="0.25">
      <c r="A1683" s="1">
        <v>1202.8889999999999</v>
      </c>
      <c r="B1683">
        <v>1</v>
      </c>
      <c r="D1683" s="2">
        <v>83133.2</v>
      </c>
      <c r="M1683">
        <v>17</v>
      </c>
      <c r="Y1683" s="1">
        <f t="shared" si="130"/>
        <v>1202.8889999999999</v>
      </c>
      <c r="Z1683" s="2">
        <f t="shared" si="131"/>
        <v>83133.2</v>
      </c>
      <c r="AA1683" s="2">
        <f t="shared" si="132"/>
        <v>83133.19017797985</v>
      </c>
      <c r="AB1683" s="1">
        <f t="shared" si="133"/>
        <v>8.4555636545840834E-2</v>
      </c>
      <c r="AC1683" s="1" t="b">
        <f t="shared" si="134"/>
        <v>1</v>
      </c>
    </row>
    <row r="1684" spans="1:29" x14ac:dyDescent="0.25">
      <c r="A1684" s="1">
        <v>1202.5150000000001</v>
      </c>
      <c r="B1684">
        <v>2</v>
      </c>
      <c r="D1684" s="2">
        <v>83159</v>
      </c>
      <c r="M1684">
        <v>17</v>
      </c>
      <c r="Y1684" s="1">
        <f t="shared" si="130"/>
        <v>1202.5150000000001</v>
      </c>
      <c r="Z1684" s="2">
        <f t="shared" si="131"/>
        <v>83159</v>
      </c>
      <c r="AA1684" s="2">
        <f t="shared" si="132"/>
        <v>83159.045833108103</v>
      </c>
      <c r="AB1684" s="1">
        <f t="shared" si="133"/>
        <v>8.4577134519364883E-2</v>
      </c>
      <c r="AC1684" s="1" t="b">
        <f t="shared" si="134"/>
        <v>1</v>
      </c>
    </row>
    <row r="1685" spans="1:29" x14ac:dyDescent="0.25">
      <c r="A1685" s="1">
        <v>1202.463</v>
      </c>
      <c r="B1685">
        <v>5</v>
      </c>
      <c r="C1685" t="s">
        <v>124</v>
      </c>
      <c r="D1685" s="2">
        <v>83162.600000000006</v>
      </c>
      <c r="M1685">
        <v>17</v>
      </c>
      <c r="Y1685" s="1">
        <f t="shared" si="130"/>
        <v>1202.463</v>
      </c>
      <c r="Z1685" s="2">
        <f t="shared" si="131"/>
        <v>83162.600000000006</v>
      </c>
      <c r="AA1685" s="2">
        <f t="shared" si="132"/>
        <v>83162.642010606563</v>
      </c>
      <c r="AB1685" s="1">
        <f t="shared" si="133"/>
        <v>8.458012513092153E-2</v>
      </c>
      <c r="AC1685" s="1" t="b">
        <f t="shared" si="134"/>
        <v>1</v>
      </c>
    </row>
    <row r="1686" spans="1:29" x14ac:dyDescent="0.25">
      <c r="A1686" s="1">
        <v>1202.3889999999999</v>
      </c>
      <c r="B1686">
        <v>4</v>
      </c>
      <c r="D1686" s="2">
        <v>83167.8</v>
      </c>
      <c r="E1686">
        <v>25391</v>
      </c>
      <c r="F1686" t="s">
        <v>17</v>
      </c>
      <c r="G1686" t="s">
        <v>50</v>
      </c>
      <c r="H1686">
        <v>108559</v>
      </c>
      <c r="I1686" t="s">
        <v>15</v>
      </c>
      <c r="J1686" t="s">
        <v>23</v>
      </c>
      <c r="K1686">
        <v>25391.75</v>
      </c>
      <c r="L1686">
        <v>108559.4</v>
      </c>
      <c r="M1686">
        <v>17</v>
      </c>
      <c r="Y1686" s="1">
        <f t="shared" si="130"/>
        <v>1202.3889999999999</v>
      </c>
      <c r="Z1686" s="2">
        <f t="shared" si="131"/>
        <v>83167.8</v>
      </c>
      <c r="AA1686" s="2">
        <f t="shared" si="132"/>
        <v>83167.76018410016</v>
      </c>
      <c r="AB1686" s="1">
        <f t="shared" si="133"/>
        <v>8.4584381670199993E-2</v>
      </c>
      <c r="AC1686" s="1" t="b">
        <f t="shared" si="134"/>
        <v>1</v>
      </c>
    </row>
    <row r="1687" spans="1:29" x14ac:dyDescent="0.25">
      <c r="A1687" s="1">
        <v>1201.999</v>
      </c>
      <c r="B1687">
        <v>1</v>
      </c>
      <c r="D1687" s="2">
        <v>83194.8</v>
      </c>
      <c r="E1687">
        <v>27138</v>
      </c>
      <c r="F1687" t="s">
        <v>15</v>
      </c>
      <c r="G1687" t="s">
        <v>18</v>
      </c>
      <c r="H1687">
        <v>110333</v>
      </c>
      <c r="I1687" t="s">
        <v>17</v>
      </c>
      <c r="J1687" t="s">
        <v>18</v>
      </c>
      <c r="K1687">
        <v>27138.55</v>
      </c>
      <c r="L1687">
        <v>110333.5</v>
      </c>
      <c r="M1687">
        <v>17</v>
      </c>
      <c r="Y1687" s="1">
        <f t="shared" si="130"/>
        <v>1201.999</v>
      </c>
      <c r="Z1687" s="2">
        <f t="shared" si="131"/>
        <v>83194.8</v>
      </c>
      <c r="AA1687" s="2">
        <f t="shared" si="132"/>
        <v>83194.744754363361</v>
      </c>
      <c r="AB1687" s="1">
        <f t="shared" si="133"/>
        <v>8.4606827773718349E-2</v>
      </c>
      <c r="AC1687" s="1" t="b">
        <f t="shared" si="134"/>
        <v>1</v>
      </c>
    </row>
    <row r="1688" spans="1:29" x14ac:dyDescent="0.25">
      <c r="A1688" s="1">
        <v>1200.8789999999999</v>
      </c>
      <c r="B1688">
        <v>1</v>
      </c>
      <c r="D1688" s="2">
        <v>83272.3</v>
      </c>
      <c r="E1688">
        <v>28720</v>
      </c>
      <c r="F1688" t="s">
        <v>15</v>
      </c>
      <c r="G1688" t="s">
        <v>16</v>
      </c>
      <c r="H1688">
        <v>111993</v>
      </c>
      <c r="I1688" t="s">
        <v>17</v>
      </c>
      <c r="J1688" t="s">
        <v>16</v>
      </c>
      <c r="K1688">
        <v>28720.71</v>
      </c>
      <c r="L1688">
        <v>111993</v>
      </c>
      <c r="M1688">
        <v>17</v>
      </c>
      <c r="Y1688" s="1">
        <f t="shared" si="130"/>
        <v>1200.8789999999999</v>
      </c>
      <c r="Z1688" s="2">
        <f t="shared" si="131"/>
        <v>83272.3</v>
      </c>
      <c r="AA1688" s="2">
        <f t="shared" si="132"/>
        <v>83272.336346959186</v>
      </c>
      <c r="AB1688" s="1">
        <f t="shared" si="133"/>
        <v>8.4671410003405501E-2</v>
      </c>
      <c r="AC1688" s="1" t="b">
        <f t="shared" si="134"/>
        <v>1</v>
      </c>
    </row>
    <row r="1689" spans="1:29" x14ac:dyDescent="0.25">
      <c r="A1689" s="1">
        <v>1200.5650000000001</v>
      </c>
      <c r="B1689">
        <v>3</v>
      </c>
      <c r="D1689" s="2">
        <v>83294.100000000006</v>
      </c>
      <c r="E1689">
        <v>35024</v>
      </c>
      <c r="F1689" t="s">
        <v>15</v>
      </c>
      <c r="G1689" t="s">
        <v>18</v>
      </c>
      <c r="H1689">
        <v>118318</v>
      </c>
      <c r="I1689" t="s">
        <v>17</v>
      </c>
      <c r="J1689" t="s">
        <v>18</v>
      </c>
      <c r="K1689">
        <v>35024.49</v>
      </c>
      <c r="L1689">
        <v>118318.6</v>
      </c>
      <c r="M1689">
        <v>17</v>
      </c>
      <c r="Y1689" s="1">
        <f t="shared" si="130"/>
        <v>1200.5650000000001</v>
      </c>
      <c r="Z1689" s="2">
        <f t="shared" si="131"/>
        <v>83294.100000000006</v>
      </c>
      <c r="AA1689" s="2">
        <f t="shared" si="132"/>
        <v>83294.115687197278</v>
      </c>
      <c r="AB1689" s="1">
        <f t="shared" si="133"/>
        <v>8.4689548540561016E-2</v>
      </c>
      <c r="AC1689" s="1" t="b">
        <f t="shared" si="134"/>
        <v>1</v>
      </c>
    </row>
    <row r="1690" spans="1:29" x14ac:dyDescent="0.25">
      <c r="A1690" s="1">
        <v>1200.2539999999999</v>
      </c>
      <c r="B1690">
        <v>5</v>
      </c>
      <c r="D1690" s="2">
        <v>83315.7</v>
      </c>
      <c r="M1690">
        <v>17</v>
      </c>
      <c r="Y1690" s="1">
        <f t="shared" si="130"/>
        <v>1200.2539999999999</v>
      </c>
      <c r="Z1690" s="2">
        <f t="shared" si="131"/>
        <v>83315.7</v>
      </c>
      <c r="AA1690" s="2">
        <f t="shared" si="132"/>
        <v>83315.698177219165</v>
      </c>
      <c r="AB1690" s="1">
        <f t="shared" si="133"/>
        <v>8.4707527813787403E-2</v>
      </c>
      <c r="AC1690" s="1" t="b">
        <f t="shared" si="134"/>
        <v>1</v>
      </c>
    </row>
    <row r="1691" spans="1:29" x14ac:dyDescent="0.25">
      <c r="A1691" s="1">
        <v>1200.203</v>
      </c>
      <c r="B1691">
        <v>5</v>
      </c>
      <c r="C1691" t="s">
        <v>124</v>
      </c>
      <c r="D1691" s="2">
        <v>83319.199999999997</v>
      </c>
      <c r="M1691">
        <v>17</v>
      </c>
      <c r="Y1691" s="1">
        <f t="shared" si="130"/>
        <v>1200.203</v>
      </c>
      <c r="Z1691" s="2">
        <f t="shared" si="131"/>
        <v>83319.199999999997</v>
      </c>
      <c r="AA1691" s="2">
        <f t="shared" si="132"/>
        <v>83319.238495487851</v>
      </c>
      <c r="AB1691" s="1">
        <f t="shared" si="133"/>
        <v>8.4710477517339927E-2</v>
      </c>
      <c r="AC1691" s="1" t="b">
        <f t="shared" si="134"/>
        <v>1</v>
      </c>
    </row>
    <row r="1692" spans="1:29" x14ac:dyDescent="0.25">
      <c r="A1692" s="1">
        <v>1200.1400000000001</v>
      </c>
      <c r="B1692">
        <v>8</v>
      </c>
      <c r="D1692" s="2">
        <v>83323.600000000006</v>
      </c>
      <c r="E1692">
        <v>29835</v>
      </c>
      <c r="F1692" t="s">
        <v>15</v>
      </c>
      <c r="G1692" t="s">
        <v>16</v>
      </c>
      <c r="H1692">
        <v>113158</v>
      </c>
      <c r="I1692" t="s">
        <v>17</v>
      </c>
      <c r="J1692" t="s">
        <v>16</v>
      </c>
      <c r="K1692">
        <v>29835.09</v>
      </c>
      <c r="L1692">
        <v>113158.8</v>
      </c>
      <c r="M1692">
        <v>17</v>
      </c>
      <c r="Y1692" s="1">
        <f t="shared" si="130"/>
        <v>1200.1400000000001</v>
      </c>
      <c r="Z1692" s="2">
        <f t="shared" si="131"/>
        <v>83323.600000000006</v>
      </c>
      <c r="AA1692" s="2">
        <f t="shared" si="132"/>
        <v>83323.612245238051</v>
      </c>
      <c r="AB1692" s="1">
        <f t="shared" si="133"/>
        <v>8.4714121787973926E-2</v>
      </c>
      <c r="AC1692" s="1" t="b">
        <f t="shared" si="134"/>
        <v>1</v>
      </c>
    </row>
    <row r="1693" spans="1:29" x14ac:dyDescent="0.25">
      <c r="A1693" s="1">
        <v>1200.067</v>
      </c>
      <c r="B1693">
        <v>5</v>
      </c>
      <c r="C1693" t="s">
        <v>123</v>
      </c>
      <c r="D1693" s="2">
        <v>83328.7</v>
      </c>
      <c r="M1693">
        <v>17</v>
      </c>
      <c r="Y1693" s="1">
        <f t="shared" si="130"/>
        <v>1200.067</v>
      </c>
      <c r="Z1693" s="2">
        <f t="shared" si="131"/>
        <v>83328.7</v>
      </c>
      <c r="AA1693" s="2">
        <f t="shared" si="132"/>
        <v>83328.680815321146</v>
      </c>
      <c r="AB1693" s="1">
        <f t="shared" si="133"/>
        <v>8.4718345232108361E-2</v>
      </c>
      <c r="AC1693" s="1" t="b">
        <f t="shared" si="134"/>
        <v>1</v>
      </c>
    </row>
    <row r="1694" spans="1:29" x14ac:dyDescent="0.25">
      <c r="A1694" s="1">
        <v>1198.482</v>
      </c>
      <c r="B1694">
        <v>2</v>
      </c>
      <c r="C1694" t="s">
        <v>123</v>
      </c>
      <c r="D1694" s="2">
        <v>83438.899999999994</v>
      </c>
      <c r="M1694">
        <v>17</v>
      </c>
      <c r="Y1694" s="1">
        <f t="shared" si="130"/>
        <v>1198.482</v>
      </c>
      <c r="Z1694" s="2">
        <f t="shared" si="131"/>
        <v>83438.899999999994</v>
      </c>
      <c r="AA1694" s="2">
        <f t="shared" si="132"/>
        <v>83438.88352098738</v>
      </c>
      <c r="AB1694" s="1">
        <f t="shared" si="133"/>
        <v>8.4810236416144505E-2</v>
      </c>
      <c r="AC1694" s="1" t="b">
        <f t="shared" si="134"/>
        <v>1</v>
      </c>
    </row>
    <row r="1695" spans="1:29" x14ac:dyDescent="0.25">
      <c r="A1695" s="1">
        <v>1198.3989999999999</v>
      </c>
      <c r="B1695">
        <v>40</v>
      </c>
      <c r="D1695" s="2">
        <v>83444.7</v>
      </c>
      <c r="E1695">
        <v>35024</v>
      </c>
      <c r="F1695" t="s">
        <v>15</v>
      </c>
      <c r="G1695" t="s">
        <v>18</v>
      </c>
      <c r="H1695">
        <v>118468</v>
      </c>
      <c r="I1695" t="s">
        <v>17</v>
      </c>
      <c r="J1695" t="s">
        <v>16</v>
      </c>
      <c r="K1695">
        <v>35024.49</v>
      </c>
      <c r="L1695">
        <v>118468.8</v>
      </c>
      <c r="M1695">
        <v>17</v>
      </c>
      <c r="Y1695" s="1">
        <f t="shared" si="130"/>
        <v>1198.3989999999999</v>
      </c>
      <c r="Z1695" s="2">
        <f t="shared" si="131"/>
        <v>83444.7</v>
      </c>
      <c r="AA1695" s="2">
        <f t="shared" si="132"/>
        <v>83444.662420445951</v>
      </c>
      <c r="AB1695" s="1">
        <f t="shared" si="133"/>
        <v>8.4815058432310936E-2</v>
      </c>
      <c r="AC1695" s="1" t="b">
        <f t="shared" si="134"/>
        <v>1</v>
      </c>
    </row>
    <row r="1696" spans="1:29" x14ac:dyDescent="0.25">
      <c r="A1696" s="1">
        <v>1197.8689999999999</v>
      </c>
      <c r="B1696">
        <v>3</v>
      </c>
      <c r="D1696" s="2">
        <v>83481.600000000006</v>
      </c>
      <c r="M1696">
        <v>17</v>
      </c>
      <c r="Y1696" s="1">
        <f t="shared" si="130"/>
        <v>1197.8689999999999</v>
      </c>
      <c r="Z1696" s="2">
        <f t="shared" si="131"/>
        <v>83481.600000000006</v>
      </c>
      <c r="AA1696" s="2">
        <f t="shared" si="132"/>
        <v>83481.582710630304</v>
      </c>
      <c r="AB1696" s="1">
        <f t="shared" si="133"/>
        <v>8.484587325935905E-2</v>
      </c>
      <c r="AC1696" s="1" t="b">
        <f t="shared" si="134"/>
        <v>1</v>
      </c>
    </row>
    <row r="1697" spans="1:29" x14ac:dyDescent="0.25">
      <c r="A1697" s="1">
        <v>1197.6510000000001</v>
      </c>
      <c r="B1697">
        <v>2</v>
      </c>
      <c r="D1697" s="2">
        <v>83496.800000000003</v>
      </c>
      <c r="M1697">
        <v>17</v>
      </c>
      <c r="Y1697" s="1">
        <f t="shared" si="130"/>
        <v>1197.6510000000001</v>
      </c>
      <c r="Z1697" s="2">
        <f t="shared" si="131"/>
        <v>83496.800000000003</v>
      </c>
      <c r="AA1697" s="2">
        <f t="shared" si="132"/>
        <v>83496.77827681019</v>
      </c>
      <c r="AB1697" s="1">
        <f t="shared" si="133"/>
        <v>8.485855991303401E-2</v>
      </c>
      <c r="AC1697" s="1" t="b">
        <f t="shared" si="134"/>
        <v>1</v>
      </c>
    </row>
    <row r="1698" spans="1:29" x14ac:dyDescent="0.25">
      <c r="A1698" s="1">
        <v>1197.5889999999999</v>
      </c>
      <c r="B1698">
        <v>50</v>
      </c>
      <c r="D1698" s="2">
        <v>83501.100000000006</v>
      </c>
      <c r="E1698">
        <v>27380</v>
      </c>
      <c r="F1698" t="s">
        <v>15</v>
      </c>
      <c r="G1698" t="s">
        <v>23</v>
      </c>
      <c r="H1698">
        <v>110881</v>
      </c>
      <c r="I1698" t="s">
        <v>17</v>
      </c>
      <c r="J1698" t="s">
        <v>23</v>
      </c>
      <c r="K1698">
        <v>27380.31</v>
      </c>
      <c r="L1698">
        <v>110881.1</v>
      </c>
      <c r="M1698">
        <v>17</v>
      </c>
      <c r="Y1698" s="1">
        <f t="shared" si="130"/>
        <v>1197.5889999999999</v>
      </c>
      <c r="Z1698" s="2">
        <f t="shared" si="131"/>
        <v>83501.100000000006</v>
      </c>
      <c r="AA1698" s="2">
        <f t="shared" si="132"/>
        <v>83501.100962016193</v>
      </c>
      <c r="AB1698" s="1">
        <f t="shared" si="133"/>
        <v>8.4862169309344107E-2</v>
      </c>
      <c r="AC1698" s="1" t="b">
        <f t="shared" si="134"/>
        <v>1</v>
      </c>
    </row>
    <row r="1699" spans="1:29" x14ac:dyDescent="0.25">
      <c r="A1699" s="1">
        <v>1197.5050000000001</v>
      </c>
      <c r="B1699">
        <v>30</v>
      </c>
      <c r="D1699" s="2">
        <v>83507</v>
      </c>
      <c r="E1699">
        <v>29263</v>
      </c>
      <c r="F1699" t="s">
        <v>15</v>
      </c>
      <c r="G1699" t="s">
        <v>50</v>
      </c>
      <c r="H1699">
        <v>112769</v>
      </c>
      <c r="I1699" t="s">
        <v>17</v>
      </c>
      <c r="J1699" t="s">
        <v>50</v>
      </c>
      <c r="K1699">
        <v>29263.08</v>
      </c>
      <c r="L1699">
        <v>112769.7</v>
      </c>
      <c r="M1699">
        <v>17</v>
      </c>
      <c r="Y1699" s="1">
        <f t="shared" si="130"/>
        <v>1197.5050000000001</v>
      </c>
      <c r="Z1699" s="2">
        <f t="shared" si="131"/>
        <v>83507</v>
      </c>
      <c r="AA1699" s="2">
        <f t="shared" si="132"/>
        <v>83506.958217293446</v>
      </c>
      <c r="AB1699" s="1">
        <f t="shared" si="133"/>
        <v>8.4867060353523982E-2</v>
      </c>
      <c r="AC1699" s="1" t="b">
        <f t="shared" si="134"/>
        <v>1</v>
      </c>
    </row>
    <row r="1700" spans="1:29" x14ac:dyDescent="0.25">
      <c r="A1700" s="1">
        <v>1196.999</v>
      </c>
      <c r="B1700">
        <v>1</v>
      </c>
      <c r="D1700" s="2">
        <v>83542.3</v>
      </c>
      <c r="E1700">
        <v>27380</v>
      </c>
      <c r="F1700" t="s">
        <v>15</v>
      </c>
      <c r="G1700" t="s">
        <v>23</v>
      </c>
      <c r="H1700">
        <v>110922</v>
      </c>
      <c r="I1700" t="s">
        <v>17</v>
      </c>
      <c r="J1700" t="s">
        <v>16</v>
      </c>
      <c r="K1700">
        <v>27380.31</v>
      </c>
      <c r="L1700">
        <v>110922.5</v>
      </c>
      <c r="M1700">
        <v>17</v>
      </c>
      <c r="Y1700" s="1">
        <f t="shared" si="130"/>
        <v>1196.999</v>
      </c>
      <c r="Z1700" s="2">
        <f t="shared" si="131"/>
        <v>83542.3</v>
      </c>
      <c r="AA1700" s="2">
        <f t="shared" si="132"/>
        <v>83542.258598378103</v>
      </c>
      <c r="AB1700" s="1">
        <f t="shared" si="133"/>
        <v>8.4896544858591411E-2</v>
      </c>
      <c r="AC1700" s="1" t="b">
        <f t="shared" si="134"/>
        <v>1</v>
      </c>
    </row>
    <row r="1701" spans="1:29" x14ac:dyDescent="0.25">
      <c r="A1701" s="1">
        <v>1196.893</v>
      </c>
      <c r="B1701">
        <v>10</v>
      </c>
      <c r="D1701" s="2">
        <v>83549.7</v>
      </c>
      <c r="E1701">
        <v>44903</v>
      </c>
      <c r="F1701" t="s">
        <v>15</v>
      </c>
      <c r="G1701" t="s">
        <v>28</v>
      </c>
      <c r="H1701">
        <v>128453</v>
      </c>
      <c r="I1701" t="s">
        <v>17</v>
      </c>
      <c r="J1701" t="s">
        <v>18</v>
      </c>
      <c r="K1701">
        <v>44903.42</v>
      </c>
      <c r="L1701">
        <v>128453.2</v>
      </c>
      <c r="M1701">
        <v>18</v>
      </c>
      <c r="Y1701" s="1">
        <f t="shared" si="130"/>
        <v>1196.893</v>
      </c>
      <c r="Z1701" s="2">
        <f t="shared" si="131"/>
        <v>83549.7</v>
      </c>
      <c r="AA1701" s="2">
        <f t="shared" si="132"/>
        <v>83549.657321080493</v>
      </c>
      <c r="AB1701" s="1">
        <f t="shared" si="133"/>
        <v>8.4902726192349898E-2</v>
      </c>
      <c r="AC1701" s="1" t="b">
        <f t="shared" si="134"/>
        <v>1</v>
      </c>
    </row>
    <row r="1702" spans="1:29" x14ac:dyDescent="0.25">
      <c r="A1702" s="1">
        <v>1196.5129999999999</v>
      </c>
      <c r="B1702">
        <v>1</v>
      </c>
      <c r="D1702" s="2">
        <v>83576.2</v>
      </c>
      <c r="M1702">
        <v>18</v>
      </c>
      <c r="Y1702" s="1">
        <f t="shared" si="130"/>
        <v>1196.5129999999999</v>
      </c>
      <c r="Z1702" s="2">
        <f t="shared" si="131"/>
        <v>83576.2</v>
      </c>
      <c r="AA1702" s="2">
        <f t="shared" si="132"/>
        <v>83576.191817389365</v>
      </c>
      <c r="AB1702" s="1">
        <f t="shared" si="133"/>
        <v>8.4924899193485309E-2</v>
      </c>
      <c r="AC1702" s="1" t="b">
        <f t="shared" si="134"/>
        <v>1</v>
      </c>
    </row>
    <row r="1703" spans="1:29" x14ac:dyDescent="0.25">
      <c r="A1703" s="1">
        <v>1195.692</v>
      </c>
      <c r="B1703">
        <v>4</v>
      </c>
      <c r="D1703" s="2">
        <v>83633.600000000006</v>
      </c>
      <c r="E1703">
        <v>29263</v>
      </c>
      <c r="F1703" t="s">
        <v>15</v>
      </c>
      <c r="G1703" t="s">
        <v>50</v>
      </c>
      <c r="H1703">
        <v>112896</v>
      </c>
      <c r="I1703" t="s">
        <v>17</v>
      </c>
      <c r="J1703" t="s">
        <v>57</v>
      </c>
      <c r="K1703">
        <v>29263.08</v>
      </c>
      <c r="L1703">
        <v>112896.3</v>
      </c>
      <c r="M1703">
        <v>18</v>
      </c>
      <c r="Y1703" s="1">
        <f t="shared" si="130"/>
        <v>1195.692</v>
      </c>
      <c r="Z1703" s="2">
        <f t="shared" si="131"/>
        <v>83633.600000000006</v>
      </c>
      <c r="AA1703" s="2">
        <f t="shared" si="132"/>
        <v>83633.577877915042</v>
      </c>
      <c r="AB1703" s="1">
        <f t="shared" si="133"/>
        <v>8.4972876743306405E-2</v>
      </c>
      <c r="AC1703" s="1" t="b">
        <f t="shared" si="134"/>
        <v>1</v>
      </c>
    </row>
    <row r="1704" spans="1:29" x14ac:dyDescent="0.25">
      <c r="A1704" s="1">
        <v>1194.31</v>
      </c>
      <c r="B1704">
        <v>20</v>
      </c>
      <c r="D1704" s="2">
        <v>83730.399999999994</v>
      </c>
      <c r="E1704">
        <v>27380</v>
      </c>
      <c r="F1704" t="s">
        <v>15</v>
      </c>
      <c r="G1704" t="s">
        <v>23</v>
      </c>
      <c r="H1704">
        <v>111110</v>
      </c>
      <c r="I1704" t="s">
        <v>17</v>
      </c>
      <c r="J1704" t="s">
        <v>50</v>
      </c>
      <c r="K1704">
        <v>27380.31</v>
      </c>
      <c r="L1704">
        <v>111110.3</v>
      </c>
      <c r="M1704">
        <v>18</v>
      </c>
      <c r="Y1704" s="1">
        <f t="shared" si="130"/>
        <v>1194.31</v>
      </c>
      <c r="Z1704" s="2">
        <f t="shared" si="131"/>
        <v>83730.399999999994</v>
      </c>
      <c r="AA1704" s="2">
        <f t="shared" si="132"/>
        <v>83730.354765513141</v>
      </c>
      <c r="AB1704" s="1">
        <f t="shared" si="133"/>
        <v>8.5053861545793447E-2</v>
      </c>
      <c r="AC1704" s="1" t="b">
        <f t="shared" si="134"/>
        <v>1</v>
      </c>
    </row>
    <row r="1705" spans="1:29" x14ac:dyDescent="0.25">
      <c r="A1705" s="1">
        <v>1192.7940000000001</v>
      </c>
      <c r="B1705">
        <v>3</v>
      </c>
      <c r="D1705" s="2">
        <v>83836.800000000003</v>
      </c>
      <c r="M1705">
        <v>18</v>
      </c>
      <c r="Y1705" s="1">
        <f t="shared" si="130"/>
        <v>1192.7940000000001</v>
      </c>
      <c r="Z1705" s="2">
        <f t="shared" si="131"/>
        <v>83836.800000000003</v>
      </c>
      <c r="AA1705" s="2">
        <f t="shared" si="132"/>
        <v>83836.773156135925</v>
      </c>
      <c r="AB1705" s="1">
        <f t="shared" si="133"/>
        <v>8.5143022666166968E-2</v>
      </c>
      <c r="AC1705" s="1" t="b">
        <f t="shared" si="134"/>
        <v>1</v>
      </c>
    </row>
    <row r="1706" spans="1:29" x14ac:dyDescent="0.25">
      <c r="A1706" s="1">
        <v>1192.472</v>
      </c>
      <c r="B1706">
        <v>1</v>
      </c>
      <c r="D1706" s="2">
        <v>83859.399999999994</v>
      </c>
      <c r="M1706">
        <v>18</v>
      </c>
      <c r="Y1706" s="1">
        <f t="shared" si="130"/>
        <v>1192.472</v>
      </c>
      <c r="Z1706" s="2">
        <f t="shared" si="131"/>
        <v>83859.399999999994</v>
      </c>
      <c r="AA1706" s="2">
        <f t="shared" si="132"/>
        <v>83859.411374019692</v>
      </c>
      <c r="AB1706" s="1">
        <f t="shared" si="133"/>
        <v>8.5162004379985307E-2</v>
      </c>
      <c r="AC1706" s="1" t="b">
        <f t="shared" si="134"/>
        <v>1</v>
      </c>
    </row>
    <row r="1707" spans="1:29" x14ac:dyDescent="0.25">
      <c r="A1707" s="1">
        <v>1192.047</v>
      </c>
      <c r="B1707">
        <v>15</v>
      </c>
      <c r="D1707" s="2">
        <v>83889.3</v>
      </c>
      <c r="E1707">
        <v>44679</v>
      </c>
      <c r="F1707" t="s">
        <v>15</v>
      </c>
      <c r="G1707" t="s">
        <v>18</v>
      </c>
      <c r="H1707">
        <v>128568</v>
      </c>
      <c r="I1707" t="s">
        <v>17</v>
      </c>
      <c r="J1707" t="s">
        <v>16</v>
      </c>
      <c r="K1707">
        <v>44679.98</v>
      </c>
      <c r="L1707">
        <v>128568.6</v>
      </c>
      <c r="M1707">
        <v>18</v>
      </c>
      <c r="Y1707" s="1">
        <f t="shared" si="130"/>
        <v>1192.047</v>
      </c>
      <c r="Z1707" s="2">
        <f t="shared" si="131"/>
        <v>83889.3</v>
      </c>
      <c r="AA1707" s="2">
        <f t="shared" si="132"/>
        <v>83889.309733592716</v>
      </c>
      <c r="AB1707" s="1">
        <f t="shared" si="133"/>
        <v>8.5187081437893275E-2</v>
      </c>
      <c r="AC1707" s="1" t="b">
        <f t="shared" si="134"/>
        <v>1</v>
      </c>
    </row>
    <row r="1708" spans="1:29" x14ac:dyDescent="0.25">
      <c r="A1708" s="1">
        <v>1191.806</v>
      </c>
      <c r="B1708">
        <v>100</v>
      </c>
      <c r="D1708" s="2">
        <v>83906.3</v>
      </c>
      <c r="M1708">
        <v>18</v>
      </c>
      <c r="Y1708" s="1">
        <f t="shared" si="130"/>
        <v>1191.806</v>
      </c>
      <c r="Z1708" s="2">
        <f t="shared" si="131"/>
        <v>83906.3</v>
      </c>
      <c r="AA1708" s="2">
        <f t="shared" si="132"/>
        <v>83906.273336432263</v>
      </c>
      <c r="AB1708" s="1">
        <f t="shared" si="133"/>
        <v>8.5201313526040434E-2</v>
      </c>
      <c r="AC1708" s="1" t="b">
        <f t="shared" si="134"/>
        <v>1</v>
      </c>
    </row>
    <row r="1709" spans="1:29" x14ac:dyDescent="0.25">
      <c r="A1709" s="1">
        <v>1190.1320000000001</v>
      </c>
      <c r="B1709">
        <v>10</v>
      </c>
      <c r="D1709" s="2">
        <v>84024.3</v>
      </c>
      <c r="E1709">
        <v>29267</v>
      </c>
      <c r="F1709" t="s">
        <v>15</v>
      </c>
      <c r="G1709" t="s">
        <v>28</v>
      </c>
      <c r="H1709">
        <v>113291</v>
      </c>
      <c r="I1709" t="s">
        <v>17</v>
      </c>
      <c r="J1709" t="s">
        <v>18</v>
      </c>
      <c r="K1709">
        <v>29267.86</v>
      </c>
      <c r="L1709">
        <v>113291.8</v>
      </c>
      <c r="M1709">
        <v>18</v>
      </c>
      <c r="Y1709" s="1">
        <f t="shared" si="130"/>
        <v>1190.1320000000001</v>
      </c>
      <c r="Z1709" s="2">
        <f t="shared" si="131"/>
        <v>84024.3</v>
      </c>
      <c r="AA1709" s="2">
        <f t="shared" si="132"/>
        <v>84024.293103622113</v>
      </c>
      <c r="AB1709" s="1">
        <f t="shared" si="133"/>
        <v>8.5300409157817003E-2</v>
      </c>
      <c r="AC1709" s="1" t="b">
        <f t="shared" si="134"/>
        <v>1</v>
      </c>
    </row>
    <row r="1710" spans="1:29" x14ac:dyDescent="0.25">
      <c r="A1710" s="1">
        <v>1190.0429999999999</v>
      </c>
      <c r="B1710">
        <v>100</v>
      </c>
      <c r="D1710" s="2">
        <v>84030.6</v>
      </c>
      <c r="M1710">
        <v>18</v>
      </c>
      <c r="Y1710" s="1">
        <f t="shared" si="130"/>
        <v>1190.0429999999999</v>
      </c>
      <c r="Z1710" s="2">
        <f t="shared" si="131"/>
        <v>84030.6</v>
      </c>
      <c r="AA1710" s="2">
        <f t="shared" si="132"/>
        <v>84030.577046375649</v>
      </c>
      <c r="AB1710" s="1">
        <f t="shared" si="133"/>
        <v>8.5305689393734369E-2</v>
      </c>
      <c r="AC1710" s="1" t="b">
        <f t="shared" si="134"/>
        <v>1</v>
      </c>
    </row>
    <row r="1711" spans="1:29" x14ac:dyDescent="0.25">
      <c r="A1711" s="1">
        <v>1189.183</v>
      </c>
      <c r="B1711">
        <v>20</v>
      </c>
      <c r="D1711" s="2">
        <v>84091.3</v>
      </c>
      <c r="M1711">
        <v>18</v>
      </c>
      <c r="Y1711" s="1">
        <f t="shared" si="130"/>
        <v>1189.183</v>
      </c>
      <c r="Z1711" s="2">
        <f t="shared" si="131"/>
        <v>84091.3</v>
      </c>
      <c r="AA1711" s="2">
        <f t="shared" si="132"/>
        <v>84091.346748145574</v>
      </c>
      <c r="AB1711" s="1">
        <f t="shared" si="133"/>
        <v>8.5356772989584273E-2</v>
      </c>
      <c r="AC1711" s="1" t="b">
        <f t="shared" si="134"/>
        <v>1</v>
      </c>
    </row>
    <row r="1712" spans="1:29" x14ac:dyDescent="0.25">
      <c r="A1712" s="1">
        <v>1188.6220000000001</v>
      </c>
      <c r="B1712">
        <v>3</v>
      </c>
      <c r="D1712" s="2">
        <v>84131</v>
      </c>
      <c r="M1712">
        <v>18</v>
      </c>
      <c r="Y1712" s="1">
        <f t="shared" si="130"/>
        <v>1188.6220000000001</v>
      </c>
      <c r="Z1712" s="2">
        <f t="shared" si="131"/>
        <v>84131</v>
      </c>
      <c r="AA1712" s="2">
        <f t="shared" si="132"/>
        <v>84131.035770833783</v>
      </c>
      <c r="AB1712" s="1">
        <f t="shared" si="133"/>
        <v>8.5390155899366577E-2</v>
      </c>
      <c r="AC1712" s="1" t="b">
        <f t="shared" si="134"/>
        <v>1</v>
      </c>
    </row>
    <row r="1713" spans="1:29" x14ac:dyDescent="0.25">
      <c r="A1713" s="1">
        <v>1187.5889999999999</v>
      </c>
      <c r="B1713">
        <v>15</v>
      </c>
      <c r="D1713" s="2">
        <v>84204.2</v>
      </c>
      <c r="E1713">
        <v>27138</v>
      </c>
      <c r="F1713" t="s">
        <v>15</v>
      </c>
      <c r="G1713" t="s">
        <v>18</v>
      </c>
      <c r="H1713">
        <v>111342</v>
      </c>
      <c r="I1713" t="s">
        <v>17</v>
      </c>
      <c r="J1713" t="s">
        <v>18</v>
      </c>
      <c r="K1713">
        <v>27138.55</v>
      </c>
      <c r="L1713">
        <v>111342.8</v>
      </c>
      <c r="M1713">
        <v>18</v>
      </c>
      <c r="Y1713" s="1">
        <f t="shared" si="130"/>
        <v>1187.5889999999999</v>
      </c>
      <c r="Z1713" s="2">
        <f t="shared" si="131"/>
        <v>84204.2</v>
      </c>
      <c r="AA1713" s="2">
        <f t="shared" si="132"/>
        <v>84204.215431432938</v>
      </c>
      <c r="AB1713" s="1">
        <f t="shared" si="133"/>
        <v>8.5451749482115841E-2</v>
      </c>
      <c r="AC1713" s="1" t="b">
        <f t="shared" si="134"/>
        <v>1</v>
      </c>
    </row>
    <row r="1714" spans="1:29" x14ac:dyDescent="0.25">
      <c r="A1714" s="1">
        <v>1187.47</v>
      </c>
      <c r="B1714">
        <v>4</v>
      </c>
      <c r="D1714" s="2">
        <v>84212.6</v>
      </c>
      <c r="M1714">
        <v>18</v>
      </c>
      <c r="Y1714" s="1">
        <f t="shared" si="130"/>
        <v>1187.47</v>
      </c>
      <c r="Z1714" s="2">
        <f t="shared" si="131"/>
        <v>84212.6</v>
      </c>
      <c r="AA1714" s="2">
        <f t="shared" si="132"/>
        <v>84212.653793358986</v>
      </c>
      <c r="AB1714" s="1">
        <f t="shared" si="133"/>
        <v>8.5458855294600705E-2</v>
      </c>
      <c r="AC1714" s="1" t="b">
        <f t="shared" si="134"/>
        <v>1</v>
      </c>
    </row>
    <row r="1715" spans="1:29" x14ac:dyDescent="0.25">
      <c r="A1715" s="1">
        <v>1187.4179999999999</v>
      </c>
      <c r="B1715">
        <v>1</v>
      </c>
      <c r="D1715" s="2">
        <v>84216.3</v>
      </c>
      <c r="M1715">
        <v>18</v>
      </c>
      <c r="Y1715" s="1">
        <f t="shared" si="130"/>
        <v>1187.4179999999999</v>
      </c>
      <c r="Z1715" s="2">
        <f t="shared" si="131"/>
        <v>84216.3</v>
      </c>
      <c r="AA1715" s="2">
        <f t="shared" si="132"/>
        <v>84216.341675804142</v>
      </c>
      <c r="AB1715" s="1">
        <f t="shared" si="133"/>
        <v>8.5461961026278926E-2</v>
      </c>
      <c r="AC1715" s="1" t="b">
        <f t="shared" si="134"/>
        <v>1</v>
      </c>
    </row>
    <row r="1716" spans="1:29" x14ac:dyDescent="0.25">
      <c r="A1716" s="1">
        <v>1187.1759999999999</v>
      </c>
      <c r="B1716">
        <v>2</v>
      </c>
      <c r="D1716" s="2">
        <v>84233.5</v>
      </c>
      <c r="M1716">
        <v>18</v>
      </c>
      <c r="Y1716" s="1">
        <f t="shared" si="130"/>
        <v>1187.1759999999999</v>
      </c>
      <c r="Z1716" s="2">
        <f t="shared" si="131"/>
        <v>84233.5</v>
      </c>
      <c r="AA1716" s="2">
        <f t="shared" si="132"/>
        <v>84233.508763654259</v>
      </c>
      <c r="AB1716" s="1">
        <f t="shared" si="133"/>
        <v>8.5476419993183089E-2</v>
      </c>
      <c r="AC1716" s="1" t="b">
        <f t="shared" si="134"/>
        <v>1</v>
      </c>
    </row>
    <row r="1717" spans="1:29" x14ac:dyDescent="0.25">
      <c r="A1717" s="1">
        <v>1185.662</v>
      </c>
      <c r="B1717">
        <v>1</v>
      </c>
      <c r="D1717" s="2">
        <v>84341.1</v>
      </c>
      <c r="M1717">
        <v>18</v>
      </c>
      <c r="Y1717" s="1">
        <f t="shared" si="130"/>
        <v>1185.662</v>
      </c>
      <c r="Z1717" s="2">
        <f t="shared" si="131"/>
        <v>84341.1</v>
      </c>
      <c r="AA1717" s="2">
        <f t="shared" si="132"/>
        <v>84341.068533865473</v>
      </c>
      <c r="AB1717" s="1">
        <f t="shared" si="133"/>
        <v>8.5567079207170965E-2</v>
      </c>
      <c r="AC1717" s="1" t="b">
        <f t="shared" si="134"/>
        <v>1</v>
      </c>
    </row>
    <row r="1718" spans="1:29" x14ac:dyDescent="0.25">
      <c r="A1718" s="1">
        <v>1185.135</v>
      </c>
      <c r="B1718">
        <v>2</v>
      </c>
      <c r="D1718" s="2">
        <v>84378.6</v>
      </c>
      <c r="M1718">
        <v>18</v>
      </c>
      <c r="Y1718" s="1">
        <f t="shared" si="130"/>
        <v>1185.135</v>
      </c>
      <c r="Z1718" s="2">
        <f t="shared" si="131"/>
        <v>84378.6</v>
      </c>
      <c r="AA1718" s="2">
        <f t="shared" si="132"/>
        <v>84378.572905196459</v>
      </c>
      <c r="AB1718" s="1">
        <f t="shared" si="133"/>
        <v>8.5598717827587767E-2</v>
      </c>
      <c r="AC1718" s="1" t="b">
        <f t="shared" si="134"/>
        <v>1</v>
      </c>
    </row>
    <row r="1719" spans="1:29" x14ac:dyDescent="0.25">
      <c r="A1719" s="1">
        <v>1184.806</v>
      </c>
      <c r="B1719">
        <v>1</v>
      </c>
      <c r="D1719" s="2">
        <v>84402</v>
      </c>
      <c r="M1719">
        <v>18</v>
      </c>
      <c r="Y1719" s="1">
        <f t="shared" si="130"/>
        <v>1184.806</v>
      </c>
      <c r="Z1719" s="2">
        <f t="shared" si="131"/>
        <v>84402</v>
      </c>
      <c r="AA1719" s="2">
        <f t="shared" si="132"/>
        <v>84402.003365951896</v>
      </c>
      <c r="AB1719" s="1">
        <f t="shared" si="133"/>
        <v>8.5618490860930777E-2</v>
      </c>
      <c r="AC1719" s="1" t="b">
        <f t="shared" si="134"/>
        <v>1</v>
      </c>
    </row>
    <row r="1720" spans="1:29" x14ac:dyDescent="0.25">
      <c r="A1720" s="1">
        <v>1183.796</v>
      </c>
      <c r="B1720">
        <v>1</v>
      </c>
      <c r="D1720" s="2">
        <v>84474</v>
      </c>
      <c r="M1720">
        <v>18</v>
      </c>
      <c r="Y1720" s="1">
        <f t="shared" si="130"/>
        <v>1183.796</v>
      </c>
      <c r="Z1720" s="2">
        <f t="shared" si="131"/>
        <v>84474</v>
      </c>
      <c r="AA1720" s="2">
        <f t="shared" si="132"/>
        <v>84474.014103781388</v>
      </c>
      <c r="AB1720" s="1">
        <f t="shared" si="133"/>
        <v>8.567929529402929E-2</v>
      </c>
      <c r="AC1720" s="1" t="b">
        <f t="shared" si="134"/>
        <v>1</v>
      </c>
    </row>
    <row r="1721" spans="1:29" x14ac:dyDescent="0.25">
      <c r="A1721" s="1">
        <v>1183.751</v>
      </c>
      <c r="B1721">
        <v>1</v>
      </c>
      <c r="D1721" s="2">
        <v>84477.2</v>
      </c>
      <c r="E1721">
        <v>36642</v>
      </c>
      <c r="F1721" t="s">
        <v>15</v>
      </c>
      <c r="G1721" t="s">
        <v>50</v>
      </c>
      <c r="H1721">
        <v>121119</v>
      </c>
      <c r="I1721" t="s">
        <v>17</v>
      </c>
      <c r="J1721" t="s">
        <v>57</v>
      </c>
      <c r="K1721">
        <v>36642.129999999997</v>
      </c>
      <c r="L1721">
        <v>121119.2</v>
      </c>
      <c r="M1721">
        <v>18</v>
      </c>
      <c r="Y1721" s="1">
        <f t="shared" si="130"/>
        <v>1183.751</v>
      </c>
      <c r="Z1721" s="2">
        <f t="shared" si="131"/>
        <v>84477.2</v>
      </c>
      <c r="AA1721" s="2">
        <f t="shared" si="132"/>
        <v>84477.22536242842</v>
      </c>
      <c r="AB1721" s="1">
        <f t="shared" si="133"/>
        <v>8.5682008024672601E-2</v>
      </c>
      <c r="AC1721" s="1" t="b">
        <f t="shared" si="134"/>
        <v>1</v>
      </c>
    </row>
    <row r="1722" spans="1:29" x14ac:dyDescent="0.25">
      <c r="A1722" s="1">
        <v>1183.029</v>
      </c>
      <c r="B1722">
        <v>1</v>
      </c>
      <c r="D1722" s="2">
        <v>84528.8</v>
      </c>
      <c r="M1722">
        <v>18</v>
      </c>
      <c r="Y1722" s="1">
        <f t="shared" si="130"/>
        <v>1183.029</v>
      </c>
      <c r="Z1722" s="2">
        <f t="shared" si="131"/>
        <v>84528.8</v>
      </c>
      <c r="AA1722" s="2">
        <f t="shared" si="132"/>
        <v>84528.781627500255</v>
      </c>
      <c r="AB1722" s="1">
        <f t="shared" si="133"/>
        <v>8.5725574617148137E-2</v>
      </c>
      <c r="AC1722" s="1" t="b">
        <f t="shared" si="134"/>
        <v>1</v>
      </c>
    </row>
    <row r="1723" spans="1:29" x14ac:dyDescent="0.25">
      <c r="A1723" s="1">
        <v>1182.7940000000001</v>
      </c>
      <c r="B1723">
        <v>20</v>
      </c>
      <c r="D1723" s="2">
        <v>84545.600000000006</v>
      </c>
      <c r="E1723">
        <v>31254</v>
      </c>
      <c r="F1723" t="s">
        <v>15</v>
      </c>
      <c r="G1723" t="s">
        <v>18</v>
      </c>
      <c r="H1723">
        <v>115800</v>
      </c>
      <c r="I1723" t="s">
        <v>17</v>
      </c>
      <c r="J1723" t="s">
        <v>28</v>
      </c>
      <c r="K1723">
        <v>31254.71</v>
      </c>
      <c r="L1723">
        <v>115800</v>
      </c>
      <c r="M1723">
        <v>18</v>
      </c>
      <c r="Y1723" s="1">
        <f t="shared" si="130"/>
        <v>1182.7940000000001</v>
      </c>
      <c r="Z1723" s="2">
        <f t="shared" si="131"/>
        <v>84545.600000000006</v>
      </c>
      <c r="AA1723" s="2">
        <f t="shared" si="132"/>
        <v>84545.575983645496</v>
      </c>
      <c r="AB1723" s="1">
        <f t="shared" si="133"/>
        <v>8.5739772092031874E-2</v>
      </c>
      <c r="AC1723" s="1" t="b">
        <f t="shared" si="134"/>
        <v>1</v>
      </c>
    </row>
    <row r="1724" spans="1:29" x14ac:dyDescent="0.25">
      <c r="A1724" s="1">
        <v>1182.655</v>
      </c>
      <c r="B1724">
        <v>15</v>
      </c>
      <c r="D1724" s="2">
        <v>84555.5</v>
      </c>
      <c r="M1724">
        <v>18</v>
      </c>
      <c r="Y1724" s="1">
        <f t="shared" si="130"/>
        <v>1182.655</v>
      </c>
      <c r="Z1724" s="2">
        <f t="shared" si="131"/>
        <v>84555.5</v>
      </c>
      <c r="AA1724" s="2">
        <f t="shared" si="132"/>
        <v>84555.512808046304</v>
      </c>
      <c r="AB1724" s="1">
        <f t="shared" si="133"/>
        <v>8.5748173731158422E-2</v>
      </c>
      <c r="AC1724" s="1" t="b">
        <f t="shared" si="134"/>
        <v>1</v>
      </c>
    </row>
    <row r="1725" spans="1:29" x14ac:dyDescent="0.25">
      <c r="A1725" s="1">
        <v>1182.425</v>
      </c>
      <c r="B1725">
        <v>6</v>
      </c>
      <c r="C1725" t="s">
        <v>123</v>
      </c>
      <c r="D1725" s="2">
        <v>84572</v>
      </c>
      <c r="M1725">
        <v>18</v>
      </c>
      <c r="Y1725" s="1">
        <f t="shared" si="130"/>
        <v>1182.425</v>
      </c>
      <c r="Z1725" s="2">
        <f t="shared" si="131"/>
        <v>84572</v>
      </c>
      <c r="AA1725" s="2">
        <f t="shared" si="132"/>
        <v>84571.960166606761</v>
      </c>
      <c r="AB1725" s="1">
        <f t="shared" si="133"/>
        <v>8.5762082232110612E-2</v>
      </c>
      <c r="AC1725" s="1" t="b">
        <f t="shared" si="134"/>
        <v>1</v>
      </c>
    </row>
    <row r="1726" spans="1:29" x14ac:dyDescent="0.25">
      <c r="A1726" s="1">
        <v>1182.002</v>
      </c>
      <c r="B1726">
        <v>3</v>
      </c>
      <c r="C1726" t="s">
        <v>123</v>
      </c>
      <c r="D1726" s="2">
        <v>84602.2</v>
      </c>
      <c r="M1726">
        <v>18</v>
      </c>
      <c r="Y1726" s="1">
        <f t="shared" si="130"/>
        <v>1182.002</v>
      </c>
      <c r="Z1726" s="2">
        <f t="shared" si="131"/>
        <v>84602.2</v>
      </c>
      <c r="AA1726" s="2">
        <f t="shared" si="132"/>
        <v>84602.225715354129</v>
      </c>
      <c r="AB1726" s="1">
        <f t="shared" si="133"/>
        <v>8.5787682979958646E-2</v>
      </c>
      <c r="AC1726" s="1" t="b">
        <f t="shared" si="134"/>
        <v>1</v>
      </c>
    </row>
    <row r="1727" spans="1:29" x14ac:dyDescent="0.25">
      <c r="A1727" s="1">
        <v>1181.8520000000001</v>
      </c>
      <c r="B1727">
        <v>2</v>
      </c>
      <c r="D1727" s="6">
        <v>84613</v>
      </c>
      <c r="E1727">
        <v>27380</v>
      </c>
      <c r="F1727" t="s">
        <v>15</v>
      </c>
      <c r="G1727" t="s">
        <v>23</v>
      </c>
      <c r="H1727">
        <v>111993</v>
      </c>
      <c r="I1727" t="s">
        <v>17</v>
      </c>
      <c r="J1727" t="s">
        <v>16</v>
      </c>
      <c r="K1727">
        <v>27380.31</v>
      </c>
      <c r="L1727">
        <v>111993</v>
      </c>
      <c r="M1727">
        <v>18</v>
      </c>
      <c r="N1727" t="s">
        <v>627</v>
      </c>
      <c r="O1727" t="s">
        <v>1081</v>
      </c>
      <c r="P1727">
        <f>$A1727</f>
        <v>1181.8520000000001</v>
      </c>
      <c r="Q1727" s="2">
        <f>100000000/P1727</f>
        <v>84612.963382893955</v>
      </c>
      <c r="R1727" s="2">
        <f>$L1727-$K1727</f>
        <v>84612.69</v>
      </c>
      <c r="S1727" s="5">
        <f>100000000/84612</f>
        <v>1181.8654564364392</v>
      </c>
      <c r="T1727" s="1">
        <f>100000000/R1727</f>
        <v>1181.8558185539309</v>
      </c>
      <c r="U1727" s="1"/>
      <c r="V1727" s="1"/>
      <c r="W1727" s="1"/>
      <c r="X1727" s="1"/>
      <c r="Y1727" s="1">
        <f t="shared" si="130"/>
        <v>1181.8520000000001</v>
      </c>
      <c r="Z1727" s="2">
        <f t="shared" si="131"/>
        <v>84613</v>
      </c>
      <c r="AA1727" s="2">
        <f t="shared" si="132"/>
        <v>84612.963382893955</v>
      </c>
      <c r="AB1727" s="1">
        <f t="shared" si="133"/>
        <v>8.5796767862174772E-2</v>
      </c>
      <c r="AC1727" s="1" t="b">
        <f t="shared" si="134"/>
        <v>1</v>
      </c>
    </row>
    <row r="1728" spans="1:29" x14ac:dyDescent="0.25">
      <c r="A1728" s="1">
        <v>1181.8040000000001</v>
      </c>
      <c r="B1728">
        <v>1</v>
      </c>
      <c r="D1728" s="2">
        <v>84616.4</v>
      </c>
      <c r="M1728">
        <v>18</v>
      </c>
      <c r="Y1728" s="1">
        <f t="shared" si="130"/>
        <v>1181.8040000000001</v>
      </c>
      <c r="Z1728" s="2">
        <f t="shared" si="131"/>
        <v>84616.4</v>
      </c>
      <c r="AA1728" s="2">
        <f t="shared" si="132"/>
        <v>84616.400012184749</v>
      </c>
      <c r="AB1728" s="1">
        <f t="shared" si="133"/>
        <v>8.57996757551103E-2</v>
      </c>
      <c r="AC1728" s="1" t="b">
        <f t="shared" si="134"/>
        <v>1</v>
      </c>
    </row>
    <row r="1729" spans="1:29" x14ac:dyDescent="0.25">
      <c r="A1729" s="1">
        <v>1180.0160000000001</v>
      </c>
      <c r="B1729">
        <v>80</v>
      </c>
      <c r="D1729" s="2">
        <v>84744.6</v>
      </c>
      <c r="M1729">
        <v>18</v>
      </c>
      <c r="Y1729" s="1">
        <f t="shared" si="130"/>
        <v>1180.0160000000001</v>
      </c>
      <c r="Z1729" s="2">
        <f t="shared" si="131"/>
        <v>84744.6</v>
      </c>
      <c r="AA1729" s="2">
        <f t="shared" si="132"/>
        <v>84744.613632357519</v>
      </c>
      <c r="AB1729" s="1">
        <f t="shared" si="133"/>
        <v>8.5908247698487789E-2</v>
      </c>
      <c r="AC1729" s="1" t="b">
        <f t="shared" si="134"/>
        <v>1</v>
      </c>
    </row>
    <row r="1730" spans="1:29" x14ac:dyDescent="0.25">
      <c r="A1730" s="1">
        <v>1179.7860000000001</v>
      </c>
      <c r="B1730">
        <v>4</v>
      </c>
      <c r="D1730" s="2">
        <v>84761.1</v>
      </c>
      <c r="M1730">
        <v>18</v>
      </c>
      <c r="Y1730" s="1">
        <f t="shared" si="130"/>
        <v>1179.7860000000001</v>
      </c>
      <c r="Z1730" s="2">
        <f t="shared" si="131"/>
        <v>84761.1</v>
      </c>
      <c r="AA1730" s="2">
        <f t="shared" si="132"/>
        <v>84761.134646452832</v>
      </c>
      <c r="AB1730" s="1">
        <f t="shared" si="133"/>
        <v>8.5922249732770531E-2</v>
      </c>
      <c r="AC1730" s="1" t="b">
        <f t="shared" si="134"/>
        <v>1</v>
      </c>
    </row>
    <row r="1731" spans="1:29" x14ac:dyDescent="0.25">
      <c r="A1731" s="1">
        <v>1179.739</v>
      </c>
      <c r="B1731">
        <v>4</v>
      </c>
      <c r="D1731" s="2">
        <v>84764.5</v>
      </c>
      <c r="M1731">
        <v>18</v>
      </c>
      <c r="Y1731" s="1">
        <f t="shared" ref="Y1731:Y1794" si="135">ROUND($A1731,3)+0</f>
        <v>1179.739</v>
      </c>
      <c r="Z1731" s="2">
        <f t="shared" ref="Z1731:Z1794" si="136">ROUND($D1731,1)+0</f>
        <v>84764.5</v>
      </c>
      <c r="AA1731" s="2">
        <f t="shared" ref="AA1731:AA1794" si="137">100000000/Y1731</f>
        <v>84764.511472452796</v>
      </c>
      <c r="AB1731" s="1">
        <f t="shared" ref="AB1731:AB1794" si="138">0.0005/$Y1731*AA1731+0.05</f>
        <v>8.5925112025817915E-2</v>
      </c>
      <c r="AC1731" s="1" t="b">
        <f t="shared" ref="AC1731:AC1794" si="139">ABS(Z1731-AA1731)&lt;AB1731</f>
        <v>1</v>
      </c>
    </row>
    <row r="1732" spans="1:29" x14ac:dyDescent="0.25">
      <c r="A1732" s="1">
        <v>1178.5519999999999</v>
      </c>
      <c r="B1732">
        <v>3</v>
      </c>
      <c r="D1732" s="2">
        <v>84849.9</v>
      </c>
      <c r="M1732">
        <v>18</v>
      </c>
      <c r="Y1732" s="1">
        <f t="shared" si="135"/>
        <v>1178.5519999999999</v>
      </c>
      <c r="Z1732" s="2">
        <f t="shared" si="136"/>
        <v>84849.9</v>
      </c>
      <c r="AA1732" s="2">
        <f t="shared" si="137"/>
        <v>84849.883585959731</v>
      </c>
      <c r="AB1732" s="1">
        <f t="shared" si="138"/>
        <v>8.5997513722754604E-2</v>
      </c>
      <c r="AC1732" s="1" t="b">
        <f t="shared" si="139"/>
        <v>1</v>
      </c>
    </row>
    <row r="1733" spans="1:29" x14ac:dyDescent="0.25">
      <c r="A1733" s="1">
        <v>1178.1400000000001</v>
      </c>
      <c r="B1733">
        <v>40</v>
      </c>
      <c r="D1733" s="2">
        <v>84879.6</v>
      </c>
      <c r="M1733">
        <v>18</v>
      </c>
      <c r="Y1733" s="1">
        <f t="shared" si="135"/>
        <v>1178.1400000000001</v>
      </c>
      <c r="Z1733" s="2">
        <f t="shared" si="136"/>
        <v>84879.6</v>
      </c>
      <c r="AA1733" s="2">
        <f t="shared" si="137"/>
        <v>84879.555910163472</v>
      </c>
      <c r="AB1733" s="1">
        <f t="shared" si="138"/>
        <v>8.6022695057532836E-2</v>
      </c>
      <c r="AC1733" s="1" t="b">
        <f t="shared" si="139"/>
        <v>1</v>
      </c>
    </row>
    <row r="1734" spans="1:29" x14ac:dyDescent="0.25">
      <c r="A1734" s="1">
        <v>1178.0119999999999</v>
      </c>
      <c r="B1734">
        <v>5</v>
      </c>
      <c r="D1734" s="2">
        <v>84888.8</v>
      </c>
      <c r="E1734">
        <v>28936</v>
      </c>
      <c r="F1734" t="s">
        <v>15</v>
      </c>
      <c r="G1734" t="s">
        <v>29</v>
      </c>
      <c r="H1734">
        <v>113825</v>
      </c>
      <c r="I1734" t="s">
        <v>17</v>
      </c>
      <c r="J1734" t="s">
        <v>29</v>
      </c>
      <c r="K1734">
        <v>28936.46</v>
      </c>
      <c r="L1734">
        <v>113825.5</v>
      </c>
      <c r="M1734">
        <v>18</v>
      </c>
      <c r="Y1734" s="1">
        <f t="shared" si="135"/>
        <v>1178.0119999999999</v>
      </c>
      <c r="Z1734" s="2">
        <f t="shared" si="136"/>
        <v>84888.8</v>
      </c>
      <c r="AA1734" s="2">
        <f t="shared" si="137"/>
        <v>84888.778722118281</v>
      </c>
      <c r="AB1734" s="1">
        <f t="shared" si="138"/>
        <v>8.6030523764663802E-2</v>
      </c>
      <c r="AC1734" s="1" t="b">
        <f t="shared" si="139"/>
        <v>1</v>
      </c>
    </row>
    <row r="1735" spans="1:29" x14ac:dyDescent="0.25">
      <c r="A1735" s="1">
        <v>1177.9110000000001</v>
      </c>
      <c r="B1735">
        <v>5</v>
      </c>
      <c r="C1735" t="s">
        <v>122</v>
      </c>
      <c r="D1735" s="2">
        <v>84896.1</v>
      </c>
      <c r="E1735">
        <v>26446</v>
      </c>
      <c r="F1735" t="s">
        <v>15</v>
      </c>
      <c r="G1735" t="s">
        <v>18</v>
      </c>
      <c r="H1735">
        <v>111342</v>
      </c>
      <c r="I1735" t="s">
        <v>17</v>
      </c>
      <c r="J1735" t="s">
        <v>18</v>
      </c>
      <c r="K1735">
        <v>26446.97</v>
      </c>
      <c r="L1735">
        <v>111342.8</v>
      </c>
      <c r="M1735">
        <v>18</v>
      </c>
      <c r="Y1735" s="1">
        <f t="shared" si="135"/>
        <v>1177.9110000000001</v>
      </c>
      <c r="Z1735" s="2">
        <f t="shared" si="136"/>
        <v>84896.1</v>
      </c>
      <c r="AA1735" s="2">
        <f t="shared" si="137"/>
        <v>84896.0575119852</v>
      </c>
      <c r="AB1735" s="1">
        <f t="shared" si="138"/>
        <v>8.6036702905391504E-2</v>
      </c>
      <c r="AC1735" s="1" t="b">
        <f t="shared" si="139"/>
        <v>1</v>
      </c>
    </row>
    <row r="1736" spans="1:29" x14ac:dyDescent="0.25">
      <c r="A1736" s="1">
        <v>1177.886</v>
      </c>
      <c r="B1736">
        <v>20</v>
      </c>
      <c r="C1736" t="s">
        <v>122</v>
      </c>
      <c r="D1736" s="2">
        <v>84897.9</v>
      </c>
      <c r="E1736">
        <v>30505</v>
      </c>
      <c r="F1736" t="s">
        <v>15</v>
      </c>
      <c r="G1736" t="s">
        <v>23</v>
      </c>
      <c r="H1736">
        <v>115403</v>
      </c>
      <c r="I1736" t="s">
        <v>17</v>
      </c>
      <c r="J1736" t="s">
        <v>23</v>
      </c>
      <c r="K1736">
        <v>30505.72</v>
      </c>
      <c r="L1736">
        <v>115403.3</v>
      </c>
      <c r="M1736">
        <v>18</v>
      </c>
      <c r="Y1736" s="1">
        <f t="shared" si="135"/>
        <v>1177.886</v>
      </c>
      <c r="Z1736" s="2">
        <f t="shared" si="136"/>
        <v>84897.9</v>
      </c>
      <c r="AA1736" s="2">
        <f t="shared" si="137"/>
        <v>84897.859385373464</v>
      </c>
      <c r="AB1736" s="1">
        <f t="shared" si="138"/>
        <v>8.6038232641093226E-2</v>
      </c>
      <c r="AC1736" s="1" t="b">
        <f t="shared" si="139"/>
        <v>1</v>
      </c>
    </row>
    <row r="1737" spans="1:29" x14ac:dyDescent="0.25">
      <c r="A1737" s="1">
        <v>1176.548</v>
      </c>
      <c r="B1737">
        <v>5</v>
      </c>
      <c r="D1737" s="2">
        <v>84994.4</v>
      </c>
      <c r="E1737">
        <v>30505</v>
      </c>
      <c r="F1737" t="s">
        <v>15</v>
      </c>
      <c r="G1737" t="s">
        <v>23</v>
      </c>
      <c r="H1737">
        <v>115499</v>
      </c>
      <c r="I1737" t="s">
        <v>17</v>
      </c>
      <c r="J1737" t="s">
        <v>16</v>
      </c>
      <c r="K1737">
        <v>30505.72</v>
      </c>
      <c r="L1737">
        <v>115499.8</v>
      </c>
      <c r="M1737">
        <v>18</v>
      </c>
      <c r="Y1737" s="1">
        <f t="shared" si="135"/>
        <v>1176.548</v>
      </c>
      <c r="Z1737" s="2">
        <f t="shared" si="136"/>
        <v>84994.4</v>
      </c>
      <c r="AA1737" s="2">
        <f t="shared" si="137"/>
        <v>84994.407367995183</v>
      </c>
      <c r="AB1737" s="1">
        <f t="shared" si="138"/>
        <v>8.6120246419183574E-2</v>
      </c>
      <c r="AC1737" s="1" t="b">
        <f t="shared" si="139"/>
        <v>1</v>
      </c>
    </row>
    <row r="1738" spans="1:29" x14ac:dyDescent="0.25">
      <c r="A1738" s="1">
        <v>1175.6379999999999</v>
      </c>
      <c r="B1738">
        <v>10</v>
      </c>
      <c r="D1738" s="2">
        <v>85060.2</v>
      </c>
      <c r="E1738">
        <v>28720</v>
      </c>
      <c r="F1738" t="s">
        <v>15</v>
      </c>
      <c r="G1738" t="s">
        <v>16</v>
      </c>
      <c r="H1738">
        <v>113780</v>
      </c>
      <c r="I1738" t="s">
        <v>17</v>
      </c>
      <c r="J1738" t="s">
        <v>16</v>
      </c>
      <c r="K1738">
        <v>28720.71</v>
      </c>
      <c r="L1738">
        <v>113780.5</v>
      </c>
      <c r="M1738">
        <v>18</v>
      </c>
      <c r="Y1738" s="1">
        <f t="shared" si="135"/>
        <v>1175.6379999999999</v>
      </c>
      <c r="Z1738" s="2">
        <f t="shared" si="136"/>
        <v>85060.2</v>
      </c>
      <c r="AA1738" s="2">
        <f t="shared" si="137"/>
        <v>85060.197101488724</v>
      </c>
      <c r="AB1738" s="1">
        <f t="shared" si="138"/>
        <v>8.6176185654720558E-2</v>
      </c>
      <c r="AC1738" s="1" t="b">
        <f t="shared" si="139"/>
        <v>1</v>
      </c>
    </row>
    <row r="1739" spans="1:29" x14ac:dyDescent="0.25">
      <c r="A1739" s="1">
        <v>1175.4580000000001</v>
      </c>
      <c r="B1739">
        <v>1</v>
      </c>
      <c r="D1739" s="2">
        <v>85073.2</v>
      </c>
      <c r="M1739">
        <v>18</v>
      </c>
      <c r="Y1739" s="1">
        <f t="shared" si="135"/>
        <v>1175.4580000000001</v>
      </c>
      <c r="Z1739" s="2">
        <f t="shared" si="136"/>
        <v>85073.2</v>
      </c>
      <c r="AA1739" s="2">
        <f t="shared" si="137"/>
        <v>85073.222522625219</v>
      </c>
      <c r="AB1739" s="1">
        <f t="shared" si="138"/>
        <v>8.6187265951920528E-2</v>
      </c>
      <c r="AC1739" s="1" t="b">
        <f t="shared" si="139"/>
        <v>1</v>
      </c>
    </row>
    <row r="1740" spans="1:29" x14ac:dyDescent="0.25">
      <c r="A1740" s="1">
        <v>1175.4100000000001</v>
      </c>
      <c r="B1740">
        <v>1</v>
      </c>
      <c r="D1740" s="2">
        <v>85076.7</v>
      </c>
      <c r="M1740">
        <v>18</v>
      </c>
      <c r="Y1740" s="1">
        <f t="shared" si="135"/>
        <v>1175.4100000000001</v>
      </c>
      <c r="Z1740" s="2">
        <f t="shared" si="136"/>
        <v>85076.7</v>
      </c>
      <c r="AA1740" s="2">
        <f t="shared" si="137"/>
        <v>85076.696642022784</v>
      </c>
      <c r="AB1740" s="1">
        <f t="shared" si="138"/>
        <v>8.6190221557593844E-2</v>
      </c>
      <c r="AC1740" s="1" t="b">
        <f t="shared" si="139"/>
        <v>1</v>
      </c>
    </row>
    <row r="1741" spans="1:29" x14ac:dyDescent="0.25">
      <c r="A1741" s="1">
        <v>1175.191</v>
      </c>
      <c r="B1741">
        <v>10</v>
      </c>
      <c r="D1741" s="2">
        <v>85092.6</v>
      </c>
      <c r="M1741">
        <v>18</v>
      </c>
      <c r="Y1741" s="1">
        <f t="shared" si="135"/>
        <v>1175.191</v>
      </c>
      <c r="Z1741" s="2">
        <f t="shared" si="136"/>
        <v>85092.6</v>
      </c>
      <c r="AA1741" s="2">
        <f t="shared" si="137"/>
        <v>85092.550913000523</v>
      </c>
      <c r="AB1741" s="1">
        <f t="shared" si="138"/>
        <v>8.6203711104407943E-2</v>
      </c>
      <c r="AC1741" s="1" t="b">
        <f t="shared" si="139"/>
        <v>1</v>
      </c>
    </row>
    <row r="1742" spans="1:29" x14ac:dyDescent="0.25">
      <c r="A1742" s="1">
        <v>1172.829</v>
      </c>
      <c r="B1742">
        <v>30</v>
      </c>
      <c r="D1742" s="2">
        <v>85263.9</v>
      </c>
      <c r="M1742">
        <v>18</v>
      </c>
      <c r="Y1742" s="1">
        <f t="shared" si="135"/>
        <v>1172.829</v>
      </c>
      <c r="Z1742" s="2">
        <f t="shared" si="136"/>
        <v>85263.9</v>
      </c>
      <c r="AA1742" s="2">
        <f t="shared" si="137"/>
        <v>85263.921679972103</v>
      </c>
      <c r="AB1742" s="1">
        <f t="shared" si="138"/>
        <v>8.634968170124209E-2</v>
      </c>
      <c r="AC1742" s="1" t="b">
        <f t="shared" si="139"/>
        <v>1</v>
      </c>
    </row>
    <row r="1743" spans="1:29" x14ac:dyDescent="0.25">
      <c r="A1743" s="1">
        <v>1171.087</v>
      </c>
      <c r="B1743">
        <v>4</v>
      </c>
      <c r="D1743" s="2">
        <v>85390.8</v>
      </c>
      <c r="M1743">
        <v>18</v>
      </c>
      <c r="Y1743" s="1">
        <f t="shared" si="135"/>
        <v>1171.087</v>
      </c>
      <c r="Z1743" s="2">
        <f t="shared" si="136"/>
        <v>85390.8</v>
      </c>
      <c r="AA1743" s="2">
        <f t="shared" si="137"/>
        <v>85390.752352301744</v>
      </c>
      <c r="AB1743" s="1">
        <f t="shared" si="138"/>
        <v>8.6457902936460634E-2</v>
      </c>
      <c r="AC1743" s="1" t="b">
        <f t="shared" si="139"/>
        <v>1</v>
      </c>
    </row>
    <row r="1744" spans="1:29" x14ac:dyDescent="0.25">
      <c r="A1744" s="1">
        <v>1170.5640000000001</v>
      </c>
      <c r="B1744">
        <v>10</v>
      </c>
      <c r="D1744" s="2">
        <v>85428.9</v>
      </c>
      <c r="M1744">
        <v>18</v>
      </c>
      <c r="Y1744" s="1">
        <f t="shared" si="135"/>
        <v>1170.5640000000001</v>
      </c>
      <c r="Z1744" s="2">
        <f t="shared" si="136"/>
        <v>85428.9</v>
      </c>
      <c r="AA1744" s="2">
        <f t="shared" si="137"/>
        <v>85428.904357215826</v>
      </c>
      <c r="AB1744" s="1">
        <f t="shared" si="138"/>
        <v>8.6490488498371654E-2</v>
      </c>
      <c r="AC1744" s="1" t="b">
        <f t="shared" si="139"/>
        <v>1</v>
      </c>
    </row>
    <row r="1745" spans="1:29" x14ac:dyDescent="0.25">
      <c r="A1745" s="1">
        <v>1169.104</v>
      </c>
      <c r="B1745">
        <v>10</v>
      </c>
      <c r="D1745" s="2">
        <v>85535.6</v>
      </c>
      <c r="M1745">
        <v>18</v>
      </c>
      <c r="Y1745" s="1">
        <f t="shared" si="135"/>
        <v>1169.104</v>
      </c>
      <c r="Z1745" s="2">
        <f t="shared" si="136"/>
        <v>85535.6</v>
      </c>
      <c r="AA1745" s="2">
        <f t="shared" si="137"/>
        <v>85535.589648140798</v>
      </c>
      <c r="AB1745" s="1">
        <f t="shared" si="138"/>
        <v>8.6581685482275655E-2</v>
      </c>
      <c r="AC1745" s="1" t="b">
        <f t="shared" si="139"/>
        <v>1</v>
      </c>
    </row>
    <row r="1746" spans="1:29" x14ac:dyDescent="0.25">
      <c r="A1746" s="1">
        <v>1166.8040000000001</v>
      </c>
      <c r="B1746">
        <v>10</v>
      </c>
      <c r="D1746" s="2">
        <v>85704.2</v>
      </c>
      <c r="E1746">
        <v>35828</v>
      </c>
      <c r="F1746" t="s">
        <v>15</v>
      </c>
      <c r="G1746" t="s">
        <v>16</v>
      </c>
      <c r="H1746">
        <v>121532</v>
      </c>
      <c r="I1746" t="s">
        <v>17</v>
      </c>
      <c r="J1746" t="s">
        <v>23</v>
      </c>
      <c r="K1746">
        <v>35828.46</v>
      </c>
      <c r="L1746">
        <v>121532.5</v>
      </c>
      <c r="M1746">
        <v>18</v>
      </c>
      <c r="Y1746" s="1">
        <f t="shared" si="135"/>
        <v>1166.8040000000001</v>
      </c>
      <c r="Z1746" s="2">
        <f t="shared" si="136"/>
        <v>85704.2</v>
      </c>
      <c r="AA1746" s="2">
        <f t="shared" si="137"/>
        <v>85704.197105940664</v>
      </c>
      <c r="AB1746" s="1">
        <f t="shared" si="138"/>
        <v>8.672604700786965E-2</v>
      </c>
      <c r="AC1746" s="1" t="b">
        <f t="shared" si="139"/>
        <v>1</v>
      </c>
    </row>
    <row r="1747" spans="1:29" x14ac:dyDescent="0.25">
      <c r="A1747" s="1">
        <v>1165.4459999999999</v>
      </c>
      <c r="B1747">
        <v>3</v>
      </c>
      <c r="D1747" s="2">
        <v>85804.1</v>
      </c>
      <c r="E1747">
        <v>30505</v>
      </c>
      <c r="F1747" t="s">
        <v>15</v>
      </c>
      <c r="G1747" t="s">
        <v>23</v>
      </c>
      <c r="H1747">
        <v>116309</v>
      </c>
      <c r="I1747" t="s">
        <v>17</v>
      </c>
      <c r="J1747" t="s">
        <v>23</v>
      </c>
      <c r="K1747">
        <v>30505.72</v>
      </c>
      <c r="L1747">
        <v>116309.2</v>
      </c>
      <c r="M1747">
        <v>18</v>
      </c>
      <c r="Y1747" s="1">
        <f t="shared" si="135"/>
        <v>1165.4459999999999</v>
      </c>
      <c r="Z1747" s="2">
        <f t="shared" si="136"/>
        <v>85804.1</v>
      </c>
      <c r="AA1747" s="2">
        <f t="shared" si="137"/>
        <v>85804.061277828412</v>
      </c>
      <c r="AB1747" s="1">
        <f t="shared" si="138"/>
        <v>8.6811684658846672E-2</v>
      </c>
      <c r="AC1747" s="1" t="b">
        <f t="shared" si="139"/>
        <v>1</v>
      </c>
    </row>
    <row r="1748" spans="1:29" x14ac:dyDescent="0.25">
      <c r="A1748" s="1">
        <v>1164.6590000000001</v>
      </c>
      <c r="B1748">
        <v>1</v>
      </c>
      <c r="D1748" s="2">
        <v>85862</v>
      </c>
      <c r="E1748">
        <v>24470</v>
      </c>
      <c r="F1748" t="s">
        <v>15</v>
      </c>
      <c r="G1748" t="s">
        <v>18</v>
      </c>
      <c r="H1748">
        <v>110333</v>
      </c>
      <c r="I1748" t="s">
        <v>17</v>
      </c>
      <c r="J1748" t="s">
        <v>18</v>
      </c>
      <c r="K1748">
        <v>24470.9</v>
      </c>
      <c r="L1748">
        <v>110333.5</v>
      </c>
      <c r="M1748">
        <v>18</v>
      </c>
      <c r="Y1748" s="1">
        <f t="shared" si="135"/>
        <v>1164.6590000000001</v>
      </c>
      <c r="Z1748" s="2">
        <f t="shared" si="136"/>
        <v>85862</v>
      </c>
      <c r="AA1748" s="2">
        <f t="shared" si="137"/>
        <v>85862.042022600595</v>
      </c>
      <c r="AB1748" s="1">
        <f t="shared" si="138"/>
        <v>8.6861451301454159E-2</v>
      </c>
      <c r="AC1748" s="1" t="b">
        <f t="shared" si="139"/>
        <v>1</v>
      </c>
    </row>
    <row r="1749" spans="1:29" x14ac:dyDescent="0.25">
      <c r="A1749" s="1">
        <v>1163.8050000000001</v>
      </c>
      <c r="B1749">
        <v>4</v>
      </c>
      <c r="D1749" s="2">
        <v>85925</v>
      </c>
      <c r="M1749">
        <v>18</v>
      </c>
      <c r="Y1749" s="1">
        <f t="shared" si="135"/>
        <v>1163.8050000000001</v>
      </c>
      <c r="Z1749" s="2">
        <f t="shared" si="136"/>
        <v>85925</v>
      </c>
      <c r="AA1749" s="2">
        <f t="shared" si="137"/>
        <v>85925.047580995088</v>
      </c>
      <c r="AB1749" s="1">
        <f t="shared" si="138"/>
        <v>8.6915569008981355E-2</v>
      </c>
      <c r="AC1749" s="1" t="b">
        <f t="shared" si="139"/>
        <v>1</v>
      </c>
    </row>
    <row r="1750" spans="1:29" x14ac:dyDescent="0.25">
      <c r="A1750" s="1">
        <v>1163.3240000000001</v>
      </c>
      <c r="B1750">
        <v>3</v>
      </c>
      <c r="C1750" t="s">
        <v>124</v>
      </c>
      <c r="D1750" s="2">
        <v>85960.6</v>
      </c>
      <c r="M1750">
        <v>18</v>
      </c>
      <c r="Y1750" s="1">
        <f t="shared" si="135"/>
        <v>1163.3240000000001</v>
      </c>
      <c r="Z1750" s="2">
        <f t="shared" si="136"/>
        <v>85960.6</v>
      </c>
      <c r="AA1750" s="2">
        <f t="shared" si="137"/>
        <v>85960.575041862801</v>
      </c>
      <c r="AB1750" s="1">
        <f t="shared" si="138"/>
        <v>8.6946102307638634E-2</v>
      </c>
      <c r="AC1750" s="1" t="b">
        <f t="shared" si="139"/>
        <v>1</v>
      </c>
    </row>
    <row r="1751" spans="1:29" x14ac:dyDescent="0.25">
      <c r="A1751" s="1">
        <v>1161.5319999999999</v>
      </c>
      <c r="B1751">
        <v>7</v>
      </c>
      <c r="D1751" s="2">
        <v>86093.2</v>
      </c>
      <c r="E1751">
        <v>24788</v>
      </c>
      <c r="F1751" t="s">
        <v>15</v>
      </c>
      <c r="G1751" t="s">
        <v>16</v>
      </c>
      <c r="H1751">
        <v>110881</v>
      </c>
      <c r="I1751" t="s">
        <v>17</v>
      </c>
      <c r="J1751" t="s">
        <v>23</v>
      </c>
      <c r="K1751">
        <v>24788.02</v>
      </c>
      <c r="L1751">
        <v>110881.1</v>
      </c>
      <c r="M1751">
        <v>18</v>
      </c>
      <c r="Y1751" s="1">
        <f t="shared" si="135"/>
        <v>1161.5319999999999</v>
      </c>
      <c r="Z1751" s="2">
        <f t="shared" si="136"/>
        <v>86093.2</v>
      </c>
      <c r="AA1751" s="2">
        <f t="shared" si="137"/>
        <v>86093.194160815212</v>
      </c>
      <c r="AB1751" s="1">
        <f t="shared" si="138"/>
        <v>8.7060190404059129E-2</v>
      </c>
      <c r="AC1751" s="1" t="b">
        <f t="shared" si="139"/>
        <v>1</v>
      </c>
    </row>
    <row r="1752" spans="1:29" x14ac:dyDescent="0.25">
      <c r="A1752" s="1">
        <v>1161.46</v>
      </c>
      <c r="B1752">
        <v>8</v>
      </c>
      <c r="D1752" s="2">
        <v>86098.5</v>
      </c>
      <c r="E1752">
        <v>29835</v>
      </c>
      <c r="F1752" t="s">
        <v>15</v>
      </c>
      <c r="G1752" t="s">
        <v>16</v>
      </c>
      <c r="H1752">
        <v>115933</v>
      </c>
      <c r="I1752" t="s">
        <v>17</v>
      </c>
      <c r="J1752" t="s">
        <v>23</v>
      </c>
      <c r="K1752">
        <v>29835.09</v>
      </c>
      <c r="L1752">
        <v>115933.2</v>
      </c>
      <c r="M1752">
        <v>18</v>
      </c>
      <c r="Y1752" s="1">
        <f t="shared" si="135"/>
        <v>1161.46</v>
      </c>
      <c r="Z1752" s="2">
        <f t="shared" si="136"/>
        <v>86098.5</v>
      </c>
      <c r="AA1752" s="2">
        <f t="shared" si="137"/>
        <v>86098.531159058417</v>
      </c>
      <c r="AB1752" s="1">
        <f t="shared" si="138"/>
        <v>8.7064785338736767E-2</v>
      </c>
      <c r="AC1752" s="1" t="b">
        <f t="shared" si="139"/>
        <v>1</v>
      </c>
    </row>
    <row r="1753" spans="1:29" x14ac:dyDescent="0.25">
      <c r="A1753" s="1">
        <v>1160.8920000000001</v>
      </c>
      <c r="B1753">
        <v>2</v>
      </c>
      <c r="D1753" s="2">
        <v>86140.7</v>
      </c>
      <c r="E1753">
        <v>29263</v>
      </c>
      <c r="F1753" t="s">
        <v>15</v>
      </c>
      <c r="G1753" t="s">
        <v>50</v>
      </c>
      <c r="H1753">
        <v>115403</v>
      </c>
      <c r="I1753" t="s">
        <v>17</v>
      </c>
      <c r="J1753" t="s">
        <v>23</v>
      </c>
      <c r="K1753">
        <v>29263.08</v>
      </c>
      <c r="L1753">
        <v>115403.3</v>
      </c>
      <c r="M1753">
        <v>18</v>
      </c>
      <c r="Y1753" s="1">
        <f t="shared" si="135"/>
        <v>1160.8920000000001</v>
      </c>
      <c r="Z1753" s="2">
        <f t="shared" si="136"/>
        <v>86140.7</v>
      </c>
      <c r="AA1753" s="2">
        <f t="shared" si="137"/>
        <v>86140.657356584416</v>
      </c>
      <c r="AB1753" s="1">
        <f t="shared" si="138"/>
        <v>8.7101064249122409E-2</v>
      </c>
      <c r="AC1753" s="1" t="b">
        <f t="shared" si="139"/>
        <v>1</v>
      </c>
    </row>
    <row r="1754" spans="1:29" x14ac:dyDescent="0.25">
      <c r="A1754" s="1">
        <v>1160.8209999999999</v>
      </c>
      <c r="B1754">
        <v>3</v>
      </c>
      <c r="D1754" s="2">
        <v>86145.9</v>
      </c>
      <c r="E1754">
        <v>29263</v>
      </c>
      <c r="F1754" t="s">
        <v>15</v>
      </c>
      <c r="G1754" t="s">
        <v>50</v>
      </c>
      <c r="H1754">
        <v>115408</v>
      </c>
      <c r="I1754" t="s">
        <v>17</v>
      </c>
      <c r="J1754" t="s">
        <v>50</v>
      </c>
      <c r="K1754">
        <v>29263.08</v>
      </c>
      <c r="L1754">
        <v>115408.4</v>
      </c>
      <c r="M1754">
        <v>18</v>
      </c>
      <c r="Y1754" s="1">
        <f t="shared" si="135"/>
        <v>1160.8209999999999</v>
      </c>
      <c r="Z1754" s="2">
        <f t="shared" si="136"/>
        <v>86145.9</v>
      </c>
      <c r="AA1754" s="2">
        <f t="shared" si="137"/>
        <v>86145.926029939161</v>
      </c>
      <c r="AB1754" s="1">
        <f t="shared" si="138"/>
        <v>8.7105602857778755E-2</v>
      </c>
      <c r="AC1754" s="1" t="b">
        <f t="shared" si="139"/>
        <v>1</v>
      </c>
    </row>
    <row r="1755" spans="1:29" x14ac:dyDescent="0.25">
      <c r="A1755" s="1">
        <v>1160.7170000000001</v>
      </c>
      <c r="B1755">
        <v>10</v>
      </c>
      <c r="D1755" s="2">
        <v>86153.600000000006</v>
      </c>
      <c r="E1755">
        <v>27138</v>
      </c>
      <c r="F1755" t="s">
        <v>15</v>
      </c>
      <c r="G1755" t="s">
        <v>18</v>
      </c>
      <c r="H1755">
        <v>113291</v>
      </c>
      <c r="I1755" t="s">
        <v>17</v>
      </c>
      <c r="J1755" t="s">
        <v>18</v>
      </c>
      <c r="K1755">
        <v>27138.55</v>
      </c>
      <c r="L1755">
        <v>113291.8</v>
      </c>
      <c r="M1755">
        <v>18</v>
      </c>
      <c r="Y1755" s="1">
        <f t="shared" si="135"/>
        <v>1160.7170000000001</v>
      </c>
      <c r="Z1755" s="2">
        <f t="shared" si="136"/>
        <v>86153.600000000006</v>
      </c>
      <c r="AA1755" s="2">
        <f t="shared" si="137"/>
        <v>86153.644686861648</v>
      </c>
      <c r="AB1755" s="1">
        <f t="shared" si="138"/>
        <v>8.7112252464150025E-2</v>
      </c>
      <c r="AC1755" s="1" t="b">
        <f t="shared" si="139"/>
        <v>1</v>
      </c>
    </row>
    <row r="1756" spans="1:29" x14ac:dyDescent="0.25">
      <c r="A1756" s="1">
        <v>1160.4090000000001</v>
      </c>
      <c r="B1756">
        <v>4</v>
      </c>
      <c r="D1756" s="2">
        <v>86176.5</v>
      </c>
      <c r="E1756">
        <v>27604</v>
      </c>
      <c r="F1756" t="s">
        <v>15</v>
      </c>
      <c r="G1756" t="s">
        <v>16</v>
      </c>
      <c r="H1756">
        <v>113780</v>
      </c>
      <c r="I1756" t="s">
        <v>17</v>
      </c>
      <c r="J1756" t="s">
        <v>16</v>
      </c>
      <c r="K1756">
        <v>27604.26</v>
      </c>
      <c r="L1756">
        <v>113780.5</v>
      </c>
      <c r="M1756">
        <v>18</v>
      </c>
      <c r="Y1756" s="1">
        <f t="shared" si="135"/>
        <v>1160.4090000000001</v>
      </c>
      <c r="Z1756" s="2">
        <f t="shared" si="136"/>
        <v>86176.5</v>
      </c>
      <c r="AA1756" s="2">
        <f t="shared" si="137"/>
        <v>86176.511902268932</v>
      </c>
      <c r="AB1756" s="1">
        <f t="shared" si="138"/>
        <v>8.71319560182095E-2</v>
      </c>
      <c r="AC1756" s="1" t="b">
        <f t="shared" si="139"/>
        <v>1</v>
      </c>
    </row>
    <row r="1757" spans="1:29" x14ac:dyDescent="0.25">
      <c r="A1757" s="1">
        <v>1159.818</v>
      </c>
      <c r="B1757">
        <v>20</v>
      </c>
      <c r="D1757" s="2">
        <v>86220.4</v>
      </c>
      <c r="E1757">
        <v>27380</v>
      </c>
      <c r="F1757" t="s">
        <v>15</v>
      </c>
      <c r="G1757" t="s">
        <v>23</v>
      </c>
      <c r="H1757">
        <v>113600</v>
      </c>
      <c r="I1757" t="s">
        <v>17</v>
      </c>
      <c r="J1757" t="s">
        <v>50</v>
      </c>
      <c r="K1757">
        <v>27380.31</v>
      </c>
      <c r="L1757">
        <v>113600.3</v>
      </c>
      <c r="M1757">
        <v>18</v>
      </c>
      <c r="Y1757" s="1">
        <f t="shared" si="135"/>
        <v>1159.818</v>
      </c>
      <c r="Z1757" s="2">
        <f t="shared" si="136"/>
        <v>86220.4</v>
      </c>
      <c r="AA1757" s="2">
        <f t="shared" si="137"/>
        <v>86220.424238975422</v>
      </c>
      <c r="AB1757" s="1">
        <f t="shared" si="138"/>
        <v>8.7169807779744507E-2</v>
      </c>
      <c r="AC1757" s="1" t="b">
        <f t="shared" si="139"/>
        <v>1</v>
      </c>
    </row>
    <row r="1758" spans="1:29" x14ac:dyDescent="0.25">
      <c r="A1758" s="1">
        <v>1159.4970000000001</v>
      </c>
      <c r="B1758">
        <v>10</v>
      </c>
      <c r="D1758" s="2">
        <v>86244.3</v>
      </c>
      <c r="M1758">
        <v>18</v>
      </c>
      <c r="Y1758" s="1">
        <f t="shared" si="135"/>
        <v>1159.4970000000001</v>
      </c>
      <c r="Z1758" s="2">
        <f t="shared" si="136"/>
        <v>86244.3</v>
      </c>
      <c r="AA1758" s="2">
        <f t="shared" si="137"/>
        <v>86244.293861907354</v>
      </c>
      <c r="AB1758" s="1">
        <f t="shared" si="138"/>
        <v>8.7190391118695157E-2</v>
      </c>
      <c r="AC1758" s="1" t="b">
        <f t="shared" si="139"/>
        <v>1</v>
      </c>
    </row>
    <row r="1759" spans="1:29" x14ac:dyDescent="0.25">
      <c r="A1759" s="1">
        <v>1158.8710000000001</v>
      </c>
      <c r="B1759">
        <v>1</v>
      </c>
      <c r="D1759" s="2">
        <v>86290.9</v>
      </c>
      <c r="M1759">
        <v>18</v>
      </c>
      <c r="Y1759" s="1">
        <f t="shared" si="135"/>
        <v>1158.8710000000001</v>
      </c>
      <c r="Z1759" s="2">
        <f t="shared" si="136"/>
        <v>86290.9</v>
      </c>
      <c r="AA1759" s="2">
        <f t="shared" si="137"/>
        <v>86290.881383691536</v>
      </c>
      <c r="AB1759" s="1">
        <f t="shared" si="138"/>
        <v>8.7230581049871608E-2</v>
      </c>
      <c r="AC1759" s="1" t="b">
        <f t="shared" si="139"/>
        <v>1</v>
      </c>
    </row>
    <row r="1760" spans="1:29" x14ac:dyDescent="0.25">
      <c r="A1760" s="1">
        <v>1158.222</v>
      </c>
      <c r="B1760">
        <v>5</v>
      </c>
      <c r="C1760" t="s">
        <v>123</v>
      </c>
      <c r="D1760" s="2">
        <v>86339.199999999997</v>
      </c>
      <c r="M1760">
        <v>18</v>
      </c>
      <c r="Y1760" s="1">
        <f t="shared" si="135"/>
        <v>1158.222</v>
      </c>
      <c r="Z1760" s="2">
        <f t="shared" si="136"/>
        <v>86339.199999999997</v>
      </c>
      <c r="AA1760" s="2">
        <f t="shared" si="137"/>
        <v>86339.233756568254</v>
      </c>
      <c r="AB1760" s="1">
        <f t="shared" si="138"/>
        <v>8.7272316428356672E-2</v>
      </c>
      <c r="AC1760" s="1" t="b">
        <f t="shared" si="139"/>
        <v>1</v>
      </c>
    </row>
    <row r="1761" spans="1:29" x14ac:dyDescent="0.25">
      <c r="A1761" s="1">
        <v>1157.9639999999999</v>
      </c>
      <c r="B1761">
        <v>2</v>
      </c>
      <c r="D1761" s="2">
        <v>86358.5</v>
      </c>
      <c r="E1761">
        <v>35024</v>
      </c>
      <c r="F1761" t="s">
        <v>15</v>
      </c>
      <c r="G1761" t="s">
        <v>18</v>
      </c>
      <c r="H1761">
        <v>121382</v>
      </c>
      <c r="I1761" t="s">
        <v>17</v>
      </c>
      <c r="J1761" t="s">
        <v>16</v>
      </c>
      <c r="K1761">
        <v>35024.49</v>
      </c>
      <c r="L1761">
        <v>121382.6</v>
      </c>
      <c r="M1761">
        <v>18</v>
      </c>
      <c r="Y1761" s="1">
        <f t="shared" si="135"/>
        <v>1157.9639999999999</v>
      </c>
      <c r="Z1761" s="2">
        <f t="shared" si="136"/>
        <v>86358.5</v>
      </c>
      <c r="AA1761" s="2">
        <f t="shared" si="137"/>
        <v>86358.470556943052</v>
      </c>
      <c r="AB1761" s="1">
        <f t="shared" si="138"/>
        <v>8.7288927184672002E-2</v>
      </c>
      <c r="AC1761" s="1" t="b">
        <f t="shared" si="139"/>
        <v>1</v>
      </c>
    </row>
    <row r="1762" spans="1:29" x14ac:dyDescent="0.25">
      <c r="A1762" s="1">
        <v>1157.912</v>
      </c>
      <c r="B1762">
        <v>40</v>
      </c>
      <c r="D1762" s="2">
        <v>86362.3</v>
      </c>
      <c r="M1762">
        <v>18</v>
      </c>
      <c r="Y1762" s="1">
        <f t="shared" si="135"/>
        <v>1157.912</v>
      </c>
      <c r="Z1762" s="2">
        <f t="shared" si="136"/>
        <v>86362.3</v>
      </c>
      <c r="AA1762" s="2">
        <f t="shared" si="137"/>
        <v>86362.348779527281</v>
      </c>
      <c r="AB1762" s="1">
        <f t="shared" si="138"/>
        <v>8.7292276433583588E-2</v>
      </c>
      <c r="AC1762" s="1" t="b">
        <f t="shared" si="139"/>
        <v>1</v>
      </c>
    </row>
    <row r="1763" spans="1:29" x14ac:dyDescent="0.25">
      <c r="A1763" s="1">
        <v>1157.279</v>
      </c>
      <c r="B1763">
        <v>20</v>
      </c>
      <c r="D1763" s="2">
        <v>86409.600000000006</v>
      </c>
      <c r="E1763">
        <v>29263</v>
      </c>
      <c r="F1763" t="s">
        <v>15</v>
      </c>
      <c r="G1763" t="s">
        <v>50</v>
      </c>
      <c r="H1763">
        <v>115672</v>
      </c>
      <c r="I1763" t="s">
        <v>17</v>
      </c>
      <c r="J1763" t="s">
        <v>57</v>
      </c>
      <c r="K1763">
        <v>29263.08</v>
      </c>
      <c r="L1763">
        <v>115672.2</v>
      </c>
      <c r="M1763">
        <v>18</v>
      </c>
      <c r="Y1763" s="1">
        <f t="shared" si="135"/>
        <v>1157.279</v>
      </c>
      <c r="Z1763" s="2">
        <f t="shared" si="136"/>
        <v>86409.600000000006</v>
      </c>
      <c r="AA1763" s="2">
        <f t="shared" si="137"/>
        <v>86409.586625178548</v>
      </c>
      <c r="AB1763" s="1">
        <f t="shared" si="138"/>
        <v>8.7333083303671177E-2</v>
      </c>
      <c r="AC1763" s="1" t="b">
        <f t="shared" si="139"/>
        <v>1</v>
      </c>
    </row>
    <row r="1764" spans="1:29" x14ac:dyDescent="0.25">
      <c r="A1764" s="1">
        <v>1156.4100000000001</v>
      </c>
      <c r="B1764">
        <v>15</v>
      </c>
      <c r="D1764" s="2">
        <v>86474.5</v>
      </c>
      <c r="E1764">
        <v>29835</v>
      </c>
      <c r="F1764" t="s">
        <v>15</v>
      </c>
      <c r="G1764" t="s">
        <v>16</v>
      </c>
      <c r="H1764">
        <v>116309</v>
      </c>
      <c r="I1764" t="s">
        <v>17</v>
      </c>
      <c r="J1764" t="s">
        <v>23</v>
      </c>
      <c r="K1764">
        <v>29835.09</v>
      </c>
      <c r="L1764">
        <v>116309.2</v>
      </c>
      <c r="M1764">
        <v>18</v>
      </c>
      <c r="Y1764" s="1">
        <f t="shared" si="135"/>
        <v>1156.4100000000001</v>
      </c>
      <c r="Z1764" s="2">
        <f t="shared" si="136"/>
        <v>86474.5</v>
      </c>
      <c r="AA1764" s="2">
        <f t="shared" si="137"/>
        <v>86474.520282598722</v>
      </c>
      <c r="AB1764" s="1">
        <f t="shared" si="138"/>
        <v>8.7389213290527901E-2</v>
      </c>
      <c r="AC1764" s="1" t="b">
        <f t="shared" si="139"/>
        <v>1</v>
      </c>
    </row>
    <row r="1765" spans="1:29" x14ac:dyDescent="0.25">
      <c r="A1765" s="1">
        <v>1155.8710000000001</v>
      </c>
      <c r="B1765">
        <v>3</v>
      </c>
      <c r="D1765" s="2">
        <v>86514.8</v>
      </c>
      <c r="M1765">
        <v>18</v>
      </c>
      <c r="Y1765" s="1">
        <f t="shared" si="135"/>
        <v>1155.8710000000001</v>
      </c>
      <c r="Z1765" s="2">
        <f t="shared" si="136"/>
        <v>86514.8</v>
      </c>
      <c r="AA1765" s="2">
        <f t="shared" si="137"/>
        <v>86514.844649619205</v>
      </c>
      <c r="AB1765" s="1">
        <f t="shared" si="138"/>
        <v>8.7424091723738717E-2</v>
      </c>
      <c r="AC1765" s="1" t="b">
        <f t="shared" si="139"/>
        <v>1</v>
      </c>
    </row>
    <row r="1766" spans="1:29" x14ac:dyDescent="0.25">
      <c r="A1766" s="1">
        <v>1155.7470000000001</v>
      </c>
      <c r="B1766">
        <v>40</v>
      </c>
      <c r="D1766" s="2">
        <v>86524.1</v>
      </c>
      <c r="M1766">
        <v>18</v>
      </c>
      <c r="Y1766" s="1">
        <f t="shared" si="135"/>
        <v>1155.7470000000001</v>
      </c>
      <c r="Z1766" s="2">
        <f t="shared" si="136"/>
        <v>86524.1</v>
      </c>
      <c r="AA1766" s="2">
        <f t="shared" si="137"/>
        <v>86524.126820143152</v>
      </c>
      <c r="AB1766" s="1">
        <f t="shared" si="138"/>
        <v>8.7432122609941085E-2</v>
      </c>
      <c r="AC1766" s="1" t="b">
        <f t="shared" si="139"/>
        <v>1</v>
      </c>
    </row>
    <row r="1767" spans="1:29" x14ac:dyDescent="0.25">
      <c r="A1767" s="1">
        <v>1155.635</v>
      </c>
      <c r="B1767">
        <v>2</v>
      </c>
      <c r="D1767" s="2">
        <v>86532.5</v>
      </c>
      <c r="E1767">
        <v>29267</v>
      </c>
      <c r="F1767" t="s">
        <v>15</v>
      </c>
      <c r="G1767" t="s">
        <v>28</v>
      </c>
      <c r="H1767">
        <v>115800</v>
      </c>
      <c r="I1767" t="s">
        <v>17</v>
      </c>
      <c r="J1767" t="s">
        <v>28</v>
      </c>
      <c r="K1767">
        <v>29267.86</v>
      </c>
      <c r="L1767">
        <v>115800</v>
      </c>
      <c r="M1767">
        <v>18</v>
      </c>
      <c r="Y1767" s="1">
        <f t="shared" si="135"/>
        <v>1155.635</v>
      </c>
      <c r="Z1767" s="2">
        <f t="shared" si="136"/>
        <v>86532.5</v>
      </c>
      <c r="AA1767" s="2">
        <f t="shared" si="137"/>
        <v>86532.512428232105</v>
      </c>
      <c r="AB1767" s="1">
        <f t="shared" si="138"/>
        <v>8.7439378535710724E-2</v>
      </c>
      <c r="AC1767" s="1" t="b">
        <f t="shared" si="139"/>
        <v>1</v>
      </c>
    </row>
    <row r="1768" spans="1:29" x14ac:dyDescent="0.25">
      <c r="A1768" s="1">
        <v>1154.7049999999999</v>
      </c>
      <c r="B1768">
        <v>1</v>
      </c>
      <c r="D1768" s="2">
        <v>86602.2</v>
      </c>
      <c r="M1768">
        <v>18</v>
      </c>
      <c r="Y1768" s="1">
        <f t="shared" si="135"/>
        <v>1154.7049999999999</v>
      </c>
      <c r="Z1768" s="2">
        <f t="shared" si="136"/>
        <v>86602.2</v>
      </c>
      <c r="AA1768" s="2">
        <f t="shared" si="137"/>
        <v>86602.205758180673</v>
      </c>
      <c r="AB1768" s="1">
        <f t="shared" si="138"/>
        <v>8.7499710210911311E-2</v>
      </c>
      <c r="AC1768" s="1" t="b">
        <f t="shared" si="139"/>
        <v>1</v>
      </c>
    </row>
    <row r="1769" spans="1:29" x14ac:dyDescent="0.25">
      <c r="A1769" s="1">
        <v>1154.5260000000001</v>
      </c>
      <c r="B1769">
        <v>1</v>
      </c>
      <c r="D1769" s="2">
        <v>86615.6</v>
      </c>
      <c r="M1769">
        <v>18</v>
      </c>
      <c r="Y1769" s="1">
        <f t="shared" si="135"/>
        <v>1154.5260000000001</v>
      </c>
      <c r="Z1769" s="2">
        <f t="shared" si="136"/>
        <v>86615.6</v>
      </c>
      <c r="AA1769" s="2">
        <f t="shared" si="137"/>
        <v>86615.6327358587</v>
      </c>
      <c r="AB1769" s="1">
        <f t="shared" si="138"/>
        <v>8.7511339171165797E-2</v>
      </c>
      <c r="AC1769" s="1" t="b">
        <f t="shared" si="139"/>
        <v>1</v>
      </c>
    </row>
    <row r="1770" spans="1:29" x14ac:dyDescent="0.25">
      <c r="A1770" s="1">
        <v>1154.0909999999999</v>
      </c>
      <c r="B1770">
        <v>1</v>
      </c>
      <c r="D1770" s="2">
        <v>86648.3</v>
      </c>
      <c r="M1770">
        <v>18</v>
      </c>
      <c r="Y1770" s="1">
        <f t="shared" si="135"/>
        <v>1154.0909999999999</v>
      </c>
      <c r="Z1770" s="2">
        <f t="shared" si="136"/>
        <v>86648.3</v>
      </c>
      <c r="AA1770" s="2">
        <f t="shared" si="137"/>
        <v>86648.279901671543</v>
      </c>
      <c r="AB1770" s="1">
        <f t="shared" si="138"/>
        <v>8.7539622049592092E-2</v>
      </c>
      <c r="AC1770" s="1" t="b">
        <f t="shared" si="139"/>
        <v>1</v>
      </c>
    </row>
    <row r="1771" spans="1:29" x14ac:dyDescent="0.25">
      <c r="A1771" s="1">
        <v>1153.796</v>
      </c>
      <c r="B1771">
        <v>5</v>
      </c>
      <c r="D1771" s="2">
        <v>86670.399999999994</v>
      </c>
      <c r="E1771">
        <v>29263</v>
      </c>
      <c r="F1771" t="s">
        <v>15</v>
      </c>
      <c r="G1771" t="s">
        <v>50</v>
      </c>
      <c r="H1771">
        <v>115933</v>
      </c>
      <c r="I1771" t="s">
        <v>17</v>
      </c>
      <c r="J1771" t="s">
        <v>23</v>
      </c>
      <c r="K1771">
        <v>29263.08</v>
      </c>
      <c r="L1771">
        <v>115933.2</v>
      </c>
      <c r="M1771">
        <v>18</v>
      </c>
      <c r="Y1771" s="1">
        <f t="shared" si="135"/>
        <v>1153.796</v>
      </c>
      <c r="Z1771" s="2">
        <f t="shared" si="136"/>
        <v>86670.399999999994</v>
      </c>
      <c r="AA1771" s="2">
        <f t="shared" si="137"/>
        <v>86670.433941528652</v>
      </c>
      <c r="AB1771" s="1">
        <f t="shared" si="138"/>
        <v>8.7558820598064413E-2</v>
      </c>
      <c r="AC1771" s="1" t="b">
        <f t="shared" si="139"/>
        <v>1</v>
      </c>
    </row>
    <row r="1772" spans="1:29" x14ac:dyDescent="0.25">
      <c r="A1772" s="1">
        <v>1152.347</v>
      </c>
      <c r="B1772">
        <v>10</v>
      </c>
      <c r="D1772" s="2">
        <v>86779.4</v>
      </c>
      <c r="E1772">
        <v>28720</v>
      </c>
      <c r="F1772" t="s">
        <v>15</v>
      </c>
      <c r="G1772" t="s">
        <v>16</v>
      </c>
      <c r="H1772">
        <v>115499</v>
      </c>
      <c r="I1772" t="s">
        <v>17</v>
      </c>
      <c r="J1772" t="s">
        <v>16</v>
      </c>
      <c r="K1772">
        <v>28720.71</v>
      </c>
      <c r="L1772">
        <v>115499.8</v>
      </c>
      <c r="M1772">
        <v>18</v>
      </c>
      <c r="Y1772" s="1">
        <f t="shared" si="135"/>
        <v>1152.347</v>
      </c>
      <c r="Z1772" s="2">
        <f t="shared" si="136"/>
        <v>86779.4</v>
      </c>
      <c r="AA1772" s="2">
        <f t="shared" si="137"/>
        <v>86779.41626957852</v>
      </c>
      <c r="AB1772" s="1">
        <f t="shared" si="138"/>
        <v>8.7653335440443958E-2</v>
      </c>
      <c r="AC1772" s="1" t="b">
        <f t="shared" si="139"/>
        <v>1</v>
      </c>
    </row>
    <row r="1773" spans="1:29" x14ac:dyDescent="0.25">
      <c r="A1773" s="1">
        <v>1151.922</v>
      </c>
      <c r="B1773">
        <v>2</v>
      </c>
      <c r="D1773" s="2">
        <v>86811.4</v>
      </c>
      <c r="M1773">
        <v>18</v>
      </c>
      <c r="Y1773" s="1">
        <f t="shared" si="135"/>
        <v>1151.922</v>
      </c>
      <c r="Z1773" s="2">
        <f t="shared" si="136"/>
        <v>86811.4</v>
      </c>
      <c r="AA1773" s="2">
        <f t="shared" si="137"/>
        <v>86811.433413026229</v>
      </c>
      <c r="AB1773" s="1">
        <f t="shared" si="138"/>
        <v>8.7681124856121437E-2</v>
      </c>
      <c r="AC1773" s="1" t="b">
        <f t="shared" si="139"/>
        <v>1</v>
      </c>
    </row>
    <row r="1774" spans="1:29" x14ac:dyDescent="0.25">
      <c r="A1774" s="1">
        <v>1151.8630000000001</v>
      </c>
      <c r="B1774">
        <v>3</v>
      </c>
      <c r="D1774" s="2">
        <v>86815.9</v>
      </c>
      <c r="M1774">
        <v>18</v>
      </c>
      <c r="Y1774" s="1">
        <f t="shared" si="135"/>
        <v>1151.8630000000001</v>
      </c>
      <c r="Z1774" s="2">
        <f t="shared" si="136"/>
        <v>86815.9</v>
      </c>
      <c r="AA1774" s="2">
        <f t="shared" si="137"/>
        <v>86815.880013508548</v>
      </c>
      <c r="AB1774" s="1">
        <f t="shared" si="138"/>
        <v>8.7684985112599562E-2</v>
      </c>
      <c r="AC1774" s="1" t="b">
        <f t="shared" si="139"/>
        <v>1</v>
      </c>
    </row>
    <row r="1775" spans="1:29" x14ac:dyDescent="0.25">
      <c r="A1775" s="1">
        <v>1151.7180000000001</v>
      </c>
      <c r="B1775">
        <v>5</v>
      </c>
      <c r="D1775" s="2">
        <v>86826.8</v>
      </c>
      <c r="E1775">
        <v>31254</v>
      </c>
      <c r="F1775" t="s">
        <v>15</v>
      </c>
      <c r="G1775" t="s">
        <v>18</v>
      </c>
      <c r="H1775">
        <v>118081</v>
      </c>
      <c r="I1775" t="s">
        <v>17</v>
      </c>
      <c r="J1775" t="s">
        <v>16</v>
      </c>
      <c r="K1775">
        <v>31254.71</v>
      </c>
      <c r="L1775">
        <v>118081.1</v>
      </c>
      <c r="M1775">
        <v>18</v>
      </c>
      <c r="Y1775" s="1">
        <f t="shared" si="135"/>
        <v>1151.7180000000001</v>
      </c>
      <c r="Z1775" s="2">
        <f t="shared" si="136"/>
        <v>86826.8</v>
      </c>
      <c r="AA1775" s="2">
        <f t="shared" si="137"/>
        <v>86826.81003509539</v>
      </c>
      <c r="AB1775" s="1">
        <f t="shared" si="138"/>
        <v>8.769447470435271E-2</v>
      </c>
      <c r="AC1775" s="1" t="b">
        <f t="shared" si="139"/>
        <v>1</v>
      </c>
    </row>
    <row r="1776" spans="1:29" x14ac:dyDescent="0.25">
      <c r="A1776" s="1">
        <v>1151.53</v>
      </c>
      <c r="B1776">
        <v>10</v>
      </c>
      <c r="D1776" s="2">
        <v>86841</v>
      </c>
      <c r="M1776">
        <v>18</v>
      </c>
      <c r="Y1776" s="1">
        <f t="shared" si="135"/>
        <v>1151.53</v>
      </c>
      <c r="Z1776" s="2">
        <f t="shared" si="136"/>
        <v>86841</v>
      </c>
      <c r="AA1776" s="2">
        <f t="shared" si="137"/>
        <v>86840.98547150314</v>
      </c>
      <c r="AB1776" s="1">
        <f t="shared" si="138"/>
        <v>8.7706783788309095E-2</v>
      </c>
      <c r="AC1776" s="1" t="b">
        <f t="shared" si="139"/>
        <v>1</v>
      </c>
    </row>
    <row r="1777" spans="1:29" x14ac:dyDescent="0.25">
      <c r="A1777" s="1">
        <v>1151.4739999999999</v>
      </c>
      <c r="B1777">
        <v>10</v>
      </c>
      <c r="D1777" s="2">
        <v>86845.2</v>
      </c>
      <c r="E1777">
        <v>26446</v>
      </c>
      <c r="F1777" t="s">
        <v>15</v>
      </c>
      <c r="G1777" t="s">
        <v>18</v>
      </c>
      <c r="H1777">
        <v>113291</v>
      </c>
      <c r="I1777" t="s">
        <v>17</v>
      </c>
      <c r="J1777" t="s">
        <v>18</v>
      </c>
      <c r="K1777">
        <v>26446.97</v>
      </c>
      <c r="L1777">
        <v>113291.8</v>
      </c>
      <c r="M1777">
        <v>18</v>
      </c>
      <c r="Y1777" s="1">
        <f t="shared" si="135"/>
        <v>1151.4739999999999</v>
      </c>
      <c r="Z1777" s="2">
        <f t="shared" si="136"/>
        <v>86845.2</v>
      </c>
      <c r="AA1777" s="2">
        <f t="shared" si="137"/>
        <v>86845.208836673701</v>
      </c>
      <c r="AB1777" s="1">
        <f t="shared" si="138"/>
        <v>8.7710451489427341E-2</v>
      </c>
      <c r="AC1777" s="1" t="b">
        <f t="shared" si="139"/>
        <v>1</v>
      </c>
    </row>
    <row r="1778" spans="1:29" x14ac:dyDescent="0.25">
      <c r="A1778" s="1">
        <v>1150.9559999999999</v>
      </c>
      <c r="B1778">
        <v>2</v>
      </c>
      <c r="D1778" s="2">
        <v>86884.3</v>
      </c>
      <c r="E1778">
        <v>14187</v>
      </c>
      <c r="F1778" t="s">
        <v>17</v>
      </c>
      <c r="G1778" t="s">
        <v>28</v>
      </c>
      <c r="H1778">
        <v>101071</v>
      </c>
      <c r="I1778" t="s">
        <v>15</v>
      </c>
      <c r="J1778" t="s">
        <v>28</v>
      </c>
      <c r="K1778">
        <v>14187.35</v>
      </c>
      <c r="L1778">
        <v>101071.43</v>
      </c>
      <c r="M1778">
        <v>18</v>
      </c>
      <c r="Y1778" s="1">
        <f t="shared" si="135"/>
        <v>1150.9559999999999</v>
      </c>
      <c r="Z1778" s="2">
        <f t="shared" si="136"/>
        <v>86884.3</v>
      </c>
      <c r="AA1778" s="2">
        <f t="shared" si="137"/>
        <v>86884.294447398512</v>
      </c>
      <c r="AB1778" s="1">
        <f t="shared" si="138"/>
        <v>8.7744403108111227E-2</v>
      </c>
      <c r="AC1778" s="1" t="b">
        <f t="shared" si="139"/>
        <v>1</v>
      </c>
    </row>
    <row r="1779" spans="1:29" x14ac:dyDescent="0.25">
      <c r="A1779" s="1">
        <v>1150.518</v>
      </c>
      <c r="B1779">
        <v>20</v>
      </c>
      <c r="D1779" s="2">
        <v>86917.4</v>
      </c>
      <c r="E1779">
        <v>25979</v>
      </c>
      <c r="F1779" t="s">
        <v>15</v>
      </c>
      <c r="G1779" t="s">
        <v>57</v>
      </c>
      <c r="H1779">
        <v>112896</v>
      </c>
      <c r="I1779" t="s">
        <v>17</v>
      </c>
      <c r="J1779" t="s">
        <v>57</v>
      </c>
      <c r="K1779">
        <v>25979.34</v>
      </c>
      <c r="L1779">
        <v>112896.3</v>
      </c>
      <c r="M1779">
        <v>18</v>
      </c>
      <c r="Y1779" s="1">
        <f t="shared" si="135"/>
        <v>1150.518</v>
      </c>
      <c r="Z1779" s="2">
        <f t="shared" si="136"/>
        <v>86917.4</v>
      </c>
      <c r="AA1779" s="2">
        <f t="shared" si="137"/>
        <v>86917.371131959691</v>
      </c>
      <c r="AB1779" s="1">
        <f t="shared" si="138"/>
        <v>8.7773147022454104E-2</v>
      </c>
      <c r="AC1779" s="1" t="b">
        <f t="shared" si="139"/>
        <v>1</v>
      </c>
    </row>
    <row r="1780" spans="1:29" x14ac:dyDescent="0.25">
      <c r="A1780" s="1">
        <v>1149.9559999999999</v>
      </c>
      <c r="B1780">
        <v>30</v>
      </c>
      <c r="D1780" s="2">
        <v>86959.8</v>
      </c>
      <c r="E1780">
        <v>24309</v>
      </c>
      <c r="F1780" t="s">
        <v>15</v>
      </c>
      <c r="G1780" t="s">
        <v>29</v>
      </c>
      <c r="H1780">
        <v>111268</v>
      </c>
      <c r="I1780" t="s">
        <v>17</v>
      </c>
      <c r="J1780" t="s">
        <v>29</v>
      </c>
      <c r="K1780">
        <v>24309.200000000001</v>
      </c>
      <c r="L1780">
        <v>111268.7</v>
      </c>
      <c r="M1780">
        <v>18</v>
      </c>
      <c r="Y1780" s="1">
        <f t="shared" si="135"/>
        <v>1149.9559999999999</v>
      </c>
      <c r="Z1780" s="2">
        <f t="shared" si="136"/>
        <v>86959.8</v>
      </c>
      <c r="AA1780" s="2">
        <f t="shared" si="137"/>
        <v>86959.848898566561</v>
      </c>
      <c r="AB1780" s="1">
        <f t="shared" si="138"/>
        <v>8.7810076602307635E-2</v>
      </c>
      <c r="AC1780" s="1" t="b">
        <f t="shared" si="139"/>
        <v>1</v>
      </c>
    </row>
    <row r="1781" spans="1:29" x14ac:dyDescent="0.25">
      <c r="A1781" s="1">
        <v>1149.74</v>
      </c>
      <c r="B1781">
        <v>20</v>
      </c>
      <c r="D1781" s="2">
        <v>86976.2</v>
      </c>
      <c r="E1781">
        <v>29263</v>
      </c>
      <c r="F1781" t="s">
        <v>15</v>
      </c>
      <c r="G1781" t="s">
        <v>50</v>
      </c>
      <c r="H1781">
        <v>116238</v>
      </c>
      <c r="I1781" t="s">
        <v>17</v>
      </c>
      <c r="J1781" t="s">
        <v>57</v>
      </c>
      <c r="K1781">
        <v>29263.08</v>
      </c>
      <c r="L1781">
        <v>116238.8</v>
      </c>
      <c r="M1781">
        <v>18</v>
      </c>
      <c r="N1781" t="s">
        <v>1093</v>
      </c>
      <c r="Y1781" s="1">
        <f t="shared" si="135"/>
        <v>1149.74</v>
      </c>
      <c r="Z1781" s="2">
        <f t="shared" si="136"/>
        <v>86976.2</v>
      </c>
      <c r="AA1781" s="2">
        <f t="shared" si="137"/>
        <v>86976.185920295029</v>
      </c>
      <c r="AB1781" s="1">
        <f t="shared" si="138"/>
        <v>8.782428458620864E-2</v>
      </c>
      <c r="AC1781" s="1" t="b">
        <f t="shared" si="139"/>
        <v>1</v>
      </c>
    </row>
    <row r="1782" spans="1:29" x14ac:dyDescent="0.25">
      <c r="A1782" s="1">
        <v>1149.18</v>
      </c>
      <c r="B1782">
        <v>5</v>
      </c>
      <c r="D1782" s="2">
        <v>87018.6</v>
      </c>
      <c r="E1782">
        <v>24250</v>
      </c>
      <c r="F1782" t="s">
        <v>15</v>
      </c>
      <c r="G1782" t="s">
        <v>29</v>
      </c>
      <c r="H1782">
        <v>111268</v>
      </c>
      <c r="I1782" t="s">
        <v>17</v>
      </c>
      <c r="J1782" t="s">
        <v>29</v>
      </c>
      <c r="K1782">
        <v>24250.62</v>
      </c>
      <c r="L1782">
        <v>111268.7</v>
      </c>
      <c r="M1782">
        <v>18</v>
      </c>
      <c r="Y1782" s="1">
        <f t="shared" si="135"/>
        <v>1149.18</v>
      </c>
      <c r="Z1782" s="2">
        <f t="shared" si="136"/>
        <v>87018.6</v>
      </c>
      <c r="AA1782" s="2">
        <f t="shared" si="137"/>
        <v>87018.569762787374</v>
      </c>
      <c r="AB1782" s="1">
        <f t="shared" si="138"/>
        <v>8.786115741780548E-2</v>
      </c>
      <c r="AC1782" s="1" t="b">
        <f t="shared" si="139"/>
        <v>1</v>
      </c>
    </row>
    <row r="1783" spans="1:29" x14ac:dyDescent="0.25">
      <c r="A1783" s="1">
        <v>1148.979</v>
      </c>
      <c r="B1783">
        <v>10</v>
      </c>
      <c r="D1783" s="2">
        <v>87033.8</v>
      </c>
      <c r="E1783">
        <v>24461</v>
      </c>
      <c r="F1783" t="s">
        <v>15</v>
      </c>
      <c r="G1783" t="s">
        <v>28</v>
      </c>
      <c r="H1783">
        <v>111494</v>
      </c>
      <c r="I1783" t="s">
        <v>17</v>
      </c>
      <c r="J1783" t="s">
        <v>28</v>
      </c>
      <c r="K1783">
        <v>24461.24</v>
      </c>
      <c r="L1783">
        <v>111494.8</v>
      </c>
      <c r="M1783">
        <v>18</v>
      </c>
      <c r="Y1783" s="1">
        <f t="shared" si="135"/>
        <v>1148.979</v>
      </c>
      <c r="Z1783" s="2">
        <f t="shared" si="136"/>
        <v>87033.8</v>
      </c>
      <c r="AA1783" s="2">
        <f t="shared" si="137"/>
        <v>87033.792610656936</v>
      </c>
      <c r="AB1783" s="1">
        <f t="shared" si="138"/>
        <v>8.7874405280974205E-2</v>
      </c>
      <c r="AC1783" s="1" t="b">
        <f t="shared" si="139"/>
        <v>1</v>
      </c>
    </row>
    <row r="1784" spans="1:29" x14ac:dyDescent="0.25">
      <c r="A1784" s="1">
        <v>1148.836</v>
      </c>
      <c r="B1784">
        <v>100</v>
      </c>
      <c r="D1784" s="2">
        <v>87044.6</v>
      </c>
      <c r="M1784">
        <v>18</v>
      </c>
      <c r="Y1784" s="1">
        <f t="shared" si="135"/>
        <v>1148.836</v>
      </c>
      <c r="Z1784" s="2">
        <f t="shared" si="136"/>
        <v>87044.6</v>
      </c>
      <c r="AA1784" s="2">
        <f t="shared" si="137"/>
        <v>87044.626038877614</v>
      </c>
      <c r="AB1784" s="1">
        <f t="shared" si="138"/>
        <v>8.7883834611240247E-2</v>
      </c>
      <c r="AC1784" s="1" t="b">
        <f t="shared" si="139"/>
        <v>1</v>
      </c>
    </row>
    <row r="1785" spans="1:29" x14ac:dyDescent="0.25">
      <c r="A1785" s="1">
        <v>1148.4929999999999</v>
      </c>
      <c r="B1785">
        <v>20</v>
      </c>
      <c r="C1785" t="s">
        <v>123</v>
      </c>
      <c r="D1785" s="2">
        <v>87070.6</v>
      </c>
      <c r="M1785">
        <v>18</v>
      </c>
      <c r="Y1785" s="1">
        <f t="shared" si="135"/>
        <v>1148.4929999999999</v>
      </c>
      <c r="Z1785" s="2">
        <f t="shared" si="136"/>
        <v>87070.6</v>
      </c>
      <c r="AA1785" s="2">
        <f t="shared" si="137"/>
        <v>87070.622110887925</v>
      </c>
      <c r="AB1785" s="1">
        <f t="shared" si="138"/>
        <v>8.7906466173885228E-2</v>
      </c>
      <c r="AC1785" s="1" t="b">
        <f t="shared" si="139"/>
        <v>1</v>
      </c>
    </row>
    <row r="1786" spans="1:29" x14ac:dyDescent="0.25">
      <c r="A1786" s="1">
        <v>1148.136</v>
      </c>
      <c r="B1786">
        <v>5</v>
      </c>
      <c r="D1786" s="2">
        <v>87097.7</v>
      </c>
      <c r="M1786">
        <v>18</v>
      </c>
      <c r="Y1786" s="1">
        <f t="shared" si="135"/>
        <v>1148.136</v>
      </c>
      <c r="Z1786" s="2">
        <f t="shared" si="136"/>
        <v>87097.7</v>
      </c>
      <c r="AA1786" s="2">
        <f t="shared" si="137"/>
        <v>87097.695743361415</v>
      </c>
      <c r="AB1786" s="1">
        <f t="shared" si="138"/>
        <v>8.7930043019015802E-2</v>
      </c>
      <c r="AC1786" s="1" t="b">
        <f t="shared" si="139"/>
        <v>1</v>
      </c>
    </row>
    <row r="1787" spans="1:29" x14ac:dyDescent="0.25">
      <c r="A1787" s="1">
        <v>1146.7170000000001</v>
      </c>
      <c r="B1787">
        <v>1</v>
      </c>
      <c r="D1787" s="2">
        <v>87205.5</v>
      </c>
      <c r="E1787">
        <v>24788</v>
      </c>
      <c r="F1787" t="s">
        <v>15</v>
      </c>
      <c r="G1787" t="s">
        <v>16</v>
      </c>
      <c r="H1787">
        <v>111993</v>
      </c>
      <c r="I1787" t="s">
        <v>17</v>
      </c>
      <c r="J1787" t="s">
        <v>16</v>
      </c>
      <c r="K1787">
        <v>24788.02</v>
      </c>
      <c r="L1787">
        <v>111993</v>
      </c>
      <c r="M1787">
        <v>18</v>
      </c>
      <c r="Y1787" s="1">
        <f t="shared" si="135"/>
        <v>1146.7170000000001</v>
      </c>
      <c r="Z1787" s="2">
        <f t="shared" si="136"/>
        <v>87205.5</v>
      </c>
      <c r="AA1787" s="2">
        <f t="shared" si="137"/>
        <v>87205.474410861614</v>
      </c>
      <c r="AB1787" s="1">
        <f t="shared" si="138"/>
        <v>8.8023973836117209E-2</v>
      </c>
      <c r="AC1787" s="1" t="b">
        <f t="shared" si="139"/>
        <v>1</v>
      </c>
    </row>
    <row r="1788" spans="1:29" x14ac:dyDescent="0.25">
      <c r="A1788" s="1">
        <v>1146.6590000000001</v>
      </c>
      <c r="B1788">
        <v>1</v>
      </c>
      <c r="D1788" s="2">
        <v>87209.9</v>
      </c>
      <c r="E1788">
        <v>29835</v>
      </c>
      <c r="F1788" t="s">
        <v>15</v>
      </c>
      <c r="G1788" t="s">
        <v>16</v>
      </c>
      <c r="H1788">
        <v>117044</v>
      </c>
      <c r="I1788" t="s">
        <v>17</v>
      </c>
      <c r="J1788" t="s">
        <v>18</v>
      </c>
      <c r="K1788">
        <v>29835.09</v>
      </c>
      <c r="L1788">
        <v>117044.6</v>
      </c>
      <c r="M1788">
        <v>18</v>
      </c>
      <c r="N1788" t="s">
        <v>1099</v>
      </c>
      <c r="Y1788" s="1">
        <f t="shared" si="135"/>
        <v>1146.6590000000001</v>
      </c>
      <c r="Z1788" s="2">
        <f t="shared" si="136"/>
        <v>87209.9</v>
      </c>
      <c r="AA1788" s="2">
        <f t="shared" si="137"/>
        <v>87209.885414931545</v>
      </c>
      <c r="AB1788" s="1">
        <f t="shared" si="138"/>
        <v>8.8027820570427462E-2</v>
      </c>
      <c r="AC1788" s="1" t="b">
        <f t="shared" si="139"/>
        <v>1</v>
      </c>
    </row>
    <row r="1789" spans="1:29" x14ac:dyDescent="0.25">
      <c r="A1789" s="1">
        <v>1146.5999999999999</v>
      </c>
      <c r="B1789">
        <v>1</v>
      </c>
      <c r="D1789" s="2">
        <v>87214.399999999994</v>
      </c>
      <c r="E1789">
        <v>31254</v>
      </c>
      <c r="F1789" t="s">
        <v>15</v>
      </c>
      <c r="G1789" t="s">
        <v>18</v>
      </c>
      <c r="H1789">
        <v>118468</v>
      </c>
      <c r="I1789" t="s">
        <v>17</v>
      </c>
      <c r="J1789" t="s">
        <v>16</v>
      </c>
      <c r="K1789">
        <v>31254.71</v>
      </c>
      <c r="L1789">
        <v>118468.8</v>
      </c>
      <c r="M1789">
        <v>18</v>
      </c>
      <c r="Y1789" s="1">
        <f t="shared" si="135"/>
        <v>1146.5999999999999</v>
      </c>
      <c r="Z1789" s="2">
        <f t="shared" si="136"/>
        <v>87214.399999999994</v>
      </c>
      <c r="AA1789" s="2">
        <f t="shared" si="137"/>
        <v>87214.372928658646</v>
      </c>
      <c r="AB1789" s="1">
        <f t="shared" si="138"/>
        <v>8.8031734226695732E-2</v>
      </c>
      <c r="AC1789" s="1" t="b">
        <f t="shared" si="139"/>
        <v>1</v>
      </c>
    </row>
    <row r="1790" spans="1:29" x14ac:dyDescent="0.25">
      <c r="A1790" s="1">
        <v>1146.346</v>
      </c>
      <c r="B1790">
        <v>4</v>
      </c>
      <c r="D1790" s="2">
        <v>87233.7</v>
      </c>
      <c r="E1790">
        <v>23647</v>
      </c>
      <c r="F1790" t="s">
        <v>15</v>
      </c>
      <c r="G1790" t="s">
        <v>50</v>
      </c>
      <c r="H1790">
        <v>110881</v>
      </c>
      <c r="I1790" t="s">
        <v>17</v>
      </c>
      <c r="J1790" t="s">
        <v>23</v>
      </c>
      <c r="K1790">
        <v>23647.77</v>
      </c>
      <c r="L1790">
        <v>110881.1</v>
      </c>
      <c r="M1790">
        <v>18</v>
      </c>
      <c r="Y1790" s="1">
        <f t="shared" si="135"/>
        <v>1146.346</v>
      </c>
      <c r="Z1790" s="2">
        <f t="shared" si="136"/>
        <v>87233.7</v>
      </c>
      <c r="AA1790" s="2">
        <f t="shared" si="137"/>
        <v>87233.697330474388</v>
      </c>
      <c r="AB1790" s="1">
        <f t="shared" si="138"/>
        <v>8.8048589749724071E-2</v>
      </c>
      <c r="AC1790" s="1" t="b">
        <f t="shared" si="139"/>
        <v>1</v>
      </c>
    </row>
    <row r="1791" spans="1:29" x14ac:dyDescent="0.25">
      <c r="A1791" s="1">
        <v>1146.06</v>
      </c>
      <c r="B1791">
        <v>1</v>
      </c>
      <c r="D1791" s="2">
        <v>87255.5</v>
      </c>
      <c r="E1791">
        <v>16089</v>
      </c>
      <c r="F1791" t="s">
        <v>17</v>
      </c>
      <c r="G1791" t="s">
        <v>50</v>
      </c>
      <c r="H1791">
        <v>103344</v>
      </c>
      <c r="I1791" t="s">
        <v>15</v>
      </c>
      <c r="J1791" t="s">
        <v>23</v>
      </c>
      <c r="K1791">
        <v>16089.14</v>
      </c>
      <c r="L1791">
        <v>103344.35</v>
      </c>
      <c r="M1791">
        <v>18</v>
      </c>
      <c r="Y1791" s="1">
        <f t="shared" si="135"/>
        <v>1146.06</v>
      </c>
      <c r="Z1791" s="2">
        <f t="shared" si="136"/>
        <v>87255.5</v>
      </c>
      <c r="AA1791" s="2">
        <f t="shared" si="137"/>
        <v>87255.466554979677</v>
      </c>
      <c r="AB1791" s="1">
        <f t="shared" si="138"/>
        <v>8.8067582218635893E-2</v>
      </c>
      <c r="AC1791" s="1" t="b">
        <f t="shared" si="139"/>
        <v>1</v>
      </c>
    </row>
    <row r="1792" spans="1:29" x14ac:dyDescent="0.25">
      <c r="A1792" s="1">
        <v>1145.8689999999999</v>
      </c>
      <c r="B1792">
        <v>4</v>
      </c>
      <c r="D1792" s="2">
        <v>87270</v>
      </c>
      <c r="E1792">
        <v>30505</v>
      </c>
      <c r="F1792" t="s">
        <v>15</v>
      </c>
      <c r="G1792" t="s">
        <v>23</v>
      </c>
      <c r="H1792">
        <v>117775</v>
      </c>
      <c r="I1792" t="s">
        <v>17</v>
      </c>
      <c r="J1792" t="s">
        <v>50</v>
      </c>
      <c r="K1792">
        <v>30505.72</v>
      </c>
      <c r="L1792">
        <v>117775.3</v>
      </c>
      <c r="M1792">
        <v>18</v>
      </c>
      <c r="Y1792" s="1">
        <f t="shared" si="135"/>
        <v>1145.8689999999999</v>
      </c>
      <c r="Z1792" s="2">
        <f t="shared" si="136"/>
        <v>87270</v>
      </c>
      <c r="AA1792" s="2">
        <f t="shared" si="137"/>
        <v>87270.010795300346</v>
      </c>
      <c r="AB1792" s="1">
        <f t="shared" si="138"/>
        <v>8.8080273921059188E-2</v>
      </c>
      <c r="AC1792" s="1" t="b">
        <f t="shared" si="139"/>
        <v>1</v>
      </c>
    </row>
    <row r="1793" spans="1:29" x14ac:dyDescent="0.25">
      <c r="A1793" s="1">
        <v>1145.4559999999999</v>
      </c>
      <c r="B1793">
        <v>10</v>
      </c>
      <c r="D1793" s="2">
        <v>87301.5</v>
      </c>
      <c r="E1793">
        <v>28720</v>
      </c>
      <c r="F1793" t="s">
        <v>15</v>
      </c>
      <c r="G1793" t="s">
        <v>16</v>
      </c>
      <c r="H1793">
        <v>116021</v>
      </c>
      <c r="I1793" t="s">
        <v>17</v>
      </c>
      <c r="J1793" t="s">
        <v>18</v>
      </c>
      <c r="K1793">
        <v>28720.71</v>
      </c>
      <c r="L1793">
        <v>116021.8</v>
      </c>
      <c r="M1793">
        <v>18</v>
      </c>
      <c r="Y1793" s="1">
        <f t="shared" si="135"/>
        <v>1145.4559999999999</v>
      </c>
      <c r="Z1793" s="2">
        <f t="shared" si="136"/>
        <v>87301.5</v>
      </c>
      <c r="AA1793" s="2">
        <f t="shared" si="137"/>
        <v>87301.476442569605</v>
      </c>
      <c r="AB1793" s="1">
        <f t="shared" si="138"/>
        <v>8.8107738945262679E-2</v>
      </c>
      <c r="AC1793" s="1" t="b">
        <f t="shared" si="139"/>
        <v>1</v>
      </c>
    </row>
    <row r="1794" spans="1:29" x14ac:dyDescent="0.25">
      <c r="A1794" s="1">
        <v>1145.2159999999999</v>
      </c>
      <c r="B1794">
        <v>1</v>
      </c>
      <c r="D1794" s="2">
        <v>87319.8</v>
      </c>
      <c r="M1794">
        <v>18</v>
      </c>
      <c r="Y1794" s="1">
        <f t="shared" si="135"/>
        <v>1145.2159999999999</v>
      </c>
      <c r="Z1794" s="2">
        <f t="shared" si="136"/>
        <v>87319.8</v>
      </c>
      <c r="AA1794" s="2">
        <f t="shared" si="137"/>
        <v>87319.771990611393</v>
      </c>
      <c r="AB1794" s="1">
        <f t="shared" si="138"/>
        <v>8.8123712902461807E-2</v>
      </c>
      <c r="AC1794" s="1" t="b">
        <f t="shared" si="139"/>
        <v>1</v>
      </c>
    </row>
    <row r="1795" spans="1:29" x14ac:dyDescent="0.25">
      <c r="A1795" s="1">
        <v>1144.7260000000001</v>
      </c>
      <c r="B1795">
        <v>10</v>
      </c>
      <c r="D1795" s="2">
        <v>87357.2</v>
      </c>
      <c r="E1795">
        <v>25934</v>
      </c>
      <c r="F1795" t="s">
        <v>15</v>
      </c>
      <c r="G1795" t="s">
        <v>28</v>
      </c>
      <c r="H1795">
        <v>113291</v>
      </c>
      <c r="I1795" t="s">
        <v>17</v>
      </c>
      <c r="J1795" t="s">
        <v>18</v>
      </c>
      <c r="K1795">
        <v>25934.98</v>
      </c>
      <c r="L1795">
        <v>113291.8</v>
      </c>
      <c r="M1795">
        <v>18</v>
      </c>
      <c r="Y1795" s="1">
        <f t="shared" ref="Y1795:Y1858" si="140">ROUND($A1795,3)+0</f>
        <v>1144.7260000000001</v>
      </c>
      <c r="Z1795" s="2">
        <f t="shared" ref="Z1795:Z1858" si="141">ROUND($D1795,1)+0</f>
        <v>87357.2</v>
      </c>
      <c r="AA1795" s="2">
        <f t="shared" ref="AA1795:AA1858" si="142">100000000/Y1795</f>
        <v>87357.149221735148</v>
      </c>
      <c r="AB1795" s="1">
        <f t="shared" ref="AB1795:AB1858" si="143">0.0005/$Y1795*AA1795+0.05</f>
        <v>8.8156357600742516E-2</v>
      </c>
      <c r="AC1795" s="1" t="b">
        <f t="shared" ref="AC1795:AC1858" si="144">ABS(Z1795-AA1795)&lt;AB1795</f>
        <v>1</v>
      </c>
    </row>
    <row r="1796" spans="1:29" x14ac:dyDescent="0.25">
      <c r="A1796" s="1">
        <v>1144.009</v>
      </c>
      <c r="B1796">
        <v>1</v>
      </c>
      <c r="D1796" s="2">
        <v>87411.9</v>
      </c>
      <c r="M1796">
        <v>18</v>
      </c>
      <c r="Y1796" s="1">
        <f t="shared" si="140"/>
        <v>1144.009</v>
      </c>
      <c r="Z1796" s="2">
        <f t="shared" si="141"/>
        <v>87411.9</v>
      </c>
      <c r="AA1796" s="2">
        <f t="shared" si="142"/>
        <v>87411.899731558049</v>
      </c>
      <c r="AB1796" s="1">
        <f t="shared" si="143"/>
        <v>8.8204201073399796E-2</v>
      </c>
      <c r="AC1796" s="1" t="b">
        <f t="shared" si="144"/>
        <v>1</v>
      </c>
    </row>
    <row r="1797" spans="1:29" x14ac:dyDescent="0.25">
      <c r="A1797" s="1">
        <v>1143.9369999999999</v>
      </c>
      <c r="B1797">
        <v>4</v>
      </c>
      <c r="D1797" s="2">
        <v>87417.4</v>
      </c>
      <c r="E1797">
        <v>27380</v>
      </c>
      <c r="F1797" t="s">
        <v>15</v>
      </c>
      <c r="G1797" t="s">
        <v>23</v>
      </c>
      <c r="H1797">
        <v>114797</v>
      </c>
      <c r="I1797" t="s">
        <v>17</v>
      </c>
      <c r="J1797" t="s">
        <v>50</v>
      </c>
      <c r="K1797">
        <v>27380.31</v>
      </c>
      <c r="L1797">
        <v>114797.2</v>
      </c>
      <c r="M1797">
        <v>18</v>
      </c>
      <c r="Y1797" s="1">
        <f t="shared" si="140"/>
        <v>1143.9369999999999</v>
      </c>
      <c r="Z1797" s="2">
        <f t="shared" si="141"/>
        <v>87417.4</v>
      </c>
      <c r="AA1797" s="2">
        <f t="shared" si="142"/>
        <v>87417.401482773974</v>
      </c>
      <c r="AB1797" s="1">
        <f t="shared" si="143"/>
        <v>8.8209010410002481E-2</v>
      </c>
      <c r="AC1797" s="1" t="b">
        <f t="shared" si="144"/>
        <v>1</v>
      </c>
    </row>
    <row r="1798" spans="1:29" x14ac:dyDescent="0.25">
      <c r="A1798" s="1">
        <v>1143.836</v>
      </c>
      <c r="B1798">
        <v>2</v>
      </c>
      <c r="D1798" s="2">
        <v>87425.1</v>
      </c>
      <c r="M1798">
        <v>18</v>
      </c>
      <c r="Y1798" s="1">
        <f t="shared" si="140"/>
        <v>1143.836</v>
      </c>
      <c r="Z1798" s="2">
        <f t="shared" si="141"/>
        <v>87425.1</v>
      </c>
      <c r="AA1798" s="2">
        <f t="shared" si="142"/>
        <v>87425.120384390772</v>
      </c>
      <c r="AB1798" s="1">
        <f t="shared" si="143"/>
        <v>8.8215758371126093E-2</v>
      </c>
      <c r="AC1798" s="1" t="b">
        <f t="shared" si="144"/>
        <v>1</v>
      </c>
    </row>
    <row r="1799" spans="1:29" x14ac:dyDescent="0.25">
      <c r="A1799" s="1">
        <v>1143.3420000000001</v>
      </c>
      <c r="B1799">
        <v>50</v>
      </c>
      <c r="D1799" s="2">
        <v>87462.9</v>
      </c>
      <c r="E1799">
        <v>23647</v>
      </c>
      <c r="F1799" t="s">
        <v>15</v>
      </c>
      <c r="G1799" t="s">
        <v>50</v>
      </c>
      <c r="H1799">
        <v>111110</v>
      </c>
      <c r="I1799" t="s">
        <v>17</v>
      </c>
      <c r="J1799" t="s">
        <v>50</v>
      </c>
      <c r="K1799">
        <v>23647.77</v>
      </c>
      <c r="L1799">
        <v>111110.3</v>
      </c>
      <c r="M1799">
        <v>18</v>
      </c>
      <c r="Y1799" s="1">
        <f t="shared" si="140"/>
        <v>1143.3420000000001</v>
      </c>
      <c r="Z1799" s="2">
        <f t="shared" si="141"/>
        <v>87462.9</v>
      </c>
      <c r="AA1799" s="2">
        <f t="shared" si="142"/>
        <v>87462.893867276798</v>
      </c>
      <c r="AB1799" s="1">
        <f t="shared" si="143"/>
        <v>8.8248789018192636E-2</v>
      </c>
      <c r="AC1799" s="1" t="b">
        <f t="shared" si="144"/>
        <v>1</v>
      </c>
    </row>
    <row r="1800" spans="1:29" x14ac:dyDescent="0.25">
      <c r="A1800" s="1">
        <v>1143.2439999999999</v>
      </c>
      <c r="B1800">
        <v>1</v>
      </c>
      <c r="D1800" s="2">
        <v>87470.399999999994</v>
      </c>
      <c r="M1800">
        <v>18</v>
      </c>
      <c r="Y1800" s="1">
        <f t="shared" si="140"/>
        <v>1143.2439999999999</v>
      </c>
      <c r="Z1800" s="2">
        <f t="shared" si="141"/>
        <v>87470.399999999994</v>
      </c>
      <c r="AA1800" s="2">
        <f t="shared" si="142"/>
        <v>87470.391272554247</v>
      </c>
      <c r="AB1800" s="1">
        <f t="shared" si="143"/>
        <v>8.8255346746868663E-2</v>
      </c>
      <c r="AC1800" s="1" t="b">
        <f t="shared" si="144"/>
        <v>1</v>
      </c>
    </row>
    <row r="1801" spans="1:29" x14ac:dyDescent="0.25">
      <c r="A1801" s="1">
        <v>1143.02</v>
      </c>
      <c r="B1801">
        <v>2</v>
      </c>
      <c r="D1801" s="2">
        <v>87487.5</v>
      </c>
      <c r="E1801">
        <v>29835</v>
      </c>
      <c r="F1801" t="s">
        <v>15</v>
      </c>
      <c r="G1801" t="s">
        <v>16</v>
      </c>
      <c r="H1801">
        <v>117323</v>
      </c>
      <c r="I1801" t="s">
        <v>17</v>
      </c>
      <c r="J1801" t="s">
        <v>23</v>
      </c>
      <c r="K1801">
        <v>29835.09</v>
      </c>
      <c r="L1801">
        <v>117323.1</v>
      </c>
      <c r="M1801">
        <v>19</v>
      </c>
      <c r="Y1801" s="1">
        <f t="shared" si="140"/>
        <v>1143.02</v>
      </c>
      <c r="Z1801" s="2">
        <f t="shared" si="141"/>
        <v>87487.5</v>
      </c>
      <c r="AA1801" s="2">
        <f t="shared" si="142"/>
        <v>87487.533026543722</v>
      </c>
      <c r="AB1801" s="1">
        <f t="shared" si="143"/>
        <v>8.8270342175352901E-2</v>
      </c>
      <c r="AC1801" s="1" t="b">
        <f t="shared" si="144"/>
        <v>1</v>
      </c>
    </row>
    <row r="1802" spans="1:29" x14ac:dyDescent="0.25">
      <c r="A1802" s="1">
        <v>1142.9000000000001</v>
      </c>
      <c r="B1802">
        <v>20</v>
      </c>
      <c r="D1802" s="2">
        <v>87496.7</v>
      </c>
      <c r="M1802">
        <v>19</v>
      </c>
      <c r="Y1802" s="1">
        <f t="shared" si="140"/>
        <v>1142.9000000000001</v>
      </c>
      <c r="Z1802" s="2">
        <f t="shared" si="141"/>
        <v>87496.7</v>
      </c>
      <c r="AA1802" s="2">
        <f t="shared" si="142"/>
        <v>87496.718873042249</v>
      </c>
      <c r="AB1802" s="1">
        <f t="shared" si="143"/>
        <v>8.8278379067740942E-2</v>
      </c>
      <c r="AC1802" s="1" t="b">
        <f t="shared" si="144"/>
        <v>1</v>
      </c>
    </row>
    <row r="1803" spans="1:29" x14ac:dyDescent="0.25">
      <c r="A1803" s="1">
        <v>1142.788</v>
      </c>
      <c r="B1803">
        <v>10</v>
      </c>
      <c r="D1803" s="2">
        <v>87505.3</v>
      </c>
      <c r="E1803">
        <v>26095</v>
      </c>
      <c r="F1803" t="s">
        <v>15</v>
      </c>
      <c r="G1803" t="s">
        <v>23</v>
      </c>
      <c r="H1803">
        <v>113600</v>
      </c>
      <c r="I1803" t="s">
        <v>17</v>
      </c>
      <c r="J1803" t="s">
        <v>50</v>
      </c>
      <c r="K1803">
        <v>26095.23</v>
      </c>
      <c r="L1803">
        <v>113600.3</v>
      </c>
      <c r="M1803">
        <v>19</v>
      </c>
      <c r="Y1803" s="1">
        <f t="shared" si="140"/>
        <v>1142.788</v>
      </c>
      <c r="Z1803" s="2">
        <f t="shared" si="141"/>
        <v>87505.3</v>
      </c>
      <c r="AA1803" s="2">
        <f t="shared" si="142"/>
        <v>87505.294070291246</v>
      </c>
      <c r="AB1803" s="1">
        <f t="shared" si="143"/>
        <v>8.8285882451640749E-2</v>
      </c>
      <c r="AC1803" s="1" t="b">
        <f t="shared" si="144"/>
        <v>1</v>
      </c>
    </row>
    <row r="1804" spans="1:29" x14ac:dyDescent="0.25">
      <c r="A1804" s="1">
        <v>1142.69</v>
      </c>
      <c r="B1804">
        <v>20</v>
      </c>
      <c r="D1804" s="2">
        <v>87512.8</v>
      </c>
      <c r="M1804">
        <v>19</v>
      </c>
      <c r="Y1804" s="1">
        <f t="shared" si="140"/>
        <v>1142.69</v>
      </c>
      <c r="Z1804" s="2">
        <f t="shared" si="141"/>
        <v>87512.8</v>
      </c>
      <c r="AA1804" s="2">
        <f t="shared" si="142"/>
        <v>87512.798746816712</v>
      </c>
      <c r="AB1804" s="1">
        <f t="shared" si="143"/>
        <v>8.8292449722504218E-2</v>
      </c>
      <c r="AC1804" s="1" t="b">
        <f t="shared" si="144"/>
        <v>1</v>
      </c>
    </row>
    <row r="1805" spans="1:29" x14ac:dyDescent="0.25">
      <c r="A1805" s="1">
        <v>1142.0119999999999</v>
      </c>
      <c r="B1805">
        <v>20</v>
      </c>
      <c r="D1805" s="2">
        <v>87564.800000000003</v>
      </c>
      <c r="M1805">
        <v>19</v>
      </c>
      <c r="Y1805" s="1">
        <f t="shared" si="140"/>
        <v>1142.0119999999999</v>
      </c>
      <c r="Z1805" s="2">
        <f t="shared" si="141"/>
        <v>87564.800000000003</v>
      </c>
      <c r="AA1805" s="2">
        <f t="shared" si="142"/>
        <v>87564.754135683339</v>
      </c>
      <c r="AB1805" s="1">
        <f t="shared" si="143"/>
        <v>8.8337930834213374E-2</v>
      </c>
      <c r="AC1805" s="1" t="b">
        <f t="shared" si="144"/>
        <v>1</v>
      </c>
    </row>
    <row r="1806" spans="1:29" x14ac:dyDescent="0.25">
      <c r="A1806" s="1">
        <v>1141.8679999999999</v>
      </c>
      <c r="B1806">
        <v>2</v>
      </c>
      <c r="D1806" s="2">
        <v>87575.8</v>
      </c>
      <c r="E1806">
        <v>30505</v>
      </c>
      <c r="F1806" t="s">
        <v>15</v>
      </c>
      <c r="G1806" t="s">
        <v>23</v>
      </c>
      <c r="H1806">
        <v>118081</v>
      </c>
      <c r="I1806" t="s">
        <v>17</v>
      </c>
      <c r="J1806" t="s">
        <v>16</v>
      </c>
      <c r="K1806">
        <v>30505.72</v>
      </c>
      <c r="L1806">
        <v>118081.1</v>
      </c>
      <c r="M1806">
        <v>19</v>
      </c>
      <c r="Y1806" s="1">
        <f t="shared" si="140"/>
        <v>1141.8679999999999</v>
      </c>
      <c r="Z1806" s="2">
        <f t="shared" si="141"/>
        <v>87575.8</v>
      </c>
      <c r="AA1806" s="2">
        <f t="shared" si="142"/>
        <v>87575.796852175568</v>
      </c>
      <c r="AB1806" s="1">
        <f t="shared" si="143"/>
        <v>8.8347600971467627E-2</v>
      </c>
      <c r="AC1806" s="1" t="b">
        <f t="shared" si="144"/>
        <v>1</v>
      </c>
    </row>
    <row r="1807" spans="1:29" x14ac:dyDescent="0.25">
      <c r="A1807" s="1">
        <v>1141.7950000000001</v>
      </c>
      <c r="B1807">
        <v>20</v>
      </c>
      <c r="D1807" s="2">
        <v>87581.4</v>
      </c>
      <c r="M1807">
        <v>19</v>
      </c>
      <c r="Y1807" s="1">
        <f t="shared" si="140"/>
        <v>1141.7950000000001</v>
      </c>
      <c r="Z1807" s="2">
        <f t="shared" si="141"/>
        <v>87581.4</v>
      </c>
      <c r="AA1807" s="2">
        <f t="shared" si="142"/>
        <v>87581.395959870206</v>
      </c>
      <c r="AB1807" s="1">
        <f t="shared" si="143"/>
        <v>8.8352504591397846E-2</v>
      </c>
      <c r="AC1807" s="1" t="b">
        <f t="shared" si="144"/>
        <v>1</v>
      </c>
    </row>
    <row r="1808" spans="1:29" x14ac:dyDescent="0.25">
      <c r="A1808" s="1">
        <v>1141.6969999999999</v>
      </c>
      <c r="B1808">
        <v>40</v>
      </c>
      <c r="D1808" s="2">
        <v>87588.9</v>
      </c>
      <c r="E1808">
        <v>28720</v>
      </c>
      <c r="F1808" t="s">
        <v>15</v>
      </c>
      <c r="G1808" t="s">
        <v>16</v>
      </c>
      <c r="H1808">
        <v>116309</v>
      </c>
      <c r="I1808" t="s">
        <v>17</v>
      </c>
      <c r="J1808" t="s">
        <v>23</v>
      </c>
      <c r="K1808">
        <v>28720.71</v>
      </c>
      <c r="L1808">
        <v>116309.2</v>
      </c>
      <c r="M1808">
        <v>19</v>
      </c>
      <c r="Y1808" s="1">
        <f t="shared" si="140"/>
        <v>1141.6969999999999</v>
      </c>
      <c r="Z1808" s="2">
        <f t="shared" si="141"/>
        <v>87588.9</v>
      </c>
      <c r="AA1808" s="2">
        <f t="shared" si="142"/>
        <v>87588.913696015676</v>
      </c>
      <c r="AB1808" s="1">
        <f t="shared" si="143"/>
        <v>8.8359089012240419E-2</v>
      </c>
      <c r="AC1808" s="1" t="b">
        <f t="shared" si="144"/>
        <v>1</v>
      </c>
    </row>
    <row r="1809" spans="1:29" x14ac:dyDescent="0.25">
      <c r="A1809" s="1">
        <v>1141.4649999999999</v>
      </c>
      <c r="B1809">
        <v>4</v>
      </c>
      <c r="D1809" s="2">
        <v>87606.7</v>
      </c>
      <c r="M1809">
        <v>19</v>
      </c>
      <c r="Y1809" s="1">
        <f t="shared" si="140"/>
        <v>1141.4649999999999</v>
      </c>
      <c r="Z1809" s="2">
        <f t="shared" si="141"/>
        <v>87606.7</v>
      </c>
      <c r="AA1809" s="2">
        <f t="shared" si="142"/>
        <v>87606.71593084326</v>
      </c>
      <c r="AB1809" s="1">
        <f t="shared" si="143"/>
        <v>8.8374683380937347E-2</v>
      </c>
      <c r="AC1809" s="1" t="b">
        <f t="shared" si="144"/>
        <v>1</v>
      </c>
    </row>
    <row r="1810" spans="1:29" x14ac:dyDescent="0.25">
      <c r="A1810" s="1">
        <v>1141.4190000000001</v>
      </c>
      <c r="B1810">
        <v>1</v>
      </c>
      <c r="D1810" s="2">
        <v>87610.2</v>
      </c>
      <c r="M1810">
        <v>19</v>
      </c>
      <c r="Y1810" s="1">
        <f t="shared" si="140"/>
        <v>1141.4190000000001</v>
      </c>
      <c r="Z1810" s="2">
        <f t="shared" si="141"/>
        <v>87610.2</v>
      </c>
      <c r="AA1810" s="2">
        <f t="shared" si="142"/>
        <v>87610.246543994799</v>
      </c>
      <c r="AB1810" s="1">
        <f t="shared" si="143"/>
        <v>8.8377776497497756E-2</v>
      </c>
      <c r="AC1810" s="1" t="b">
        <f t="shared" si="144"/>
        <v>1</v>
      </c>
    </row>
    <row r="1811" spans="1:29" x14ac:dyDescent="0.25">
      <c r="A1811" s="1">
        <v>1141.2619999999999</v>
      </c>
      <c r="B1811">
        <v>3</v>
      </c>
      <c r="D1811" s="2">
        <v>87622.3</v>
      </c>
      <c r="E1811">
        <v>25934</v>
      </c>
      <c r="F1811" t="s">
        <v>15</v>
      </c>
      <c r="G1811" t="s">
        <v>28</v>
      </c>
      <c r="H1811">
        <v>113556</v>
      </c>
      <c r="I1811" t="s">
        <v>17</v>
      </c>
      <c r="J1811" t="s">
        <v>28</v>
      </c>
      <c r="K1811">
        <v>25934.98</v>
      </c>
      <c r="L1811">
        <v>113556.8</v>
      </c>
      <c r="M1811">
        <v>19</v>
      </c>
      <c r="Y1811" s="1">
        <f t="shared" si="140"/>
        <v>1141.2619999999999</v>
      </c>
      <c r="Z1811" s="2">
        <f t="shared" si="141"/>
        <v>87622.3</v>
      </c>
      <c r="AA1811" s="2">
        <f t="shared" si="142"/>
        <v>87622.298823583027</v>
      </c>
      <c r="AB1811" s="1">
        <f t="shared" si="143"/>
        <v>8.8388336255646405E-2</v>
      </c>
      <c r="AC1811" s="1" t="b">
        <f t="shared" si="144"/>
        <v>1</v>
      </c>
    </row>
    <row r="1812" spans="1:29" x14ac:dyDescent="0.25">
      <c r="A1812" s="1">
        <v>1141.1569999999999</v>
      </c>
      <c r="B1812">
        <v>2</v>
      </c>
      <c r="D1812" s="2">
        <v>87630.399999999994</v>
      </c>
      <c r="M1812">
        <v>19</v>
      </c>
      <c r="Y1812" s="1">
        <f t="shared" si="140"/>
        <v>1141.1569999999999</v>
      </c>
      <c r="Z1812" s="2">
        <f t="shared" si="141"/>
        <v>87630.399999999994</v>
      </c>
      <c r="AA1812" s="2">
        <f t="shared" si="142"/>
        <v>87630.361115955122</v>
      </c>
      <c r="AB1812" s="1">
        <f t="shared" si="143"/>
        <v>8.8395400946563507E-2</v>
      </c>
      <c r="AC1812" s="1" t="b">
        <f t="shared" si="144"/>
        <v>1</v>
      </c>
    </row>
    <row r="1813" spans="1:29" x14ac:dyDescent="0.25">
      <c r="A1813" s="1">
        <v>1140.413</v>
      </c>
      <c r="B1813">
        <v>200</v>
      </c>
      <c r="D1813" s="2">
        <v>87687.5</v>
      </c>
      <c r="E1813">
        <v>23647</v>
      </c>
      <c r="F1813" t="s">
        <v>15</v>
      </c>
      <c r="G1813" t="s">
        <v>50</v>
      </c>
      <c r="H1813">
        <v>111335</v>
      </c>
      <c r="I1813" t="s">
        <v>17</v>
      </c>
      <c r="J1813" t="s">
        <v>57</v>
      </c>
      <c r="K1813">
        <v>23647.77</v>
      </c>
      <c r="L1813">
        <v>111335.1</v>
      </c>
      <c r="M1813">
        <v>19</v>
      </c>
      <c r="Y1813" s="1">
        <f t="shared" si="140"/>
        <v>1140.413</v>
      </c>
      <c r="Z1813" s="2">
        <f t="shared" si="141"/>
        <v>87687.5</v>
      </c>
      <c r="AA1813" s="2">
        <f t="shared" si="142"/>
        <v>87687.530745440468</v>
      </c>
      <c r="AB1813" s="1">
        <f t="shared" si="143"/>
        <v>8.8445515241162842E-2</v>
      </c>
      <c r="AC1813" s="1" t="b">
        <f t="shared" si="144"/>
        <v>1</v>
      </c>
    </row>
    <row r="1814" spans="1:29" x14ac:dyDescent="0.25">
      <c r="A1814" s="1">
        <v>1140.174</v>
      </c>
      <c r="B1814">
        <v>30</v>
      </c>
      <c r="D1814" s="2">
        <v>87705.9</v>
      </c>
      <c r="E1814">
        <v>23175</v>
      </c>
      <c r="F1814" t="s">
        <v>15</v>
      </c>
      <c r="G1814" t="s">
        <v>50</v>
      </c>
      <c r="H1814">
        <v>110881</v>
      </c>
      <c r="I1814" t="s">
        <v>17</v>
      </c>
      <c r="J1814" t="s">
        <v>23</v>
      </c>
      <c r="K1814">
        <v>23175.09</v>
      </c>
      <c r="L1814">
        <v>110881.1</v>
      </c>
      <c r="M1814">
        <v>19</v>
      </c>
      <c r="Y1814" s="1">
        <f t="shared" si="140"/>
        <v>1140.174</v>
      </c>
      <c r="Z1814" s="2">
        <f t="shared" si="141"/>
        <v>87705.9</v>
      </c>
      <c r="AA1814" s="2">
        <f t="shared" si="142"/>
        <v>87705.911553850558</v>
      </c>
      <c r="AB1814" s="1">
        <f t="shared" si="143"/>
        <v>8.8461634607459289E-2</v>
      </c>
      <c r="AC1814" s="1" t="b">
        <f t="shared" si="144"/>
        <v>1</v>
      </c>
    </row>
    <row r="1815" spans="1:29" x14ac:dyDescent="0.25">
      <c r="A1815" s="1">
        <v>1139.8209999999999</v>
      </c>
      <c r="B1815">
        <v>10</v>
      </c>
      <c r="D1815" s="2">
        <v>87733.1</v>
      </c>
      <c r="E1815">
        <v>28720</v>
      </c>
      <c r="F1815" t="s">
        <v>15</v>
      </c>
      <c r="G1815" t="s">
        <v>16</v>
      </c>
      <c r="H1815">
        <v>116453</v>
      </c>
      <c r="I1815" t="s">
        <v>17</v>
      </c>
      <c r="J1815" t="s">
        <v>16</v>
      </c>
      <c r="K1815">
        <v>28720.71</v>
      </c>
      <c r="L1815">
        <v>116453.2</v>
      </c>
      <c r="M1815">
        <v>19</v>
      </c>
      <c r="Y1815" s="1">
        <f t="shared" si="140"/>
        <v>1139.8209999999999</v>
      </c>
      <c r="Z1815" s="2">
        <f t="shared" si="141"/>
        <v>87733.1</v>
      </c>
      <c r="AA1815" s="2">
        <f t="shared" si="142"/>
        <v>87733.073877389528</v>
      </c>
      <c r="AB1815" s="1">
        <f t="shared" si="143"/>
        <v>8.848546125987744E-2</v>
      </c>
      <c r="AC1815" s="1" t="b">
        <f t="shared" si="144"/>
        <v>1</v>
      </c>
    </row>
    <row r="1816" spans="1:29" x14ac:dyDescent="0.25">
      <c r="A1816" s="1">
        <v>1139.6880000000001</v>
      </c>
      <c r="B1816">
        <v>10</v>
      </c>
      <c r="D1816" s="2">
        <v>87743.3</v>
      </c>
      <c r="M1816">
        <v>19</v>
      </c>
      <c r="Y1816" s="1">
        <f t="shared" si="140"/>
        <v>1139.6880000000001</v>
      </c>
      <c r="Z1816" s="2">
        <f t="shared" si="141"/>
        <v>87743.3</v>
      </c>
      <c r="AA1816" s="2">
        <f t="shared" si="142"/>
        <v>87743.31220474375</v>
      </c>
      <c r="AB1816" s="1">
        <f t="shared" si="143"/>
        <v>8.8494444183295662E-2</v>
      </c>
      <c r="AC1816" s="1" t="b">
        <f t="shared" si="144"/>
        <v>1</v>
      </c>
    </row>
    <row r="1817" spans="1:29" x14ac:dyDescent="0.25">
      <c r="A1817" s="1">
        <v>1139.2449999999999</v>
      </c>
      <c r="B1817">
        <v>1</v>
      </c>
      <c r="D1817" s="2">
        <v>87777.4</v>
      </c>
      <c r="E1817">
        <v>29267</v>
      </c>
      <c r="F1817" t="s">
        <v>15</v>
      </c>
      <c r="G1817" t="s">
        <v>28</v>
      </c>
      <c r="H1817">
        <v>117044</v>
      </c>
      <c r="I1817" t="s">
        <v>17</v>
      </c>
      <c r="J1817" t="s">
        <v>18</v>
      </c>
      <c r="K1817">
        <v>29267.86</v>
      </c>
      <c r="L1817">
        <v>117044.6</v>
      </c>
      <c r="M1817">
        <v>19</v>
      </c>
      <c r="Y1817" s="1">
        <f t="shared" si="140"/>
        <v>1139.2449999999999</v>
      </c>
      <c r="Z1817" s="2">
        <f t="shared" si="141"/>
        <v>87777.4</v>
      </c>
      <c r="AA1817" s="2">
        <f t="shared" si="142"/>
        <v>87777.431544575578</v>
      </c>
      <c r="AB1817" s="1">
        <f t="shared" si="143"/>
        <v>8.8524387442813268E-2</v>
      </c>
      <c r="AC1817" s="1" t="b">
        <f t="shared" si="144"/>
        <v>1</v>
      </c>
    </row>
    <row r="1818" spans="1:29" x14ac:dyDescent="0.25">
      <c r="A1818" s="1">
        <v>1139.0899999999999</v>
      </c>
      <c r="B1818">
        <v>3</v>
      </c>
      <c r="D1818" s="2">
        <v>87789.4</v>
      </c>
      <c r="M1818">
        <v>19</v>
      </c>
      <c r="Y1818" s="1">
        <f t="shared" si="140"/>
        <v>1139.0899999999999</v>
      </c>
      <c r="Z1818" s="2">
        <f t="shared" si="141"/>
        <v>87789.4</v>
      </c>
      <c r="AA1818" s="2">
        <f t="shared" si="142"/>
        <v>87789.375729749197</v>
      </c>
      <c r="AB1818" s="1">
        <f t="shared" si="143"/>
        <v>8.8534872455095392E-2</v>
      </c>
      <c r="AC1818" s="1" t="b">
        <f t="shared" si="144"/>
        <v>1</v>
      </c>
    </row>
    <row r="1819" spans="1:29" x14ac:dyDescent="0.25">
      <c r="A1819" s="1">
        <v>1138.9580000000001</v>
      </c>
      <c r="B1819">
        <v>3</v>
      </c>
      <c r="D1819" s="2">
        <v>87799.6</v>
      </c>
      <c r="E1819">
        <v>27604</v>
      </c>
      <c r="F1819" t="s">
        <v>15</v>
      </c>
      <c r="G1819" t="s">
        <v>16</v>
      </c>
      <c r="H1819">
        <v>115403</v>
      </c>
      <c r="I1819" t="s">
        <v>17</v>
      </c>
      <c r="J1819" t="s">
        <v>23</v>
      </c>
      <c r="K1819">
        <v>27604.26</v>
      </c>
      <c r="L1819">
        <v>115403.3</v>
      </c>
      <c r="M1819">
        <v>19</v>
      </c>
      <c r="Y1819" s="1">
        <f t="shared" si="140"/>
        <v>1138.9580000000001</v>
      </c>
      <c r="Z1819" s="2">
        <f t="shared" si="141"/>
        <v>87799.6</v>
      </c>
      <c r="AA1819" s="2">
        <f t="shared" si="142"/>
        <v>87799.550115105201</v>
      </c>
      <c r="AB1819" s="1">
        <f t="shared" si="143"/>
        <v>8.8543805002074344E-2</v>
      </c>
      <c r="AC1819" s="1" t="b">
        <f t="shared" si="144"/>
        <v>1</v>
      </c>
    </row>
    <row r="1820" spans="1:29" x14ac:dyDescent="0.25">
      <c r="A1820" s="1">
        <v>1138.8219999999999</v>
      </c>
      <c r="B1820">
        <v>2</v>
      </c>
      <c r="D1820" s="2">
        <v>87810</v>
      </c>
      <c r="E1820">
        <v>23532</v>
      </c>
      <c r="F1820" t="s">
        <v>15</v>
      </c>
      <c r="G1820" t="s">
        <v>28</v>
      </c>
      <c r="H1820">
        <v>111342</v>
      </c>
      <c r="I1820" t="s">
        <v>17</v>
      </c>
      <c r="J1820" t="s">
        <v>18</v>
      </c>
      <c r="K1820">
        <v>23532.86</v>
      </c>
      <c r="L1820">
        <v>111342.8</v>
      </c>
      <c r="M1820">
        <v>19</v>
      </c>
      <c r="Y1820" s="1">
        <f t="shared" si="140"/>
        <v>1138.8219999999999</v>
      </c>
      <c r="Z1820" s="2">
        <f t="shared" si="141"/>
        <v>87810</v>
      </c>
      <c r="AA1820" s="2">
        <f t="shared" si="142"/>
        <v>87810.035282072189</v>
      </c>
      <c r="AB1820" s="1">
        <f t="shared" si="143"/>
        <v>8.8553011481193822E-2</v>
      </c>
      <c r="AC1820" s="1" t="b">
        <f t="shared" si="144"/>
        <v>1</v>
      </c>
    </row>
    <row r="1821" spans="1:29" x14ac:dyDescent="0.25">
      <c r="A1821" s="1">
        <v>1138.712</v>
      </c>
      <c r="B1821">
        <v>80</v>
      </c>
      <c r="D1821" s="2">
        <v>87818.5</v>
      </c>
      <c r="M1821">
        <v>19</v>
      </c>
      <c r="Y1821" s="1">
        <f t="shared" si="140"/>
        <v>1138.712</v>
      </c>
      <c r="Z1821" s="2">
        <f t="shared" si="141"/>
        <v>87818.5</v>
      </c>
      <c r="AA1821" s="2">
        <f t="shared" si="142"/>
        <v>87818.517763929776</v>
      </c>
      <c r="AB1821" s="1">
        <f t="shared" si="143"/>
        <v>8.8560460311268241E-2</v>
      </c>
      <c r="AC1821" s="1" t="b">
        <f t="shared" si="144"/>
        <v>1</v>
      </c>
    </row>
    <row r="1822" spans="1:29" x14ac:dyDescent="0.25">
      <c r="A1822" s="1">
        <v>1138.231</v>
      </c>
      <c r="B1822">
        <v>2</v>
      </c>
      <c r="D1822" s="2">
        <v>87855.6</v>
      </c>
      <c r="E1822">
        <v>24788</v>
      </c>
      <c r="F1822" t="s">
        <v>15</v>
      </c>
      <c r="G1822" t="s">
        <v>16</v>
      </c>
      <c r="H1822">
        <v>112643</v>
      </c>
      <c r="I1822" t="s">
        <v>17</v>
      </c>
      <c r="J1822" t="s">
        <v>23</v>
      </c>
      <c r="K1822">
        <v>24788.02</v>
      </c>
      <c r="L1822">
        <v>112643.2</v>
      </c>
      <c r="M1822">
        <v>19</v>
      </c>
      <c r="Y1822" s="1">
        <f t="shared" si="140"/>
        <v>1138.231</v>
      </c>
      <c r="Z1822" s="2">
        <f t="shared" si="141"/>
        <v>87855.6</v>
      </c>
      <c r="AA1822" s="2">
        <f t="shared" si="142"/>
        <v>87855.628602629877</v>
      </c>
      <c r="AB1822" s="1">
        <f t="shared" si="143"/>
        <v>8.8593057385816187E-2</v>
      </c>
      <c r="AC1822" s="1" t="b">
        <f t="shared" si="144"/>
        <v>1</v>
      </c>
    </row>
    <row r="1823" spans="1:29" x14ac:dyDescent="0.25">
      <c r="A1823" s="1">
        <v>1137.886</v>
      </c>
      <c r="B1823">
        <v>30</v>
      </c>
      <c r="D1823" s="2">
        <v>87882.3</v>
      </c>
      <c r="E1823">
        <v>25409</v>
      </c>
      <c r="F1823" t="s">
        <v>15</v>
      </c>
      <c r="G1823" t="s">
        <v>18</v>
      </c>
      <c r="H1823">
        <v>113291</v>
      </c>
      <c r="I1823" t="s">
        <v>17</v>
      </c>
      <c r="J1823" t="s">
        <v>18</v>
      </c>
      <c r="K1823">
        <v>25409.74</v>
      </c>
      <c r="L1823">
        <v>113291.8</v>
      </c>
      <c r="M1823">
        <v>19</v>
      </c>
      <c r="Y1823" s="1">
        <f t="shared" si="140"/>
        <v>1137.886</v>
      </c>
      <c r="Z1823" s="2">
        <f t="shared" si="141"/>
        <v>87882.3</v>
      </c>
      <c r="AA1823" s="2">
        <f t="shared" si="142"/>
        <v>87882.2658860378</v>
      </c>
      <c r="AB1823" s="1">
        <f t="shared" si="143"/>
        <v>8.8616463286321223E-2</v>
      </c>
      <c r="AC1823" s="1" t="b">
        <f t="shared" si="144"/>
        <v>1</v>
      </c>
    </row>
    <row r="1824" spans="1:29" x14ac:dyDescent="0.25">
      <c r="A1824" s="1">
        <v>1137.809</v>
      </c>
      <c r="B1824">
        <v>50</v>
      </c>
      <c r="D1824" s="2">
        <v>87888.2</v>
      </c>
      <c r="M1824">
        <v>19</v>
      </c>
      <c r="Y1824" s="1">
        <f t="shared" si="140"/>
        <v>1137.809</v>
      </c>
      <c r="Z1824" s="2">
        <f t="shared" si="141"/>
        <v>87888.2</v>
      </c>
      <c r="AA1824" s="2">
        <f t="shared" si="142"/>
        <v>87888.213223836341</v>
      </c>
      <c r="AB1824" s="1">
        <f t="shared" si="143"/>
        <v>8.8621690118392604E-2</v>
      </c>
      <c r="AC1824" s="1" t="b">
        <f t="shared" si="144"/>
        <v>1</v>
      </c>
    </row>
    <row r="1825" spans="1:29" x14ac:dyDescent="0.25">
      <c r="A1825" s="1">
        <v>1137.7139999999999</v>
      </c>
      <c r="B1825">
        <v>100</v>
      </c>
      <c r="D1825" s="2">
        <v>87895.6</v>
      </c>
      <c r="E1825">
        <v>27604</v>
      </c>
      <c r="F1825" t="s">
        <v>15</v>
      </c>
      <c r="G1825" t="s">
        <v>16</v>
      </c>
      <c r="H1825">
        <v>115499</v>
      </c>
      <c r="I1825" t="s">
        <v>17</v>
      </c>
      <c r="J1825" t="s">
        <v>16</v>
      </c>
      <c r="K1825">
        <v>27604.26</v>
      </c>
      <c r="L1825">
        <v>115499.8</v>
      </c>
      <c r="M1825">
        <v>19</v>
      </c>
      <c r="Y1825" s="1">
        <f t="shared" si="140"/>
        <v>1137.7139999999999</v>
      </c>
      <c r="Z1825" s="2">
        <f t="shared" si="141"/>
        <v>87895.6</v>
      </c>
      <c r="AA1825" s="2">
        <f t="shared" si="142"/>
        <v>87895.551957697637</v>
      </c>
      <c r="AB1825" s="1">
        <f t="shared" si="143"/>
        <v>8.8628140269741626E-2</v>
      </c>
      <c r="AC1825" s="1" t="b">
        <f t="shared" si="144"/>
        <v>1</v>
      </c>
    </row>
    <row r="1826" spans="1:29" x14ac:dyDescent="0.25">
      <c r="A1826" s="1">
        <v>1137.1969999999999</v>
      </c>
      <c r="B1826">
        <v>20</v>
      </c>
      <c r="D1826" s="2">
        <v>87935.5</v>
      </c>
      <c r="E1826">
        <v>23175</v>
      </c>
      <c r="F1826" t="s">
        <v>15</v>
      </c>
      <c r="G1826" t="s">
        <v>50</v>
      </c>
      <c r="H1826">
        <v>111110</v>
      </c>
      <c r="I1826" t="s">
        <v>17</v>
      </c>
      <c r="J1826" t="s">
        <v>50</v>
      </c>
      <c r="K1826">
        <v>23175.09</v>
      </c>
      <c r="L1826">
        <v>111110.3</v>
      </c>
      <c r="M1826">
        <v>19</v>
      </c>
      <c r="Y1826" s="1">
        <f t="shared" si="140"/>
        <v>1137.1969999999999</v>
      </c>
      <c r="Z1826" s="2">
        <f t="shared" si="141"/>
        <v>87935.5</v>
      </c>
      <c r="AA1826" s="2">
        <f t="shared" si="142"/>
        <v>87935.511613203344</v>
      </c>
      <c r="AB1826" s="1">
        <f t="shared" si="143"/>
        <v>8.8663271013379105E-2</v>
      </c>
      <c r="AC1826" s="1" t="b">
        <f t="shared" si="144"/>
        <v>1</v>
      </c>
    </row>
    <row r="1827" spans="1:29" x14ac:dyDescent="0.25">
      <c r="A1827" s="1">
        <v>1136.8520000000001</v>
      </c>
      <c r="B1827">
        <v>3</v>
      </c>
      <c r="D1827" s="2">
        <v>87962.2</v>
      </c>
      <c r="E1827">
        <v>23532</v>
      </c>
      <c r="F1827" t="s">
        <v>15</v>
      </c>
      <c r="G1827" t="s">
        <v>28</v>
      </c>
      <c r="H1827">
        <v>111494</v>
      </c>
      <c r="I1827" t="s">
        <v>17</v>
      </c>
      <c r="J1827" t="s">
        <v>28</v>
      </c>
      <c r="K1827">
        <v>23532.86</v>
      </c>
      <c r="L1827">
        <v>111494.8</v>
      </c>
      <c r="M1827">
        <v>19</v>
      </c>
      <c r="Y1827" s="1">
        <f t="shared" si="140"/>
        <v>1136.8520000000001</v>
      </c>
      <c r="Z1827" s="2">
        <f t="shared" si="141"/>
        <v>87962.2</v>
      </c>
      <c r="AA1827" s="2">
        <f t="shared" si="142"/>
        <v>87962.197366059961</v>
      </c>
      <c r="AB1827" s="1">
        <f t="shared" si="143"/>
        <v>8.8686740827328442E-2</v>
      </c>
      <c r="AC1827" s="1" t="b">
        <f t="shared" si="144"/>
        <v>1</v>
      </c>
    </row>
    <row r="1828" spans="1:29" x14ac:dyDescent="0.25">
      <c r="A1828" s="1">
        <v>1136.7090000000001</v>
      </c>
      <c r="B1828">
        <v>50</v>
      </c>
      <c r="D1828" s="2">
        <v>87973.3</v>
      </c>
      <c r="M1828">
        <v>19</v>
      </c>
      <c r="Y1828" s="1">
        <f t="shared" si="140"/>
        <v>1136.7090000000001</v>
      </c>
      <c r="Z1828" s="2">
        <f t="shared" si="141"/>
        <v>87973.3</v>
      </c>
      <c r="AA1828" s="2">
        <f t="shared" si="142"/>
        <v>87973.263165858632</v>
      </c>
      <c r="AB1828" s="1">
        <f t="shared" si="143"/>
        <v>8.869647516024709E-2</v>
      </c>
      <c r="AC1828" s="1" t="b">
        <f t="shared" si="144"/>
        <v>1</v>
      </c>
    </row>
    <row r="1829" spans="1:29" x14ac:dyDescent="0.25">
      <c r="A1829" s="1">
        <v>1136.6279999999999</v>
      </c>
      <c r="B1829">
        <v>8</v>
      </c>
      <c r="D1829" s="2">
        <v>87979.5</v>
      </c>
      <c r="E1829">
        <v>25934</v>
      </c>
      <c r="F1829" t="s">
        <v>15</v>
      </c>
      <c r="G1829" t="s">
        <v>28</v>
      </c>
      <c r="H1829">
        <v>113914</v>
      </c>
      <c r="I1829" t="s">
        <v>17</v>
      </c>
      <c r="J1829" t="s">
        <v>28</v>
      </c>
      <c r="K1829">
        <v>25934.98</v>
      </c>
      <c r="L1829">
        <v>113914.1</v>
      </c>
      <c r="M1829">
        <v>19</v>
      </c>
      <c r="Y1829" s="1">
        <f t="shared" si="140"/>
        <v>1136.6279999999999</v>
      </c>
      <c r="Z1829" s="2">
        <f t="shared" si="141"/>
        <v>87979.5</v>
      </c>
      <c r="AA1829" s="2">
        <f t="shared" si="142"/>
        <v>87979.532441572796</v>
      </c>
      <c r="AB1829" s="1">
        <f t="shared" si="143"/>
        <v>8.8701990643188802E-2</v>
      </c>
      <c r="AC1829" s="1" t="b">
        <f t="shared" si="144"/>
        <v>1</v>
      </c>
    </row>
    <row r="1830" spans="1:29" x14ac:dyDescent="0.25">
      <c r="A1830" s="1">
        <v>1136.5509999999999</v>
      </c>
      <c r="B1830">
        <v>1</v>
      </c>
      <c r="D1830" s="2">
        <v>87985.5</v>
      </c>
      <c r="E1830">
        <v>29263</v>
      </c>
      <c r="F1830" t="s">
        <v>15</v>
      </c>
      <c r="G1830" t="s">
        <v>50</v>
      </c>
      <c r="H1830">
        <v>117248</v>
      </c>
      <c r="I1830" t="s">
        <v>17</v>
      </c>
      <c r="J1830" t="s">
        <v>50</v>
      </c>
      <c r="K1830">
        <v>29263.08</v>
      </c>
      <c r="L1830">
        <v>117248.2</v>
      </c>
      <c r="M1830">
        <v>19</v>
      </c>
      <c r="Y1830" s="1">
        <f t="shared" si="140"/>
        <v>1136.5509999999999</v>
      </c>
      <c r="Z1830" s="2">
        <f t="shared" si="141"/>
        <v>87985.5</v>
      </c>
      <c r="AA1830" s="2">
        <f t="shared" si="142"/>
        <v>87985.49295192209</v>
      </c>
      <c r="AB1830" s="1">
        <f t="shared" si="143"/>
        <v>8.8707234849963665E-2</v>
      </c>
      <c r="AC1830" s="1" t="b">
        <f t="shared" si="144"/>
        <v>1</v>
      </c>
    </row>
    <row r="1831" spans="1:29" x14ac:dyDescent="0.25">
      <c r="A1831" s="1">
        <v>1136.4839999999999</v>
      </c>
      <c r="B1831">
        <v>4</v>
      </c>
      <c r="D1831" s="2">
        <v>87990.7</v>
      </c>
      <c r="E1831">
        <v>17642</v>
      </c>
      <c r="F1831" t="s">
        <v>17</v>
      </c>
      <c r="G1831" t="s">
        <v>57</v>
      </c>
      <c r="H1831">
        <v>105632</v>
      </c>
      <c r="I1831" t="s">
        <v>15</v>
      </c>
      <c r="J1831" t="s">
        <v>50</v>
      </c>
      <c r="K1831">
        <v>17642.060000000001</v>
      </c>
      <c r="L1831">
        <v>105632.16</v>
      </c>
      <c r="M1831">
        <v>19</v>
      </c>
      <c r="N1831" t="s">
        <v>1092</v>
      </c>
      <c r="Y1831" s="1">
        <f t="shared" si="140"/>
        <v>1136.4839999999999</v>
      </c>
      <c r="Z1831" s="2">
        <f t="shared" si="141"/>
        <v>87990.7</v>
      </c>
      <c r="AA1831" s="2">
        <f t="shared" si="142"/>
        <v>87990.680027171533</v>
      </c>
      <c r="AB1831" s="1">
        <f t="shared" si="143"/>
        <v>8.871179885822042E-2</v>
      </c>
      <c r="AC1831" s="1" t="b">
        <f t="shared" si="144"/>
        <v>1</v>
      </c>
    </row>
    <row r="1832" spans="1:29" x14ac:dyDescent="0.25">
      <c r="A1832" s="1">
        <v>1135.9269999999999</v>
      </c>
      <c r="B1832">
        <v>20</v>
      </c>
      <c r="D1832" s="2">
        <v>88033.8</v>
      </c>
      <c r="M1832">
        <v>19</v>
      </c>
      <c r="Y1832" s="1">
        <f t="shared" si="140"/>
        <v>1135.9269999999999</v>
      </c>
      <c r="Z1832" s="2">
        <f t="shared" si="141"/>
        <v>88033.8</v>
      </c>
      <c r="AA1832" s="2">
        <f t="shared" si="142"/>
        <v>88033.826117347344</v>
      </c>
      <c r="AB1832" s="1">
        <f t="shared" si="143"/>
        <v>8.8749772704296737E-2</v>
      </c>
      <c r="AC1832" s="1" t="b">
        <f t="shared" si="144"/>
        <v>1</v>
      </c>
    </row>
    <row r="1833" spans="1:29" x14ac:dyDescent="0.25">
      <c r="A1833" s="1">
        <v>1135.835</v>
      </c>
      <c r="B1833">
        <v>1</v>
      </c>
      <c r="D1833" s="2">
        <v>88041</v>
      </c>
      <c r="E1833">
        <v>17409</v>
      </c>
      <c r="F1833" t="s">
        <v>17</v>
      </c>
      <c r="G1833" t="s">
        <v>23</v>
      </c>
      <c r="H1833">
        <v>105450</v>
      </c>
      <c r="I1833" t="s">
        <v>15</v>
      </c>
      <c r="J1833" t="s">
        <v>23</v>
      </c>
      <c r="K1833">
        <v>17409.580000000002</v>
      </c>
      <c r="L1833">
        <v>105450.18</v>
      </c>
      <c r="M1833">
        <v>19</v>
      </c>
      <c r="N1833" t="s">
        <v>1092</v>
      </c>
      <c r="Y1833" s="1">
        <f t="shared" si="140"/>
        <v>1135.835</v>
      </c>
      <c r="Z1833" s="2">
        <f t="shared" si="141"/>
        <v>88041</v>
      </c>
      <c r="AA1833" s="2">
        <f t="shared" si="142"/>
        <v>88040.956653034984</v>
      </c>
      <c r="AB1833" s="1">
        <f t="shared" si="143"/>
        <v>8.8756050241907941E-2</v>
      </c>
      <c r="AC1833" s="1" t="b">
        <f t="shared" si="144"/>
        <v>1</v>
      </c>
    </row>
    <row r="1834" spans="1:29" x14ac:dyDescent="0.25">
      <c r="A1834" s="1">
        <v>1135.654</v>
      </c>
      <c r="B1834">
        <v>1</v>
      </c>
      <c r="D1834" s="2">
        <v>88055</v>
      </c>
      <c r="M1834">
        <v>19</v>
      </c>
      <c r="Y1834" s="1">
        <f t="shared" si="140"/>
        <v>1135.654</v>
      </c>
      <c r="Z1834" s="2">
        <f t="shared" si="141"/>
        <v>88055</v>
      </c>
      <c r="AA1834" s="2">
        <f t="shared" si="142"/>
        <v>88054.988579267985</v>
      </c>
      <c r="AB1834" s="1">
        <f t="shared" si="143"/>
        <v>8.8768405068475081E-2</v>
      </c>
      <c r="AC1834" s="1" t="b">
        <f t="shared" si="144"/>
        <v>1</v>
      </c>
    </row>
    <row r="1835" spans="1:29" x14ac:dyDescent="0.25">
      <c r="A1835" s="1">
        <v>1135.268</v>
      </c>
      <c r="B1835">
        <v>10</v>
      </c>
      <c r="D1835" s="2">
        <v>88084.9</v>
      </c>
      <c r="M1835">
        <v>19</v>
      </c>
      <c r="Y1835" s="1">
        <f t="shared" si="140"/>
        <v>1135.268</v>
      </c>
      <c r="Z1835" s="2">
        <f t="shared" si="141"/>
        <v>88084.9</v>
      </c>
      <c r="AA1835" s="2">
        <f t="shared" si="142"/>
        <v>88084.927964145914</v>
      </c>
      <c r="AB1835" s="1">
        <f t="shared" si="143"/>
        <v>8.879477267224388E-2</v>
      </c>
      <c r="AC1835" s="1" t="b">
        <f t="shared" si="144"/>
        <v>1</v>
      </c>
    </row>
    <row r="1836" spans="1:29" x14ac:dyDescent="0.25">
      <c r="A1836" s="1">
        <v>1135.0039999999999</v>
      </c>
      <c r="B1836">
        <v>300</v>
      </c>
      <c r="D1836" s="2">
        <v>88105.4</v>
      </c>
      <c r="E1836">
        <v>30505</v>
      </c>
      <c r="F1836" t="s">
        <v>15</v>
      </c>
      <c r="G1836" t="s">
        <v>23</v>
      </c>
      <c r="H1836">
        <v>118610</v>
      </c>
      <c r="I1836" t="s">
        <v>17</v>
      </c>
      <c r="J1836" t="s">
        <v>50</v>
      </c>
      <c r="K1836">
        <v>30505.72</v>
      </c>
      <c r="L1836">
        <v>118610.9</v>
      </c>
      <c r="M1836">
        <v>19</v>
      </c>
      <c r="Y1836" s="1">
        <f t="shared" si="140"/>
        <v>1135.0039999999999</v>
      </c>
      <c r="Z1836" s="2">
        <f t="shared" si="141"/>
        <v>88105.4</v>
      </c>
      <c r="AA1836" s="2">
        <f t="shared" si="142"/>
        <v>88105.416368576683</v>
      </c>
      <c r="AB1836" s="1">
        <f t="shared" si="143"/>
        <v>8.8812821967401312E-2</v>
      </c>
      <c r="AC1836" s="1" t="b">
        <f t="shared" si="144"/>
        <v>1</v>
      </c>
    </row>
    <row r="1837" spans="1:29" x14ac:dyDescent="0.25">
      <c r="A1837" s="1">
        <v>1134.751</v>
      </c>
      <c r="B1837">
        <v>8</v>
      </c>
      <c r="D1837" s="2">
        <v>88125.1</v>
      </c>
      <c r="E1837">
        <v>25033</v>
      </c>
      <c r="F1837" t="s">
        <v>15</v>
      </c>
      <c r="G1837" t="s">
        <v>16</v>
      </c>
      <c r="H1837">
        <v>113158</v>
      </c>
      <c r="I1837" t="s">
        <v>17</v>
      </c>
      <c r="J1837" t="s">
        <v>16</v>
      </c>
      <c r="K1837">
        <v>25033.91</v>
      </c>
      <c r="L1837">
        <v>113158.8</v>
      </c>
      <c r="M1837">
        <v>19</v>
      </c>
      <c r="Y1837" s="1">
        <f t="shared" si="140"/>
        <v>1134.751</v>
      </c>
      <c r="Z1837" s="2">
        <f t="shared" si="141"/>
        <v>88125.1</v>
      </c>
      <c r="AA1837" s="2">
        <f t="shared" si="142"/>
        <v>88125.060035197152</v>
      </c>
      <c r="AB1837" s="1">
        <f t="shared" si="143"/>
        <v>8.8830131031035514E-2</v>
      </c>
      <c r="AC1837" s="1" t="b">
        <f t="shared" si="144"/>
        <v>1</v>
      </c>
    </row>
    <row r="1838" spans="1:29" x14ac:dyDescent="0.25">
      <c r="A1838" s="1">
        <v>1134.462</v>
      </c>
      <c r="B1838">
        <v>4</v>
      </c>
      <c r="D1838" s="2">
        <v>88147.5</v>
      </c>
      <c r="E1838">
        <v>25409</v>
      </c>
      <c r="F1838" t="s">
        <v>15</v>
      </c>
      <c r="G1838" t="s">
        <v>18</v>
      </c>
      <c r="H1838">
        <v>113556</v>
      </c>
      <c r="I1838" t="s">
        <v>17</v>
      </c>
      <c r="J1838" t="s">
        <v>28</v>
      </c>
      <c r="K1838">
        <v>25409.74</v>
      </c>
      <c r="L1838">
        <v>113556.8</v>
      </c>
      <c r="M1838">
        <v>19</v>
      </c>
      <c r="Y1838" s="1">
        <f t="shared" si="140"/>
        <v>1134.462</v>
      </c>
      <c r="Z1838" s="2">
        <f t="shared" si="141"/>
        <v>88147.5</v>
      </c>
      <c r="AA1838" s="2">
        <f t="shared" si="142"/>
        <v>88147.509568412162</v>
      </c>
      <c r="AB1838" s="1">
        <f t="shared" si="143"/>
        <v>8.8849917215566565E-2</v>
      </c>
      <c r="AC1838" s="1" t="b">
        <f t="shared" si="144"/>
        <v>1</v>
      </c>
    </row>
    <row r="1839" spans="1:29" x14ac:dyDescent="0.25">
      <c r="A1839" s="1">
        <v>1134.298</v>
      </c>
      <c r="B1839">
        <v>50</v>
      </c>
      <c r="D1839" s="2">
        <v>88160.2</v>
      </c>
      <c r="E1839">
        <v>23175</v>
      </c>
      <c r="F1839" t="s">
        <v>15</v>
      </c>
      <c r="G1839" t="s">
        <v>50</v>
      </c>
      <c r="H1839">
        <v>111335</v>
      </c>
      <c r="I1839" t="s">
        <v>17</v>
      </c>
      <c r="J1839" t="s">
        <v>57</v>
      </c>
      <c r="K1839">
        <v>23175.09</v>
      </c>
      <c r="L1839">
        <v>111335.1</v>
      </c>
      <c r="M1839">
        <v>19</v>
      </c>
      <c r="Y1839" s="1">
        <f t="shared" si="140"/>
        <v>1134.298</v>
      </c>
      <c r="Z1839" s="2">
        <f t="shared" si="141"/>
        <v>88160.2</v>
      </c>
      <c r="AA1839" s="2">
        <f t="shared" si="142"/>
        <v>88160.254183644865</v>
      </c>
      <c r="AB1839" s="1">
        <f t="shared" si="143"/>
        <v>8.8861152088624357E-2</v>
      </c>
      <c r="AC1839" s="1" t="b">
        <f t="shared" si="144"/>
        <v>1</v>
      </c>
    </row>
    <row r="1840" spans="1:29" x14ac:dyDescent="0.25">
      <c r="A1840" s="1">
        <v>1133.4829999999999</v>
      </c>
      <c r="B1840">
        <v>30</v>
      </c>
      <c r="D1840" s="2">
        <v>88223.6</v>
      </c>
      <c r="M1840">
        <v>19</v>
      </c>
      <c r="Y1840" s="1">
        <f t="shared" si="140"/>
        <v>1133.4829999999999</v>
      </c>
      <c r="Z1840" s="2">
        <f t="shared" si="141"/>
        <v>88223.6</v>
      </c>
      <c r="AA1840" s="2">
        <f t="shared" si="142"/>
        <v>88223.643407091251</v>
      </c>
      <c r="AB1840" s="1">
        <f t="shared" si="143"/>
        <v>8.8917056280107987E-2</v>
      </c>
      <c r="AC1840" s="1" t="b">
        <f t="shared" si="144"/>
        <v>1</v>
      </c>
    </row>
    <row r="1841" spans="1:29" x14ac:dyDescent="0.25">
      <c r="A1841" s="1">
        <v>1133.2719999999999</v>
      </c>
      <c r="B1841">
        <v>20</v>
      </c>
      <c r="D1841" s="2">
        <v>88240.1</v>
      </c>
      <c r="M1841">
        <v>19</v>
      </c>
      <c r="Y1841" s="1">
        <f t="shared" si="140"/>
        <v>1133.2719999999999</v>
      </c>
      <c r="Z1841" s="2">
        <f t="shared" si="141"/>
        <v>88240.1</v>
      </c>
      <c r="AA1841" s="2">
        <f t="shared" si="142"/>
        <v>88240.069462582687</v>
      </c>
      <c r="AB1841" s="1">
        <f t="shared" si="143"/>
        <v>8.8931549293807088E-2</v>
      </c>
      <c r="AC1841" s="1" t="b">
        <f t="shared" si="144"/>
        <v>1</v>
      </c>
    </row>
    <row r="1842" spans="1:29" x14ac:dyDescent="0.25">
      <c r="A1842" s="1">
        <v>1132.8510000000001</v>
      </c>
      <c r="B1842">
        <v>40</v>
      </c>
      <c r="D1842" s="2">
        <v>88272.9</v>
      </c>
      <c r="E1842">
        <v>29267</v>
      </c>
      <c r="F1842" t="s">
        <v>15</v>
      </c>
      <c r="G1842" t="s">
        <v>28</v>
      </c>
      <c r="H1842">
        <v>117540</v>
      </c>
      <c r="I1842" t="s">
        <v>17</v>
      </c>
      <c r="J1842" t="s">
        <v>29</v>
      </c>
      <c r="K1842">
        <v>29267.86</v>
      </c>
      <c r="L1842">
        <v>117540.5</v>
      </c>
      <c r="M1842">
        <v>19</v>
      </c>
      <c r="Y1842" s="1">
        <f t="shared" si="140"/>
        <v>1132.8510000000001</v>
      </c>
      <c r="Z1842" s="2">
        <f t="shared" si="141"/>
        <v>88272.9</v>
      </c>
      <c r="AA1842" s="2">
        <f t="shared" si="142"/>
        <v>88272.862009213917</v>
      </c>
      <c r="AB1842" s="1">
        <f t="shared" si="143"/>
        <v>8.8960490836488604E-2</v>
      </c>
      <c r="AC1842" s="1" t="b">
        <f t="shared" si="144"/>
        <v>1</v>
      </c>
    </row>
    <row r="1843" spans="1:29" x14ac:dyDescent="0.25">
      <c r="A1843" s="1">
        <v>1131.973</v>
      </c>
      <c r="B1843">
        <v>1</v>
      </c>
      <c r="D1843" s="2">
        <v>88341.3</v>
      </c>
      <c r="E1843">
        <v>23651</v>
      </c>
      <c r="F1843" t="s">
        <v>15</v>
      </c>
      <c r="G1843" t="s">
        <v>18</v>
      </c>
      <c r="H1843">
        <v>111993</v>
      </c>
      <c r="I1843" t="s">
        <v>17</v>
      </c>
      <c r="J1843" t="s">
        <v>16</v>
      </c>
      <c r="K1843">
        <v>23651.88</v>
      </c>
      <c r="L1843">
        <v>111993</v>
      </c>
      <c r="M1843">
        <v>19</v>
      </c>
      <c r="Y1843" s="1">
        <f t="shared" si="140"/>
        <v>1131.973</v>
      </c>
      <c r="Z1843" s="2">
        <f t="shared" si="141"/>
        <v>88341.3</v>
      </c>
      <c r="AA1843" s="2">
        <f t="shared" si="142"/>
        <v>88341.329696026325</v>
      </c>
      <c r="AB1843" s="1">
        <f t="shared" si="143"/>
        <v>8.902095266231011E-2</v>
      </c>
      <c r="AC1843" s="1" t="b">
        <f t="shared" si="144"/>
        <v>1</v>
      </c>
    </row>
    <row r="1844" spans="1:29" x14ac:dyDescent="0.25">
      <c r="A1844" s="1">
        <v>1131.7190000000001</v>
      </c>
      <c r="B1844">
        <v>2</v>
      </c>
      <c r="D1844" s="2">
        <v>88361.2</v>
      </c>
      <c r="E1844">
        <v>27138</v>
      </c>
      <c r="F1844" t="s">
        <v>15</v>
      </c>
      <c r="G1844" t="s">
        <v>18</v>
      </c>
      <c r="H1844">
        <v>115499</v>
      </c>
      <c r="I1844" t="s">
        <v>17</v>
      </c>
      <c r="J1844" t="s">
        <v>16</v>
      </c>
      <c r="K1844">
        <v>27138.55</v>
      </c>
      <c r="L1844">
        <v>115499.8</v>
      </c>
      <c r="M1844">
        <v>19</v>
      </c>
      <c r="Y1844" s="1">
        <f t="shared" si="140"/>
        <v>1131.7190000000001</v>
      </c>
      <c r="Z1844" s="2">
        <f t="shared" si="141"/>
        <v>88361.2</v>
      </c>
      <c r="AA1844" s="2">
        <f t="shared" si="142"/>
        <v>88361.156788920212</v>
      </c>
      <c r="AB1844" s="1">
        <f t="shared" si="143"/>
        <v>8.9038470145380716E-2</v>
      </c>
      <c r="AC1844" s="1" t="b">
        <f t="shared" si="144"/>
        <v>1</v>
      </c>
    </row>
    <row r="1845" spans="1:29" x14ac:dyDescent="0.25">
      <c r="A1845" s="1">
        <v>1131.558</v>
      </c>
      <c r="B1845">
        <v>10</v>
      </c>
      <c r="D1845" s="2">
        <v>88373.7</v>
      </c>
      <c r="E1845">
        <v>30505</v>
      </c>
      <c r="F1845" t="s">
        <v>15</v>
      </c>
      <c r="G1845" t="s">
        <v>23</v>
      </c>
      <c r="H1845">
        <v>118879</v>
      </c>
      <c r="I1845" t="s">
        <v>17</v>
      </c>
      <c r="J1845" t="s">
        <v>23</v>
      </c>
      <c r="K1845">
        <v>30505.72</v>
      </c>
      <c r="L1845">
        <v>118879.3</v>
      </c>
      <c r="M1845">
        <v>19</v>
      </c>
      <c r="Y1845" s="1">
        <f t="shared" si="140"/>
        <v>1131.558</v>
      </c>
      <c r="Z1845" s="2">
        <f t="shared" si="141"/>
        <v>88373.7</v>
      </c>
      <c r="AA1845" s="2">
        <f t="shared" si="142"/>
        <v>88373.728964843162</v>
      </c>
      <c r="AB1845" s="1">
        <f t="shared" si="143"/>
        <v>8.9049579855757802E-2</v>
      </c>
      <c r="AC1845" s="1" t="b">
        <f t="shared" si="144"/>
        <v>1</v>
      </c>
    </row>
    <row r="1846" spans="1:29" x14ac:dyDescent="0.25">
      <c r="A1846" s="1">
        <v>1131.2829999999999</v>
      </c>
      <c r="B1846">
        <v>8</v>
      </c>
      <c r="D1846" s="2">
        <v>88395.199999999997</v>
      </c>
      <c r="E1846">
        <v>22527</v>
      </c>
      <c r="F1846" t="s">
        <v>15</v>
      </c>
      <c r="G1846" t="s">
        <v>18</v>
      </c>
      <c r="H1846">
        <v>110922</v>
      </c>
      <c r="I1846" t="s">
        <v>17</v>
      </c>
      <c r="J1846" t="s">
        <v>16</v>
      </c>
      <c r="K1846">
        <v>22527.7</v>
      </c>
      <c r="L1846">
        <v>110922.5</v>
      </c>
      <c r="M1846">
        <v>19</v>
      </c>
      <c r="Y1846" s="1">
        <f t="shared" si="140"/>
        <v>1131.2829999999999</v>
      </c>
      <c r="Z1846" s="2">
        <f t="shared" si="141"/>
        <v>88395.199999999997</v>
      </c>
      <c r="AA1846" s="2">
        <f t="shared" si="142"/>
        <v>88395.211454605087</v>
      </c>
      <c r="AB1846" s="1">
        <f t="shared" si="143"/>
        <v>8.906856704052174E-2</v>
      </c>
      <c r="AC1846" s="1" t="b">
        <f t="shared" si="144"/>
        <v>1</v>
      </c>
    </row>
    <row r="1847" spans="1:29" x14ac:dyDescent="0.25">
      <c r="A1847" s="1">
        <v>1130.9880000000001</v>
      </c>
      <c r="B1847">
        <v>15</v>
      </c>
      <c r="D1847" s="2">
        <v>88418.3</v>
      </c>
      <c r="E1847">
        <v>29267</v>
      </c>
      <c r="F1847" t="s">
        <v>15</v>
      </c>
      <c r="G1847" t="s">
        <v>28</v>
      </c>
      <c r="H1847">
        <v>117686</v>
      </c>
      <c r="I1847" t="s">
        <v>17</v>
      </c>
      <c r="J1847" t="s">
        <v>28</v>
      </c>
      <c r="K1847">
        <v>29267.86</v>
      </c>
      <c r="L1847">
        <v>117686.39999999999</v>
      </c>
      <c r="M1847">
        <v>19</v>
      </c>
      <c r="Y1847" s="1">
        <f t="shared" si="140"/>
        <v>1130.9880000000001</v>
      </c>
      <c r="Z1847" s="2">
        <f t="shared" si="141"/>
        <v>88418.3</v>
      </c>
      <c r="AA1847" s="2">
        <f t="shared" si="142"/>
        <v>88418.267921498715</v>
      </c>
      <c r="AB1847" s="1">
        <f t="shared" si="143"/>
        <v>8.9088950511189646E-2</v>
      </c>
      <c r="AC1847" s="1" t="b">
        <f t="shared" si="144"/>
        <v>1</v>
      </c>
    </row>
    <row r="1848" spans="1:29" x14ac:dyDescent="0.25">
      <c r="A1848" s="1">
        <v>1130.7529999999999</v>
      </c>
      <c r="B1848">
        <v>2</v>
      </c>
      <c r="D1848" s="2">
        <v>88436.6</v>
      </c>
      <c r="E1848">
        <v>29835</v>
      </c>
      <c r="F1848" t="s">
        <v>15</v>
      </c>
      <c r="G1848" t="s">
        <v>16</v>
      </c>
      <c r="H1848">
        <v>118271</v>
      </c>
      <c r="I1848" t="s">
        <v>17</v>
      </c>
      <c r="J1848" t="s">
        <v>23</v>
      </c>
      <c r="K1848">
        <v>29835.09</v>
      </c>
      <c r="L1848">
        <v>118271.6</v>
      </c>
      <c r="M1848">
        <v>19</v>
      </c>
      <c r="Y1848" s="1">
        <f t="shared" si="140"/>
        <v>1130.7529999999999</v>
      </c>
      <c r="Z1848" s="2">
        <f t="shared" si="141"/>
        <v>88436.6</v>
      </c>
      <c r="AA1848" s="2">
        <f t="shared" si="142"/>
        <v>88436.643546380161</v>
      </c>
      <c r="AB1848" s="1">
        <f t="shared" si="143"/>
        <v>8.9105199608747521E-2</v>
      </c>
      <c r="AC1848" s="1" t="b">
        <f t="shared" si="144"/>
        <v>1</v>
      </c>
    </row>
    <row r="1849" spans="1:29" x14ac:dyDescent="0.25">
      <c r="A1849" s="1">
        <v>1130.654</v>
      </c>
      <c r="B1849">
        <v>1</v>
      </c>
      <c r="D1849" s="2">
        <v>88444.4</v>
      </c>
      <c r="E1849">
        <v>23050</v>
      </c>
      <c r="F1849" t="s">
        <v>15</v>
      </c>
      <c r="G1849" t="s">
        <v>29</v>
      </c>
      <c r="H1849">
        <v>111494</v>
      </c>
      <c r="I1849" t="s">
        <v>17</v>
      </c>
      <c r="J1849" t="s">
        <v>28</v>
      </c>
      <c r="K1849">
        <v>23050.61</v>
      </c>
      <c r="L1849">
        <v>111494.8</v>
      </c>
      <c r="M1849">
        <v>19</v>
      </c>
      <c r="Y1849" s="1">
        <f t="shared" si="140"/>
        <v>1130.654</v>
      </c>
      <c r="Z1849" s="2">
        <f t="shared" si="141"/>
        <v>88444.4</v>
      </c>
      <c r="AA1849" s="2">
        <f t="shared" si="142"/>
        <v>88444.387053864397</v>
      </c>
      <c r="AB1849" s="1">
        <f t="shared" si="143"/>
        <v>8.9112048006668887E-2</v>
      </c>
      <c r="AC1849" s="1" t="b">
        <f t="shared" si="144"/>
        <v>1</v>
      </c>
    </row>
    <row r="1850" spans="1:29" x14ac:dyDescent="0.25">
      <c r="A1850" s="1">
        <v>1130.3630000000001</v>
      </c>
      <c r="B1850">
        <v>3</v>
      </c>
      <c r="D1850" s="2">
        <v>88467.199999999997</v>
      </c>
      <c r="M1850">
        <v>19</v>
      </c>
      <c r="Y1850" s="1">
        <f t="shared" si="140"/>
        <v>1130.3630000000001</v>
      </c>
      <c r="Z1850" s="2">
        <f t="shared" si="141"/>
        <v>88467.199999999997</v>
      </c>
      <c r="AA1850" s="2">
        <f t="shared" si="142"/>
        <v>88467.156125952461</v>
      </c>
      <c r="AB1850" s="1">
        <f t="shared" si="143"/>
        <v>8.9132188565068243E-2</v>
      </c>
      <c r="AC1850" s="1" t="b">
        <f t="shared" si="144"/>
        <v>1</v>
      </c>
    </row>
    <row r="1851" spans="1:29" x14ac:dyDescent="0.25">
      <c r="A1851" s="1">
        <v>1130.153</v>
      </c>
      <c r="B1851">
        <v>3</v>
      </c>
      <c r="D1851" s="2">
        <v>88483.6</v>
      </c>
      <c r="M1851">
        <v>19</v>
      </c>
      <c r="Y1851" s="1">
        <f t="shared" si="140"/>
        <v>1130.153</v>
      </c>
      <c r="Z1851" s="2">
        <f t="shared" si="141"/>
        <v>88483.6</v>
      </c>
      <c r="AA1851" s="2">
        <f t="shared" si="142"/>
        <v>88483.594699124806</v>
      </c>
      <c r="AB1851" s="1">
        <f t="shared" si="143"/>
        <v>8.9146732654394933E-2</v>
      </c>
      <c r="AC1851" s="1" t="b">
        <f t="shared" si="144"/>
        <v>1</v>
      </c>
    </row>
    <row r="1852" spans="1:29" x14ac:dyDescent="0.25">
      <c r="A1852" s="1">
        <v>1129.886</v>
      </c>
      <c r="B1852">
        <v>3</v>
      </c>
      <c r="D1852" s="2">
        <v>88504.5</v>
      </c>
      <c r="E1852">
        <v>25409</v>
      </c>
      <c r="F1852" t="s">
        <v>15</v>
      </c>
      <c r="G1852" t="s">
        <v>18</v>
      </c>
      <c r="H1852">
        <v>113914</v>
      </c>
      <c r="I1852" t="s">
        <v>17</v>
      </c>
      <c r="J1852" t="s">
        <v>28</v>
      </c>
      <c r="K1852">
        <v>25409.74</v>
      </c>
      <c r="L1852">
        <v>113914.1</v>
      </c>
      <c r="M1852">
        <v>19</v>
      </c>
      <c r="Y1852" s="1">
        <f t="shared" si="140"/>
        <v>1129.886</v>
      </c>
      <c r="Z1852" s="2">
        <f t="shared" si="141"/>
        <v>88504.5</v>
      </c>
      <c r="AA1852" s="2">
        <f t="shared" si="142"/>
        <v>88504.503994208266</v>
      </c>
      <c r="AB1852" s="1">
        <f t="shared" si="143"/>
        <v>8.9165236136304143E-2</v>
      </c>
      <c r="AC1852" s="1" t="b">
        <f t="shared" si="144"/>
        <v>1</v>
      </c>
    </row>
    <row r="1853" spans="1:29" x14ac:dyDescent="0.25">
      <c r="A1853" s="1">
        <v>1129.7850000000001</v>
      </c>
      <c r="B1853">
        <v>10</v>
      </c>
      <c r="D1853" s="2">
        <v>88512.4</v>
      </c>
      <c r="E1853">
        <v>29263</v>
      </c>
      <c r="F1853" t="s">
        <v>15</v>
      </c>
      <c r="G1853" t="s">
        <v>50</v>
      </c>
      <c r="H1853">
        <v>117775</v>
      </c>
      <c r="I1853" t="s">
        <v>17</v>
      </c>
      <c r="J1853" t="s">
        <v>50</v>
      </c>
      <c r="K1853">
        <v>29263.08</v>
      </c>
      <c r="L1853">
        <v>117775.3</v>
      </c>
      <c r="M1853">
        <v>19</v>
      </c>
      <c r="Y1853" s="1">
        <f t="shared" si="140"/>
        <v>1129.7850000000001</v>
      </c>
      <c r="Z1853" s="2">
        <f t="shared" si="141"/>
        <v>88512.4</v>
      </c>
      <c r="AA1853" s="2">
        <f t="shared" si="142"/>
        <v>88512.416079165501</v>
      </c>
      <c r="AB1853" s="1">
        <f t="shared" si="143"/>
        <v>8.9172239000856579E-2</v>
      </c>
      <c r="AC1853" s="1" t="b">
        <f t="shared" si="144"/>
        <v>1</v>
      </c>
    </row>
    <row r="1854" spans="1:29" x14ac:dyDescent="0.25">
      <c r="A1854" s="1">
        <v>1129.0540000000001</v>
      </c>
      <c r="B1854">
        <v>1</v>
      </c>
      <c r="D1854" s="2">
        <v>88569.7</v>
      </c>
      <c r="E1854">
        <v>27452</v>
      </c>
      <c r="F1854" t="s">
        <v>15</v>
      </c>
      <c r="G1854" t="s">
        <v>28</v>
      </c>
      <c r="H1854">
        <v>116021</v>
      </c>
      <c r="I1854" t="s">
        <v>17</v>
      </c>
      <c r="J1854" t="s">
        <v>18</v>
      </c>
      <c r="K1854">
        <v>27452.45</v>
      </c>
      <c r="L1854">
        <v>116021.8</v>
      </c>
      <c r="M1854">
        <v>19</v>
      </c>
      <c r="Y1854" s="1">
        <f t="shared" si="140"/>
        <v>1129.0540000000001</v>
      </c>
      <c r="Z1854" s="2">
        <f t="shared" si="141"/>
        <v>88569.7</v>
      </c>
      <c r="AA1854" s="2">
        <f t="shared" si="142"/>
        <v>88569.722971620489</v>
      </c>
      <c r="AB1854" s="1">
        <f t="shared" si="143"/>
        <v>8.9222979136347996E-2</v>
      </c>
      <c r="AC1854" s="1" t="b">
        <f t="shared" si="144"/>
        <v>1</v>
      </c>
    </row>
    <row r="1855" spans="1:29" x14ac:dyDescent="0.25">
      <c r="A1855" s="1">
        <v>1128.731</v>
      </c>
      <c r="B1855">
        <v>1</v>
      </c>
      <c r="D1855" s="2">
        <v>88595.1</v>
      </c>
      <c r="E1855">
        <v>22747</v>
      </c>
      <c r="F1855" t="s">
        <v>15</v>
      </c>
      <c r="G1855" t="s">
        <v>16</v>
      </c>
      <c r="H1855">
        <v>111342</v>
      </c>
      <c r="I1855" t="s">
        <v>17</v>
      </c>
      <c r="J1855" t="s">
        <v>18</v>
      </c>
      <c r="K1855">
        <v>22747.69</v>
      </c>
      <c r="L1855">
        <v>111342.8</v>
      </c>
      <c r="M1855">
        <v>19</v>
      </c>
      <c r="Y1855" s="1">
        <f t="shared" si="140"/>
        <v>1128.731</v>
      </c>
      <c r="Z1855" s="2">
        <f t="shared" si="141"/>
        <v>88595.1</v>
      </c>
      <c r="AA1855" s="2">
        <f t="shared" si="142"/>
        <v>88595.068266929855</v>
      </c>
      <c r="AB1855" s="1">
        <f t="shared" si="143"/>
        <v>8.9245430606109816E-2</v>
      </c>
      <c r="AC1855" s="1" t="b">
        <f t="shared" si="144"/>
        <v>1</v>
      </c>
    </row>
    <row r="1856" spans="1:29" x14ac:dyDescent="0.25">
      <c r="A1856" s="1">
        <v>1127.367</v>
      </c>
      <c r="B1856">
        <v>40</v>
      </c>
      <c r="D1856" s="2">
        <v>88702.3</v>
      </c>
      <c r="E1856">
        <v>26095</v>
      </c>
      <c r="F1856" t="s">
        <v>15</v>
      </c>
      <c r="G1856" t="s">
        <v>23</v>
      </c>
      <c r="H1856">
        <v>114797</v>
      </c>
      <c r="I1856" t="s">
        <v>17</v>
      </c>
      <c r="J1856" t="s">
        <v>50</v>
      </c>
      <c r="K1856">
        <v>26095.23</v>
      </c>
      <c r="L1856">
        <v>114797.2</v>
      </c>
      <c r="M1856">
        <v>19</v>
      </c>
      <c r="Y1856" s="1">
        <f t="shared" si="140"/>
        <v>1127.367</v>
      </c>
      <c r="Z1856" s="2">
        <f t="shared" si="141"/>
        <v>88702.3</v>
      </c>
      <c r="AA1856" s="2">
        <f t="shared" si="142"/>
        <v>88702.259335247538</v>
      </c>
      <c r="AB1856" s="1">
        <f t="shared" si="143"/>
        <v>8.9340454055887544E-2</v>
      </c>
      <c r="AC1856" s="1" t="b">
        <f t="shared" si="144"/>
        <v>1</v>
      </c>
    </row>
    <row r="1857" spans="1:29" x14ac:dyDescent="0.25">
      <c r="A1857" s="1">
        <v>1127.107</v>
      </c>
      <c r="B1857">
        <v>4</v>
      </c>
      <c r="D1857" s="2">
        <v>88722.7</v>
      </c>
      <c r="E1857">
        <v>21611</v>
      </c>
      <c r="F1857" t="s">
        <v>15</v>
      </c>
      <c r="G1857" t="s">
        <v>28</v>
      </c>
      <c r="H1857">
        <v>110333</v>
      </c>
      <c r="I1857" t="s">
        <v>17</v>
      </c>
      <c r="J1857" t="s">
        <v>18</v>
      </c>
      <c r="K1857">
        <v>21611.19</v>
      </c>
      <c r="L1857">
        <v>110333.5</v>
      </c>
      <c r="M1857">
        <v>19</v>
      </c>
      <c r="Y1857" s="1">
        <f t="shared" si="140"/>
        <v>1127.107</v>
      </c>
      <c r="Z1857" s="2">
        <f t="shared" si="141"/>
        <v>88722.7</v>
      </c>
      <c r="AA1857" s="2">
        <f t="shared" si="142"/>
        <v>88722.721090366758</v>
      </c>
      <c r="AB1857" s="1">
        <f t="shared" si="143"/>
        <v>8.9358606188395057E-2</v>
      </c>
      <c r="AC1857" s="1" t="b">
        <f t="shared" si="144"/>
        <v>1</v>
      </c>
    </row>
    <row r="1858" spans="1:29" x14ac:dyDescent="0.25">
      <c r="A1858" s="1">
        <v>1127.03</v>
      </c>
      <c r="B1858">
        <v>2</v>
      </c>
      <c r="D1858" s="2">
        <v>88728.8</v>
      </c>
      <c r="E1858">
        <v>39485</v>
      </c>
      <c r="F1858" t="s">
        <v>15</v>
      </c>
      <c r="G1858" t="s">
        <v>258</v>
      </c>
      <c r="H1858">
        <v>128214</v>
      </c>
      <c r="I1858" t="s">
        <v>17</v>
      </c>
      <c r="J1858" t="s">
        <v>29</v>
      </c>
      <c r="K1858">
        <v>39485.480000000003</v>
      </c>
      <c r="L1858">
        <v>128214.2</v>
      </c>
      <c r="M1858">
        <v>19</v>
      </c>
      <c r="Y1858" s="1">
        <f t="shared" si="140"/>
        <v>1127.03</v>
      </c>
      <c r="Z1858" s="2">
        <f t="shared" si="141"/>
        <v>88728.8</v>
      </c>
      <c r="AA1858" s="2">
        <f t="shared" si="142"/>
        <v>88728.782729829734</v>
      </c>
      <c r="AB1858" s="1">
        <f t="shared" si="143"/>
        <v>8.9363984423586659E-2</v>
      </c>
      <c r="AC1858" s="1" t="b">
        <f t="shared" si="144"/>
        <v>1</v>
      </c>
    </row>
    <row r="1859" spans="1:29" x14ac:dyDescent="0.25">
      <c r="A1859" s="1">
        <v>1126.8019999999999</v>
      </c>
      <c r="B1859">
        <v>5</v>
      </c>
      <c r="D1859" s="2">
        <v>88746.7</v>
      </c>
      <c r="E1859">
        <v>25033</v>
      </c>
      <c r="F1859" t="s">
        <v>15</v>
      </c>
      <c r="G1859" t="s">
        <v>16</v>
      </c>
      <c r="H1859">
        <v>113780</v>
      </c>
      <c r="I1859" t="s">
        <v>17</v>
      </c>
      <c r="J1859" t="s">
        <v>16</v>
      </c>
      <c r="K1859">
        <v>25033.91</v>
      </c>
      <c r="L1859">
        <v>113780.5</v>
      </c>
      <c r="M1859">
        <v>19</v>
      </c>
      <c r="Y1859" s="1">
        <f t="shared" ref="Y1859:Y1922" si="145">ROUND($A1859,3)+0</f>
        <v>1126.8019999999999</v>
      </c>
      <c r="Z1859" s="2">
        <f t="shared" ref="Z1859:Z1922" si="146">ROUND($D1859,1)+0</f>
        <v>88746.7</v>
      </c>
      <c r="AA1859" s="2">
        <f t="shared" ref="AA1859:AA1922" si="147">100000000/Y1859</f>
        <v>88746.736338771152</v>
      </c>
      <c r="AB1859" s="1">
        <f t="shared" ref="AB1859:AB1922" si="148">0.0005/$Y1859*AA1859+0.05</f>
        <v>8.9379916053916819E-2</v>
      </c>
      <c r="AC1859" s="1" t="b">
        <f t="shared" ref="AC1859:AC1922" si="149">ABS(Z1859-AA1859)&lt;AB1859</f>
        <v>1</v>
      </c>
    </row>
    <row r="1860" spans="1:29" x14ac:dyDescent="0.25">
      <c r="A1860" s="1">
        <v>1126.623</v>
      </c>
      <c r="B1860">
        <v>2</v>
      </c>
      <c r="D1860" s="2">
        <v>88760.8</v>
      </c>
      <c r="M1860">
        <v>19</v>
      </c>
      <c r="Y1860" s="1">
        <f t="shared" si="145"/>
        <v>1126.623</v>
      </c>
      <c r="Z1860" s="2">
        <f t="shared" si="146"/>
        <v>88760.8</v>
      </c>
      <c r="AA1860" s="2">
        <f t="shared" si="147"/>
        <v>88760.836588637016</v>
      </c>
      <c r="AB1860" s="1">
        <f t="shared" si="148"/>
        <v>8.9392430559573618E-2</v>
      </c>
      <c r="AC1860" s="1" t="b">
        <f t="shared" si="149"/>
        <v>1</v>
      </c>
    </row>
    <row r="1861" spans="1:29" x14ac:dyDescent="0.25">
      <c r="A1861" s="1">
        <v>1126.2819999999999</v>
      </c>
      <c r="B1861">
        <v>3</v>
      </c>
      <c r="D1861" s="2">
        <v>88787.7</v>
      </c>
      <c r="M1861">
        <v>19</v>
      </c>
      <c r="Y1861" s="1">
        <f t="shared" si="145"/>
        <v>1126.2819999999999</v>
      </c>
      <c r="Z1861" s="2">
        <f t="shared" si="146"/>
        <v>88787.7</v>
      </c>
      <c r="AA1861" s="2">
        <f t="shared" si="147"/>
        <v>88787.71036028277</v>
      </c>
      <c r="AB1861" s="1">
        <f t="shared" si="148"/>
        <v>8.9416287555107332E-2</v>
      </c>
      <c r="AC1861" s="1" t="b">
        <f t="shared" si="149"/>
        <v>1</v>
      </c>
    </row>
    <row r="1862" spans="1:29" x14ac:dyDescent="0.25">
      <c r="A1862" s="1">
        <v>1126.1279999999999</v>
      </c>
      <c r="B1862">
        <v>300</v>
      </c>
      <c r="C1862" t="s">
        <v>123</v>
      </c>
      <c r="D1862" s="2">
        <v>88799.8</v>
      </c>
      <c r="E1862">
        <v>29263</v>
      </c>
      <c r="F1862" t="s">
        <v>15</v>
      </c>
      <c r="G1862" t="s">
        <v>50</v>
      </c>
      <c r="H1862">
        <v>118063</v>
      </c>
      <c r="I1862" t="s">
        <v>17</v>
      </c>
      <c r="J1862" t="s">
        <v>57</v>
      </c>
      <c r="K1862">
        <v>29263.08</v>
      </c>
      <c r="L1862">
        <v>118063</v>
      </c>
      <c r="M1862">
        <v>19</v>
      </c>
      <c r="Y1862" s="1">
        <f t="shared" si="145"/>
        <v>1126.1279999999999</v>
      </c>
      <c r="Z1862" s="2">
        <f t="shared" si="146"/>
        <v>88799.8</v>
      </c>
      <c r="AA1862" s="2">
        <f t="shared" si="147"/>
        <v>88799.852237045881</v>
      </c>
      <c r="AB1862" s="1">
        <f t="shared" si="148"/>
        <v>8.9427068786605918E-2</v>
      </c>
      <c r="AC1862" s="1" t="b">
        <f t="shared" si="149"/>
        <v>1</v>
      </c>
    </row>
    <row r="1863" spans="1:29" x14ac:dyDescent="0.25">
      <c r="A1863" s="1">
        <v>1125.9349999999999</v>
      </c>
      <c r="B1863">
        <v>4</v>
      </c>
      <c r="D1863" s="2">
        <v>88815.1</v>
      </c>
      <c r="E1863">
        <v>22527</v>
      </c>
      <c r="F1863" t="s">
        <v>15</v>
      </c>
      <c r="G1863" t="s">
        <v>18</v>
      </c>
      <c r="H1863">
        <v>111342</v>
      </c>
      <c r="I1863" t="s">
        <v>17</v>
      </c>
      <c r="J1863" t="s">
        <v>18</v>
      </c>
      <c r="K1863">
        <v>22527.7</v>
      </c>
      <c r="L1863">
        <v>111342.8</v>
      </c>
      <c r="M1863">
        <v>19</v>
      </c>
      <c r="Y1863" s="1">
        <f t="shared" si="145"/>
        <v>1125.9349999999999</v>
      </c>
      <c r="Z1863" s="2">
        <f t="shared" si="146"/>
        <v>88815.1</v>
      </c>
      <c r="AA1863" s="2">
        <f t="shared" si="147"/>
        <v>88815.073694307401</v>
      </c>
      <c r="AB1863" s="1">
        <f t="shared" si="148"/>
        <v>8.9440586576626277E-2</v>
      </c>
      <c r="AC1863" s="1" t="b">
        <f t="shared" si="149"/>
        <v>1</v>
      </c>
    </row>
    <row r="1864" spans="1:29" x14ac:dyDescent="0.25">
      <c r="A1864" s="1">
        <v>1125.895</v>
      </c>
      <c r="B1864">
        <v>5</v>
      </c>
      <c r="D1864" s="2">
        <v>88818.2</v>
      </c>
      <c r="E1864">
        <v>25979</v>
      </c>
      <c r="F1864" t="s">
        <v>15</v>
      </c>
      <c r="G1864" t="s">
        <v>57</v>
      </c>
      <c r="H1864">
        <v>114797</v>
      </c>
      <c r="I1864" t="s">
        <v>17</v>
      </c>
      <c r="J1864" t="s">
        <v>50</v>
      </c>
      <c r="K1864">
        <v>25979.34</v>
      </c>
      <c r="L1864">
        <v>114797.2</v>
      </c>
      <c r="M1864">
        <v>19</v>
      </c>
      <c r="Y1864" s="1">
        <f t="shared" si="145"/>
        <v>1125.895</v>
      </c>
      <c r="Z1864" s="2">
        <f t="shared" si="146"/>
        <v>88818.2</v>
      </c>
      <c r="AA1864" s="2">
        <f t="shared" si="147"/>
        <v>88818.229053330913</v>
      </c>
      <c r="AB1864" s="1">
        <f t="shared" si="148"/>
        <v>8.9443389060849782E-2</v>
      </c>
      <c r="AC1864" s="1" t="b">
        <f t="shared" si="149"/>
        <v>1</v>
      </c>
    </row>
    <row r="1865" spans="1:29" x14ac:dyDescent="0.25">
      <c r="A1865" s="1">
        <v>1125.7249999999999</v>
      </c>
      <c r="B1865">
        <v>20</v>
      </c>
      <c r="D1865" s="2">
        <v>88831.6</v>
      </c>
      <c r="M1865">
        <v>19</v>
      </c>
      <c r="Y1865" s="1">
        <f t="shared" si="145"/>
        <v>1125.7249999999999</v>
      </c>
      <c r="Z1865" s="2">
        <f t="shared" si="146"/>
        <v>88831.6</v>
      </c>
      <c r="AA1865" s="2">
        <f t="shared" si="147"/>
        <v>88831.641830820139</v>
      </c>
      <c r="AB1865" s="1">
        <f t="shared" si="148"/>
        <v>8.9455302951795573E-2</v>
      </c>
      <c r="AC1865" s="1" t="b">
        <f t="shared" si="149"/>
        <v>1</v>
      </c>
    </row>
    <row r="1866" spans="1:29" x14ac:dyDescent="0.25">
      <c r="A1866" s="1">
        <v>1125.596</v>
      </c>
      <c r="B1866">
        <v>20</v>
      </c>
      <c r="D1866" s="2">
        <v>88841.8</v>
      </c>
      <c r="E1866">
        <v>22080</v>
      </c>
      <c r="F1866" t="s">
        <v>15</v>
      </c>
      <c r="G1866" t="s">
        <v>18</v>
      </c>
      <c r="H1866">
        <v>110922</v>
      </c>
      <c r="I1866" t="s">
        <v>17</v>
      </c>
      <c r="J1866" t="s">
        <v>16</v>
      </c>
      <c r="K1866">
        <v>22080.94</v>
      </c>
      <c r="L1866">
        <v>110922.5</v>
      </c>
      <c r="M1866">
        <v>19</v>
      </c>
      <c r="Y1866" s="1">
        <f t="shared" si="145"/>
        <v>1125.596</v>
      </c>
      <c r="Z1866" s="2">
        <f t="shared" si="146"/>
        <v>88841.8</v>
      </c>
      <c r="AA1866" s="2">
        <f t="shared" si="147"/>
        <v>88841.822465609337</v>
      </c>
      <c r="AB1866" s="1">
        <f t="shared" si="148"/>
        <v>8.9464347095054242E-2</v>
      </c>
      <c r="AC1866" s="1" t="b">
        <f t="shared" si="149"/>
        <v>1</v>
      </c>
    </row>
    <row r="1867" spans="1:29" x14ac:dyDescent="0.25">
      <c r="A1867" s="1">
        <v>1125.442</v>
      </c>
      <c r="B1867">
        <v>5</v>
      </c>
      <c r="D1867" s="2">
        <v>88854</v>
      </c>
      <c r="E1867">
        <v>28720</v>
      </c>
      <c r="F1867" t="s">
        <v>15</v>
      </c>
      <c r="G1867" t="s">
        <v>16</v>
      </c>
      <c r="H1867">
        <v>117574</v>
      </c>
      <c r="I1867" t="s">
        <v>17</v>
      </c>
      <c r="J1867" t="s">
        <v>23</v>
      </c>
      <c r="K1867">
        <v>28720.71</v>
      </c>
      <c r="L1867">
        <v>117574.5</v>
      </c>
      <c r="M1867">
        <v>19</v>
      </c>
      <c r="Y1867" s="1">
        <f t="shared" si="145"/>
        <v>1125.442</v>
      </c>
      <c r="Z1867" s="2">
        <f t="shared" si="146"/>
        <v>88854</v>
      </c>
      <c r="AA1867" s="2">
        <f t="shared" si="147"/>
        <v>88853.979147748178</v>
      </c>
      <c r="AB1867" s="1">
        <f t="shared" si="148"/>
        <v>8.9475148051942344E-2</v>
      </c>
      <c r="AC1867" s="1" t="b">
        <f t="shared" si="149"/>
        <v>1</v>
      </c>
    </row>
    <row r="1868" spans="1:29" x14ac:dyDescent="0.25">
      <c r="A1868" s="1">
        <v>1125.355</v>
      </c>
      <c r="B1868">
        <v>1</v>
      </c>
      <c r="D1868" s="2">
        <v>88860.800000000003</v>
      </c>
      <c r="M1868">
        <v>19</v>
      </c>
      <c r="Y1868" s="1">
        <f t="shared" si="145"/>
        <v>1125.355</v>
      </c>
      <c r="Z1868" s="2">
        <f t="shared" si="146"/>
        <v>88860.800000000003</v>
      </c>
      <c r="AA1868" s="2">
        <f t="shared" si="147"/>
        <v>88860.848354519243</v>
      </c>
      <c r="AB1868" s="1">
        <f t="shared" si="148"/>
        <v>8.9481251851424332E-2</v>
      </c>
      <c r="AC1868" s="1" t="b">
        <f t="shared" si="149"/>
        <v>1</v>
      </c>
    </row>
    <row r="1869" spans="1:29" x14ac:dyDescent="0.25">
      <c r="A1869" s="1">
        <v>1124.6679999999999</v>
      </c>
      <c r="B1869">
        <v>30</v>
      </c>
      <c r="D1869" s="2">
        <v>88915.1</v>
      </c>
      <c r="E1869">
        <v>21418</v>
      </c>
      <c r="F1869" t="s">
        <v>15</v>
      </c>
      <c r="G1869" t="s">
        <v>28</v>
      </c>
      <c r="H1869">
        <v>110333</v>
      </c>
      <c r="I1869" t="s">
        <v>17</v>
      </c>
      <c r="J1869" t="s">
        <v>18</v>
      </c>
      <c r="K1869">
        <v>21418.84</v>
      </c>
      <c r="L1869">
        <v>110333.5</v>
      </c>
      <c r="M1869">
        <v>19</v>
      </c>
      <c r="Y1869" s="1">
        <f t="shared" si="145"/>
        <v>1124.6679999999999</v>
      </c>
      <c r="Z1869" s="2">
        <f t="shared" si="146"/>
        <v>88915.1</v>
      </c>
      <c r="AA1869" s="2">
        <f t="shared" si="147"/>
        <v>88915.128731323392</v>
      </c>
      <c r="AB1869" s="1">
        <f t="shared" si="148"/>
        <v>8.9529500586539051E-2</v>
      </c>
      <c r="AC1869" s="1" t="b">
        <f t="shared" si="149"/>
        <v>1</v>
      </c>
    </row>
    <row r="1870" spans="1:29" x14ac:dyDescent="0.25">
      <c r="A1870" s="1">
        <v>1124.366</v>
      </c>
      <c r="B1870">
        <v>1</v>
      </c>
      <c r="D1870" s="2">
        <v>88939</v>
      </c>
      <c r="M1870">
        <v>19</v>
      </c>
      <c r="Y1870" s="1">
        <f t="shared" si="145"/>
        <v>1124.366</v>
      </c>
      <c r="Z1870" s="2">
        <f t="shared" si="146"/>
        <v>88939</v>
      </c>
      <c r="AA1870" s="2">
        <f t="shared" si="147"/>
        <v>88939.010962622488</v>
      </c>
      <c r="AB1870" s="1">
        <f t="shared" si="148"/>
        <v>8.9550738355047427E-2</v>
      </c>
      <c r="AC1870" s="1" t="b">
        <f t="shared" si="149"/>
        <v>1</v>
      </c>
    </row>
    <row r="1871" spans="1:29" x14ac:dyDescent="0.25">
      <c r="A1871" s="1">
        <v>1124.0139999999999</v>
      </c>
      <c r="B1871">
        <v>1</v>
      </c>
      <c r="D1871" s="2">
        <v>88966.9</v>
      </c>
      <c r="E1871">
        <v>22527</v>
      </c>
      <c r="F1871" t="s">
        <v>15</v>
      </c>
      <c r="G1871" t="s">
        <v>18</v>
      </c>
      <c r="H1871">
        <v>111494</v>
      </c>
      <c r="I1871" t="s">
        <v>17</v>
      </c>
      <c r="J1871" t="s">
        <v>28</v>
      </c>
      <c r="K1871">
        <v>22527.7</v>
      </c>
      <c r="L1871">
        <v>111494.8</v>
      </c>
      <c r="M1871">
        <v>19</v>
      </c>
      <c r="Y1871" s="1">
        <f t="shared" si="145"/>
        <v>1124.0139999999999</v>
      </c>
      <c r="Z1871" s="2">
        <f t="shared" si="146"/>
        <v>88966.9</v>
      </c>
      <c r="AA1871" s="2">
        <f t="shared" si="147"/>
        <v>88966.863402057279</v>
      </c>
      <c r="AB1871" s="1">
        <f t="shared" si="148"/>
        <v>8.9575513918001601E-2</v>
      </c>
      <c r="AC1871" s="1" t="b">
        <f t="shared" si="149"/>
        <v>1</v>
      </c>
    </row>
    <row r="1872" spans="1:29" x14ac:dyDescent="0.25">
      <c r="A1872" s="1">
        <v>1123.92</v>
      </c>
      <c r="B1872">
        <v>15</v>
      </c>
      <c r="D1872" s="2">
        <v>88974.3</v>
      </c>
      <c r="E1872">
        <v>26446</v>
      </c>
      <c r="F1872" t="s">
        <v>15</v>
      </c>
      <c r="G1872" t="s">
        <v>18</v>
      </c>
      <c r="H1872">
        <v>115420</v>
      </c>
      <c r="I1872" t="s">
        <v>17</v>
      </c>
      <c r="J1872" t="s">
        <v>18</v>
      </c>
      <c r="K1872">
        <v>26446.97</v>
      </c>
      <c r="L1872">
        <v>115420.8</v>
      </c>
      <c r="M1872">
        <v>19</v>
      </c>
      <c r="Y1872" s="1">
        <f t="shared" si="145"/>
        <v>1123.92</v>
      </c>
      <c r="Z1872" s="2">
        <f t="shared" si="146"/>
        <v>88974.3</v>
      </c>
      <c r="AA1872" s="2">
        <f t="shared" si="147"/>
        <v>88974.30422094099</v>
      </c>
      <c r="AB1872" s="1">
        <f t="shared" si="148"/>
        <v>8.9582134058002791E-2</v>
      </c>
      <c r="AC1872" s="1" t="b">
        <f t="shared" si="149"/>
        <v>1</v>
      </c>
    </row>
    <row r="1873" spans="1:29" x14ac:dyDescent="0.25">
      <c r="A1873" s="1">
        <v>1123.7080000000001</v>
      </c>
      <c r="B1873">
        <v>1</v>
      </c>
      <c r="D1873" s="2">
        <v>88991.1</v>
      </c>
      <c r="E1873">
        <v>22277</v>
      </c>
      <c r="F1873" t="s">
        <v>15</v>
      </c>
      <c r="G1873" t="s">
        <v>29</v>
      </c>
      <c r="H1873">
        <v>111268</v>
      </c>
      <c r="I1873" t="s">
        <v>17</v>
      </c>
      <c r="J1873" t="s">
        <v>29</v>
      </c>
      <c r="K1873">
        <v>22277.66</v>
      </c>
      <c r="L1873">
        <v>111268.7</v>
      </c>
      <c r="M1873">
        <v>19</v>
      </c>
      <c r="Y1873" s="1">
        <f t="shared" si="145"/>
        <v>1123.7080000000001</v>
      </c>
      <c r="Z1873" s="2">
        <f t="shared" si="146"/>
        <v>88991.1</v>
      </c>
      <c r="AA1873" s="2">
        <f t="shared" si="147"/>
        <v>88991.090212047959</v>
      </c>
      <c r="AB1873" s="1">
        <f t="shared" si="148"/>
        <v>8.9597070685644292E-2</v>
      </c>
      <c r="AC1873" s="1" t="b">
        <f t="shared" si="149"/>
        <v>1</v>
      </c>
    </row>
    <row r="1874" spans="1:29" x14ac:dyDescent="0.25">
      <c r="A1874" s="1">
        <v>1123.6469999999999</v>
      </c>
      <c r="B1874">
        <v>3</v>
      </c>
      <c r="D1874" s="2">
        <v>88995.9</v>
      </c>
      <c r="M1874">
        <v>19</v>
      </c>
      <c r="Y1874" s="1">
        <f t="shared" si="145"/>
        <v>1123.6469999999999</v>
      </c>
      <c r="Z1874" s="2">
        <f t="shared" si="146"/>
        <v>88995.9</v>
      </c>
      <c r="AA1874" s="2">
        <f t="shared" si="147"/>
        <v>88995.921316926047</v>
      </c>
      <c r="AB1874" s="1">
        <f t="shared" si="148"/>
        <v>8.9601370055242463E-2</v>
      </c>
      <c r="AC1874" s="1" t="b">
        <f t="shared" si="149"/>
        <v>1</v>
      </c>
    </row>
    <row r="1875" spans="1:29" x14ac:dyDescent="0.25">
      <c r="A1875" s="1">
        <v>1123.1030000000001</v>
      </c>
      <c r="B1875">
        <v>2</v>
      </c>
      <c r="D1875" s="2">
        <v>89039</v>
      </c>
      <c r="E1875">
        <v>21294</v>
      </c>
      <c r="F1875" t="s">
        <v>15</v>
      </c>
      <c r="G1875" t="s">
        <v>18</v>
      </c>
      <c r="H1875">
        <v>110333</v>
      </c>
      <c r="I1875" t="s">
        <v>17</v>
      </c>
      <c r="J1875" t="s">
        <v>18</v>
      </c>
      <c r="K1875">
        <v>21294.89</v>
      </c>
      <c r="L1875">
        <v>110333.5</v>
      </c>
      <c r="M1875">
        <v>19</v>
      </c>
      <c r="Y1875" s="1">
        <f t="shared" si="145"/>
        <v>1123.1030000000001</v>
      </c>
      <c r="Z1875" s="2">
        <f t="shared" si="146"/>
        <v>89039</v>
      </c>
      <c r="AA1875" s="2">
        <f t="shared" si="147"/>
        <v>89039.028477352476</v>
      </c>
      <c r="AB1875" s="1">
        <f t="shared" si="148"/>
        <v>8.9639742960953922E-2</v>
      </c>
      <c r="AC1875" s="1" t="b">
        <f t="shared" si="149"/>
        <v>1</v>
      </c>
    </row>
    <row r="1876" spans="1:29" x14ac:dyDescent="0.25">
      <c r="A1876" s="1">
        <v>1123.0409999999999</v>
      </c>
      <c r="B1876">
        <v>1</v>
      </c>
      <c r="D1876" s="2">
        <v>89043.9</v>
      </c>
      <c r="E1876">
        <v>29835</v>
      </c>
      <c r="F1876" t="s">
        <v>15</v>
      </c>
      <c r="G1876" t="s">
        <v>16</v>
      </c>
      <c r="H1876">
        <v>118879</v>
      </c>
      <c r="I1876" t="s">
        <v>17</v>
      </c>
      <c r="J1876" t="s">
        <v>23</v>
      </c>
      <c r="K1876">
        <v>29835.09</v>
      </c>
      <c r="L1876">
        <v>118879.3</v>
      </c>
      <c r="M1876">
        <v>19</v>
      </c>
      <c r="Y1876" s="1">
        <f t="shared" si="145"/>
        <v>1123.0409999999999</v>
      </c>
      <c r="Z1876" s="2">
        <f t="shared" si="146"/>
        <v>89043.9</v>
      </c>
      <c r="AA1876" s="2">
        <f t="shared" si="147"/>
        <v>89043.944076841362</v>
      </c>
      <c r="AB1876" s="1">
        <f t="shared" si="148"/>
        <v>8.9644119883798265E-2</v>
      </c>
      <c r="AC1876" s="1" t="b">
        <f t="shared" si="149"/>
        <v>1</v>
      </c>
    </row>
    <row r="1877" spans="1:29" x14ac:dyDescent="0.25">
      <c r="A1877" s="1">
        <v>1122.8030000000001</v>
      </c>
      <c r="B1877">
        <v>3</v>
      </c>
      <c r="D1877" s="2">
        <v>89062.8</v>
      </c>
      <c r="M1877">
        <v>19</v>
      </c>
      <c r="Y1877" s="1">
        <f t="shared" si="145"/>
        <v>1122.8030000000001</v>
      </c>
      <c r="Z1877" s="2">
        <f t="shared" si="146"/>
        <v>89062.8</v>
      </c>
      <c r="AA1877" s="2">
        <f t="shared" si="147"/>
        <v>89062.818677898074</v>
      </c>
      <c r="AB1877" s="1">
        <f t="shared" si="148"/>
        <v>8.966092835426076E-2</v>
      </c>
      <c r="AC1877" s="1" t="b">
        <f t="shared" si="149"/>
        <v>1</v>
      </c>
    </row>
    <row r="1878" spans="1:29" x14ac:dyDescent="0.25">
      <c r="A1878" s="1">
        <v>1122.386</v>
      </c>
      <c r="B1878">
        <v>7</v>
      </c>
      <c r="D1878" s="2">
        <v>89095.9</v>
      </c>
      <c r="E1878">
        <v>24461</v>
      </c>
      <c r="F1878" t="s">
        <v>15</v>
      </c>
      <c r="G1878" t="s">
        <v>28</v>
      </c>
      <c r="H1878">
        <v>113556</v>
      </c>
      <c r="I1878" t="s">
        <v>17</v>
      </c>
      <c r="J1878" t="s">
        <v>28</v>
      </c>
      <c r="K1878">
        <v>24461.24</v>
      </c>
      <c r="L1878">
        <v>113556.8</v>
      </c>
      <c r="M1878">
        <v>19</v>
      </c>
      <c r="Y1878" s="1">
        <f t="shared" si="145"/>
        <v>1122.386</v>
      </c>
      <c r="Z1878" s="2">
        <f t="shared" si="146"/>
        <v>89095.9</v>
      </c>
      <c r="AA1878" s="2">
        <f t="shared" si="147"/>
        <v>89095.908181320861</v>
      </c>
      <c r="AB1878" s="1">
        <f t="shared" si="148"/>
        <v>8.9690404273271795E-2</v>
      </c>
      <c r="AC1878" s="1" t="b">
        <f t="shared" si="149"/>
        <v>1</v>
      </c>
    </row>
    <row r="1879" spans="1:29" x14ac:dyDescent="0.25">
      <c r="A1879" s="1">
        <v>1122.0050000000001</v>
      </c>
      <c r="B1879">
        <v>40</v>
      </c>
      <c r="D1879" s="2">
        <v>89126.2</v>
      </c>
      <c r="M1879">
        <v>19</v>
      </c>
      <c r="Y1879" s="1">
        <f t="shared" si="145"/>
        <v>1122.0050000000001</v>
      </c>
      <c r="Z1879" s="2">
        <f t="shared" si="146"/>
        <v>89126.2</v>
      </c>
      <c r="AA1879" s="2">
        <f t="shared" si="147"/>
        <v>89126.162539382611</v>
      </c>
      <c r="AB1879" s="1">
        <f t="shared" si="148"/>
        <v>8.9717364244982251E-2</v>
      </c>
      <c r="AC1879" s="1" t="b">
        <f t="shared" si="149"/>
        <v>1</v>
      </c>
    </row>
    <row r="1880" spans="1:29" x14ac:dyDescent="0.25">
      <c r="A1880" s="1">
        <v>1121.452</v>
      </c>
      <c r="B1880">
        <v>3</v>
      </c>
      <c r="D1880" s="2">
        <v>89170.1</v>
      </c>
      <c r="M1880">
        <v>19</v>
      </c>
      <c r="Y1880" s="1">
        <f t="shared" si="145"/>
        <v>1121.452</v>
      </c>
      <c r="Z1880" s="2">
        <f t="shared" si="146"/>
        <v>89170.1</v>
      </c>
      <c r="AA1880" s="2">
        <f t="shared" si="147"/>
        <v>89170.111605311686</v>
      </c>
      <c r="AB1880" s="1">
        <f t="shared" si="148"/>
        <v>8.9756544018518708E-2</v>
      </c>
      <c r="AC1880" s="1" t="b">
        <f t="shared" si="149"/>
        <v>1</v>
      </c>
    </row>
    <row r="1881" spans="1:29" x14ac:dyDescent="0.25">
      <c r="A1881" s="1">
        <v>1121.115</v>
      </c>
      <c r="B1881">
        <v>5</v>
      </c>
      <c r="D1881" s="2">
        <v>89196.9</v>
      </c>
      <c r="M1881">
        <v>19</v>
      </c>
      <c r="Y1881" s="1">
        <f t="shared" si="145"/>
        <v>1121.115</v>
      </c>
      <c r="Z1881" s="2">
        <f t="shared" si="146"/>
        <v>89196.9</v>
      </c>
      <c r="AA1881" s="2">
        <f t="shared" si="147"/>
        <v>89196.915570659563</v>
      </c>
      <c r="AB1881" s="1">
        <f t="shared" si="148"/>
        <v>8.9780448736596852E-2</v>
      </c>
      <c r="AC1881" s="1" t="b">
        <f t="shared" si="149"/>
        <v>1</v>
      </c>
    </row>
    <row r="1882" spans="1:29" x14ac:dyDescent="0.25">
      <c r="A1882" s="1">
        <v>1120.7070000000001</v>
      </c>
      <c r="B1882">
        <v>3</v>
      </c>
      <c r="D1882" s="2">
        <v>89229.4</v>
      </c>
      <c r="E1882">
        <v>26095</v>
      </c>
      <c r="F1882" t="s">
        <v>15</v>
      </c>
      <c r="G1882" t="s">
        <v>23</v>
      </c>
      <c r="H1882">
        <v>115324</v>
      </c>
      <c r="I1882" t="s">
        <v>17</v>
      </c>
      <c r="J1882" t="s">
        <v>16</v>
      </c>
      <c r="K1882">
        <v>26095.23</v>
      </c>
      <c r="L1882">
        <v>115324.3</v>
      </c>
      <c r="M1882">
        <v>19</v>
      </c>
      <c r="Y1882" s="1">
        <f t="shared" si="145"/>
        <v>1120.7070000000001</v>
      </c>
      <c r="Z1882" s="2">
        <f t="shared" si="146"/>
        <v>89229.4</v>
      </c>
      <c r="AA1882" s="2">
        <f t="shared" si="147"/>
        <v>89229.388234391314</v>
      </c>
      <c r="AB1882" s="1">
        <f t="shared" si="148"/>
        <v>8.9809418623418652E-2</v>
      </c>
      <c r="AC1882" s="1" t="b">
        <f t="shared" si="149"/>
        <v>1</v>
      </c>
    </row>
    <row r="1883" spans="1:29" x14ac:dyDescent="0.25">
      <c r="A1883" s="1">
        <v>1120.577</v>
      </c>
      <c r="B1883">
        <v>2</v>
      </c>
      <c r="D1883" s="2">
        <v>89239.7</v>
      </c>
      <c r="M1883">
        <v>19</v>
      </c>
      <c r="Y1883" s="1">
        <f t="shared" si="145"/>
        <v>1120.577</v>
      </c>
      <c r="Z1883" s="2">
        <f t="shared" si="146"/>
        <v>89239.7</v>
      </c>
      <c r="AA1883" s="2">
        <f t="shared" si="147"/>
        <v>89239.73988400618</v>
      </c>
      <c r="AB1883" s="1">
        <f t="shared" si="148"/>
        <v>8.981865587282542E-2</v>
      </c>
      <c r="AC1883" s="1" t="b">
        <f t="shared" si="149"/>
        <v>1</v>
      </c>
    </row>
    <row r="1884" spans="1:29" x14ac:dyDescent="0.25">
      <c r="A1884" s="1">
        <v>1120.463</v>
      </c>
      <c r="B1884">
        <v>1</v>
      </c>
      <c r="D1884" s="2">
        <v>89248.8</v>
      </c>
      <c r="E1884">
        <v>23647</v>
      </c>
      <c r="F1884" t="s">
        <v>15</v>
      </c>
      <c r="G1884" t="s">
        <v>50</v>
      </c>
      <c r="H1884">
        <v>112896</v>
      </c>
      <c r="I1884" t="s">
        <v>17</v>
      </c>
      <c r="J1884" t="s">
        <v>57</v>
      </c>
      <c r="K1884">
        <v>23647.77</v>
      </c>
      <c r="L1884">
        <v>112896.3</v>
      </c>
      <c r="M1884">
        <v>19</v>
      </c>
      <c r="Y1884" s="1">
        <f t="shared" si="145"/>
        <v>1120.463</v>
      </c>
      <c r="Z1884" s="2">
        <f t="shared" si="146"/>
        <v>89248.8</v>
      </c>
      <c r="AA1884" s="2">
        <f t="shared" si="147"/>
        <v>89248.819461240579</v>
      </c>
      <c r="AB1884" s="1">
        <f t="shared" si="148"/>
        <v>8.9826758876125581E-2</v>
      </c>
      <c r="AC1884" s="1" t="b">
        <f t="shared" si="149"/>
        <v>1</v>
      </c>
    </row>
    <row r="1885" spans="1:29" x14ac:dyDescent="0.25">
      <c r="A1885" s="1">
        <v>1120.3</v>
      </c>
      <c r="B1885">
        <v>4</v>
      </c>
      <c r="D1885" s="2">
        <v>89261.8</v>
      </c>
      <c r="E1885">
        <v>22080</v>
      </c>
      <c r="F1885" t="s">
        <v>15</v>
      </c>
      <c r="G1885" t="s">
        <v>18</v>
      </c>
      <c r="H1885">
        <v>111342</v>
      </c>
      <c r="I1885" t="s">
        <v>17</v>
      </c>
      <c r="J1885" t="s">
        <v>18</v>
      </c>
      <c r="K1885">
        <v>22080.94</v>
      </c>
      <c r="L1885">
        <v>111342.8</v>
      </c>
      <c r="M1885">
        <v>19</v>
      </c>
      <c r="Y1885" s="1">
        <f t="shared" si="145"/>
        <v>1120.3</v>
      </c>
      <c r="Z1885" s="2">
        <f t="shared" si="146"/>
        <v>89261.8</v>
      </c>
      <c r="AA1885" s="2">
        <f t="shared" si="147"/>
        <v>89261.804873694549</v>
      </c>
      <c r="AB1885" s="1">
        <f t="shared" si="148"/>
        <v>8.9838349046547611E-2</v>
      </c>
      <c r="AC1885" s="1" t="b">
        <f t="shared" si="149"/>
        <v>1</v>
      </c>
    </row>
    <row r="1886" spans="1:29" x14ac:dyDescent="0.25">
      <c r="A1886" s="1">
        <v>1120.2570000000001</v>
      </c>
      <c r="B1886">
        <v>1</v>
      </c>
      <c r="D1886" s="2">
        <v>89265.2</v>
      </c>
      <c r="E1886">
        <v>28936</v>
      </c>
      <c r="F1886" t="s">
        <v>15</v>
      </c>
      <c r="G1886" t="s">
        <v>29</v>
      </c>
      <c r="H1886">
        <v>118201</v>
      </c>
      <c r="I1886" t="s">
        <v>17</v>
      </c>
      <c r="J1886" t="s">
        <v>29</v>
      </c>
      <c r="K1886">
        <v>28936.46</v>
      </c>
      <c r="L1886">
        <v>118201.4</v>
      </c>
      <c r="M1886">
        <v>19</v>
      </c>
      <c r="Y1886" s="1">
        <f t="shared" si="145"/>
        <v>1120.2570000000001</v>
      </c>
      <c r="Z1886" s="2">
        <f t="shared" si="146"/>
        <v>89265.2</v>
      </c>
      <c r="AA1886" s="2">
        <f t="shared" si="147"/>
        <v>89265.231103220067</v>
      </c>
      <c r="AB1886" s="1">
        <f t="shared" si="148"/>
        <v>8.9841407419556429E-2</v>
      </c>
      <c r="AC1886" s="1" t="b">
        <f t="shared" si="149"/>
        <v>1</v>
      </c>
    </row>
    <row r="1887" spans="1:29" x14ac:dyDescent="0.25">
      <c r="A1887" s="1">
        <v>1119.6980000000001</v>
      </c>
      <c r="B1887">
        <v>2</v>
      </c>
      <c r="D1887" s="2">
        <v>89309.8</v>
      </c>
      <c r="E1887">
        <v>24470</v>
      </c>
      <c r="F1887" t="s">
        <v>15</v>
      </c>
      <c r="G1887" t="s">
        <v>18</v>
      </c>
      <c r="H1887">
        <v>113780</v>
      </c>
      <c r="I1887" t="s">
        <v>17</v>
      </c>
      <c r="J1887" t="s">
        <v>16</v>
      </c>
      <c r="K1887">
        <v>24470.9</v>
      </c>
      <c r="L1887">
        <v>113780.5</v>
      </c>
      <c r="M1887">
        <v>19</v>
      </c>
      <c r="Y1887" s="1">
        <f t="shared" si="145"/>
        <v>1119.6980000000001</v>
      </c>
      <c r="Z1887" s="2">
        <f t="shared" si="146"/>
        <v>89309.8</v>
      </c>
      <c r="AA1887" s="2">
        <f t="shared" si="147"/>
        <v>89309.796034287807</v>
      </c>
      <c r="AB1887" s="1">
        <f t="shared" si="148"/>
        <v>8.9881198338430446E-2</v>
      </c>
      <c r="AC1887" s="1" t="b">
        <f t="shared" si="149"/>
        <v>1</v>
      </c>
    </row>
    <row r="1888" spans="1:29" x14ac:dyDescent="0.25">
      <c r="A1888" s="1">
        <v>1119.636</v>
      </c>
      <c r="B1888">
        <v>30</v>
      </c>
      <c r="C1888" t="s">
        <v>27</v>
      </c>
      <c r="D1888" s="2">
        <v>89314.7</v>
      </c>
      <c r="E1888">
        <v>23844</v>
      </c>
      <c r="F1888" t="s">
        <v>15</v>
      </c>
      <c r="G1888" t="s">
        <v>16</v>
      </c>
      <c r="H1888">
        <v>113158</v>
      </c>
      <c r="I1888" t="s">
        <v>17</v>
      </c>
      <c r="J1888" t="s">
        <v>16</v>
      </c>
      <c r="K1888">
        <v>23844.58</v>
      </c>
      <c r="L1888">
        <v>113158.8</v>
      </c>
      <c r="M1888">
        <v>19</v>
      </c>
      <c r="Y1888" s="1">
        <f t="shared" si="145"/>
        <v>1119.636</v>
      </c>
      <c r="Z1888" s="2">
        <f t="shared" si="146"/>
        <v>89314.7</v>
      </c>
      <c r="AA1888" s="2">
        <f t="shared" si="147"/>
        <v>89314.741576726723</v>
      </c>
      <c r="AB1888" s="1">
        <f t="shared" si="148"/>
        <v>8.9885615314587386E-2</v>
      </c>
      <c r="AC1888" s="1" t="b">
        <f t="shared" si="149"/>
        <v>1</v>
      </c>
    </row>
    <row r="1889" spans="1:29" x14ac:dyDescent="0.25">
      <c r="A1889" s="1">
        <v>1119.636</v>
      </c>
      <c r="B1889">
        <v>30</v>
      </c>
      <c r="C1889" t="s">
        <v>27</v>
      </c>
      <c r="D1889" s="2">
        <v>89314.7</v>
      </c>
      <c r="E1889">
        <v>27138</v>
      </c>
      <c r="F1889" t="s">
        <v>15</v>
      </c>
      <c r="G1889" t="s">
        <v>18</v>
      </c>
      <c r="H1889">
        <v>116453</v>
      </c>
      <c r="I1889" t="s">
        <v>17</v>
      </c>
      <c r="J1889" t="s">
        <v>16</v>
      </c>
      <c r="K1889">
        <v>27138.55</v>
      </c>
      <c r="L1889">
        <v>116453.2</v>
      </c>
      <c r="M1889">
        <v>19</v>
      </c>
      <c r="Y1889" s="1">
        <f t="shared" si="145"/>
        <v>1119.636</v>
      </c>
      <c r="Z1889" s="2">
        <f t="shared" si="146"/>
        <v>89314.7</v>
      </c>
      <c r="AA1889" s="2">
        <f t="shared" si="147"/>
        <v>89314.741576726723</v>
      </c>
      <c r="AB1889" s="1">
        <f t="shared" si="148"/>
        <v>8.9885615314587386E-2</v>
      </c>
      <c r="AC1889" s="1" t="b">
        <f t="shared" si="149"/>
        <v>1</v>
      </c>
    </row>
    <row r="1890" spans="1:29" x14ac:dyDescent="0.25">
      <c r="A1890" s="1">
        <v>1119.5550000000001</v>
      </c>
      <c r="B1890">
        <v>1</v>
      </c>
      <c r="D1890" s="2">
        <v>89321.2</v>
      </c>
      <c r="M1890">
        <v>19</v>
      </c>
      <c r="Y1890" s="1">
        <f t="shared" si="145"/>
        <v>1119.5550000000001</v>
      </c>
      <c r="Z1890" s="2">
        <f t="shared" si="146"/>
        <v>89321.2</v>
      </c>
      <c r="AA1890" s="2">
        <f t="shared" si="147"/>
        <v>89321.203513896136</v>
      </c>
      <c r="AB1890" s="1">
        <f t="shared" si="148"/>
        <v>8.9891386985854263E-2</v>
      </c>
      <c r="AC1890" s="1" t="b">
        <f t="shared" si="149"/>
        <v>1</v>
      </c>
    </row>
    <row r="1891" spans="1:29" x14ac:dyDescent="0.25">
      <c r="A1891" s="1">
        <v>1119.47</v>
      </c>
      <c r="B1891">
        <v>10</v>
      </c>
      <c r="D1891" s="2">
        <v>89328</v>
      </c>
      <c r="E1891">
        <v>23442</v>
      </c>
      <c r="F1891" t="s">
        <v>15</v>
      </c>
      <c r="G1891" t="s">
        <v>23</v>
      </c>
      <c r="H1891">
        <v>112769</v>
      </c>
      <c r="I1891" t="s">
        <v>17</v>
      </c>
      <c r="J1891" t="s">
        <v>50</v>
      </c>
      <c r="K1891">
        <v>23442.25</v>
      </c>
      <c r="L1891">
        <v>112769.7</v>
      </c>
      <c r="M1891">
        <v>19</v>
      </c>
      <c r="Y1891" s="1">
        <f t="shared" si="145"/>
        <v>1119.47</v>
      </c>
      <c r="Z1891" s="2">
        <f t="shared" si="146"/>
        <v>89328</v>
      </c>
      <c r="AA1891" s="2">
        <f t="shared" si="147"/>
        <v>89327.985564597533</v>
      </c>
      <c r="AB1891" s="1">
        <f t="shared" si="148"/>
        <v>8.989744502514474E-2</v>
      </c>
      <c r="AC1891" s="1" t="b">
        <f t="shared" si="149"/>
        <v>1</v>
      </c>
    </row>
    <row r="1892" spans="1:29" x14ac:dyDescent="0.25">
      <c r="A1892" s="1">
        <v>1119.241</v>
      </c>
      <c r="B1892">
        <v>40</v>
      </c>
      <c r="D1892" s="2">
        <v>89346.3</v>
      </c>
      <c r="E1892">
        <v>21535</v>
      </c>
      <c r="F1892" t="s">
        <v>15</v>
      </c>
      <c r="G1892" t="s">
        <v>16</v>
      </c>
      <c r="H1892">
        <v>110881</v>
      </c>
      <c r="I1892" t="s">
        <v>17</v>
      </c>
      <c r="J1892" t="s">
        <v>23</v>
      </c>
      <c r="K1892">
        <v>21535.17</v>
      </c>
      <c r="L1892">
        <v>110881.1</v>
      </c>
      <c r="M1892">
        <v>19</v>
      </c>
      <c r="Y1892" s="1">
        <f t="shared" si="145"/>
        <v>1119.241</v>
      </c>
      <c r="Z1892" s="2">
        <f t="shared" si="146"/>
        <v>89346.3</v>
      </c>
      <c r="AA1892" s="2">
        <f t="shared" si="147"/>
        <v>89346.262333134684</v>
      </c>
      <c r="AB1892" s="1">
        <f t="shared" si="148"/>
        <v>8.9913772964506616E-2</v>
      </c>
      <c r="AC1892" s="1" t="b">
        <f t="shared" si="149"/>
        <v>1</v>
      </c>
    </row>
    <row r="1893" spans="1:29" x14ac:dyDescent="0.25">
      <c r="A1893" s="1">
        <v>1119.153</v>
      </c>
      <c r="B1893">
        <v>40</v>
      </c>
      <c r="D1893" s="2">
        <v>89353.3</v>
      </c>
      <c r="E1893">
        <v>26446</v>
      </c>
      <c r="F1893" t="s">
        <v>15</v>
      </c>
      <c r="G1893" t="s">
        <v>18</v>
      </c>
      <c r="H1893">
        <v>115800</v>
      </c>
      <c r="I1893" t="s">
        <v>17</v>
      </c>
      <c r="J1893" t="s">
        <v>28</v>
      </c>
      <c r="K1893">
        <v>26446.97</v>
      </c>
      <c r="L1893">
        <v>115800</v>
      </c>
      <c r="M1893">
        <v>19</v>
      </c>
      <c r="Y1893" s="1">
        <f t="shared" si="145"/>
        <v>1119.153</v>
      </c>
      <c r="Z1893" s="2">
        <f t="shared" si="146"/>
        <v>89353.3</v>
      </c>
      <c r="AA1893" s="2">
        <f t="shared" si="147"/>
        <v>89353.287709544631</v>
      </c>
      <c r="AB1893" s="1">
        <f t="shared" si="148"/>
        <v>8.9920050122523298E-2</v>
      </c>
      <c r="AC1893" s="1" t="b">
        <f t="shared" si="149"/>
        <v>1</v>
      </c>
    </row>
    <row r="1894" spans="1:29" x14ac:dyDescent="0.25">
      <c r="A1894" s="1">
        <v>1119.0540000000001</v>
      </c>
      <c r="B1894">
        <v>100</v>
      </c>
      <c r="C1894" t="s">
        <v>123</v>
      </c>
      <c r="D1894" s="2">
        <v>89361.2</v>
      </c>
      <c r="M1894">
        <v>19</v>
      </c>
      <c r="Y1894" s="1">
        <f t="shared" si="145"/>
        <v>1119.0540000000001</v>
      </c>
      <c r="Z1894" s="2">
        <f t="shared" si="146"/>
        <v>89361.2</v>
      </c>
      <c r="AA1894" s="2">
        <f t="shared" si="147"/>
        <v>89361.192578731672</v>
      </c>
      <c r="AB1894" s="1">
        <f t="shared" si="148"/>
        <v>8.9927113695465855E-2</v>
      </c>
      <c r="AC1894" s="1" t="b">
        <f t="shared" si="149"/>
        <v>1</v>
      </c>
    </row>
    <row r="1895" spans="1:29" x14ac:dyDescent="0.25">
      <c r="A1895" s="1">
        <v>1118.723</v>
      </c>
      <c r="B1895">
        <v>4</v>
      </c>
      <c r="D1895" s="2">
        <v>89387.6</v>
      </c>
      <c r="E1895">
        <v>21535</v>
      </c>
      <c r="F1895" t="s">
        <v>15</v>
      </c>
      <c r="G1895" t="s">
        <v>16</v>
      </c>
      <c r="H1895">
        <v>110922</v>
      </c>
      <c r="I1895" t="s">
        <v>17</v>
      </c>
      <c r="J1895" t="s">
        <v>16</v>
      </c>
      <c r="K1895">
        <v>21535.17</v>
      </c>
      <c r="L1895">
        <v>110922.5</v>
      </c>
      <c r="M1895">
        <v>19</v>
      </c>
      <c r="Y1895" s="1">
        <f t="shared" si="145"/>
        <v>1118.723</v>
      </c>
      <c r="Z1895" s="2">
        <f t="shared" si="146"/>
        <v>89387.6</v>
      </c>
      <c r="AA1895" s="2">
        <f t="shared" si="147"/>
        <v>89387.63214844068</v>
      </c>
      <c r="AB1895" s="1">
        <f t="shared" si="148"/>
        <v>8.9950743905524738E-2</v>
      </c>
      <c r="AC1895" s="1" t="b">
        <f t="shared" si="149"/>
        <v>1</v>
      </c>
    </row>
    <row r="1896" spans="1:29" x14ac:dyDescent="0.25">
      <c r="A1896" s="1">
        <v>1118.508</v>
      </c>
      <c r="B1896">
        <v>30</v>
      </c>
      <c r="D1896" s="2">
        <v>89404.800000000003</v>
      </c>
      <c r="E1896">
        <v>26095</v>
      </c>
      <c r="F1896" t="s">
        <v>15</v>
      </c>
      <c r="G1896" t="s">
        <v>23</v>
      </c>
      <c r="H1896">
        <v>115499</v>
      </c>
      <c r="I1896" t="s">
        <v>17</v>
      </c>
      <c r="J1896" t="s">
        <v>16</v>
      </c>
      <c r="K1896">
        <v>26095.23</v>
      </c>
      <c r="L1896">
        <v>115499.8</v>
      </c>
      <c r="M1896">
        <v>19</v>
      </c>
      <c r="Y1896" s="1">
        <f t="shared" si="145"/>
        <v>1118.508</v>
      </c>
      <c r="Z1896" s="2">
        <f t="shared" si="146"/>
        <v>89404.800000000003</v>
      </c>
      <c r="AA1896" s="2">
        <f t="shared" si="147"/>
        <v>89404.81427043883</v>
      </c>
      <c r="AB1896" s="1">
        <f t="shared" si="148"/>
        <v>8.9966104073658321E-2</v>
      </c>
      <c r="AC1896" s="1" t="b">
        <f t="shared" si="149"/>
        <v>1</v>
      </c>
    </row>
    <row r="1897" spans="1:29" x14ac:dyDescent="0.25">
      <c r="A1897" s="1">
        <v>1118.395</v>
      </c>
      <c r="B1897">
        <v>15</v>
      </c>
      <c r="D1897" s="2">
        <v>89413.8</v>
      </c>
      <c r="E1897">
        <v>22080</v>
      </c>
      <c r="F1897" t="s">
        <v>15</v>
      </c>
      <c r="G1897" t="s">
        <v>18</v>
      </c>
      <c r="H1897">
        <v>111494</v>
      </c>
      <c r="I1897" t="s">
        <v>17</v>
      </c>
      <c r="J1897" t="s">
        <v>28</v>
      </c>
      <c r="K1897">
        <v>22080.94</v>
      </c>
      <c r="L1897">
        <v>111494.8</v>
      </c>
      <c r="M1897">
        <v>19</v>
      </c>
      <c r="Y1897" s="1">
        <f t="shared" si="145"/>
        <v>1118.395</v>
      </c>
      <c r="Z1897" s="2">
        <f t="shared" si="146"/>
        <v>89413.8</v>
      </c>
      <c r="AA1897" s="2">
        <f t="shared" si="147"/>
        <v>89413.847522565819</v>
      </c>
      <c r="AB1897" s="1">
        <f t="shared" si="148"/>
        <v>8.9974180643943247E-2</v>
      </c>
      <c r="AC1897" s="1" t="b">
        <f t="shared" si="149"/>
        <v>1</v>
      </c>
    </row>
    <row r="1898" spans="1:29" x14ac:dyDescent="0.25">
      <c r="A1898" s="1">
        <v>1118.027</v>
      </c>
      <c r="B1898">
        <v>8</v>
      </c>
      <c r="D1898" s="2">
        <v>89443.3</v>
      </c>
      <c r="E1898">
        <v>24470</v>
      </c>
      <c r="F1898" t="s">
        <v>15</v>
      </c>
      <c r="G1898" t="s">
        <v>18</v>
      </c>
      <c r="H1898">
        <v>113914</v>
      </c>
      <c r="I1898" t="s">
        <v>17</v>
      </c>
      <c r="J1898" t="s">
        <v>28</v>
      </c>
      <c r="K1898">
        <v>24470.9</v>
      </c>
      <c r="L1898">
        <v>113914.1</v>
      </c>
      <c r="M1898">
        <v>19</v>
      </c>
      <c r="Y1898" s="1">
        <f t="shared" si="145"/>
        <v>1118.027</v>
      </c>
      <c r="Z1898" s="2">
        <f t="shared" si="146"/>
        <v>89443.3</v>
      </c>
      <c r="AA1898" s="2">
        <f t="shared" si="147"/>
        <v>89443.278203478083</v>
      </c>
      <c r="AB1898" s="1">
        <f t="shared" si="148"/>
        <v>9.0000500078923892E-2</v>
      </c>
      <c r="AC1898" s="1" t="b">
        <f t="shared" si="149"/>
        <v>1</v>
      </c>
    </row>
    <row r="1899" spans="1:29" x14ac:dyDescent="0.25">
      <c r="A1899" s="1">
        <v>1117.9770000000001</v>
      </c>
      <c r="B1899">
        <v>20</v>
      </c>
      <c r="D1899" s="2">
        <v>89447.3</v>
      </c>
      <c r="E1899">
        <v>23844</v>
      </c>
      <c r="F1899" t="s">
        <v>15</v>
      </c>
      <c r="G1899" t="s">
        <v>16</v>
      </c>
      <c r="H1899">
        <v>113291</v>
      </c>
      <c r="I1899" t="s">
        <v>17</v>
      </c>
      <c r="J1899" t="s">
        <v>18</v>
      </c>
      <c r="K1899">
        <v>23844.58</v>
      </c>
      <c r="L1899">
        <v>113291.8</v>
      </c>
      <c r="M1899">
        <v>19</v>
      </c>
      <c r="Y1899" s="1">
        <f t="shared" si="145"/>
        <v>1117.9770000000001</v>
      </c>
      <c r="Z1899" s="2">
        <f t="shared" si="146"/>
        <v>89447.3</v>
      </c>
      <c r="AA1899" s="2">
        <f t="shared" si="147"/>
        <v>89447.278432382765</v>
      </c>
      <c r="AB1899" s="1">
        <f t="shared" si="148"/>
        <v>9.0004078094801043E-2</v>
      </c>
      <c r="AC1899" s="1" t="b">
        <f t="shared" si="149"/>
        <v>1</v>
      </c>
    </row>
    <row r="1900" spans="1:29" x14ac:dyDescent="0.25">
      <c r="A1900" s="1">
        <v>1117.904</v>
      </c>
      <c r="B1900">
        <v>5</v>
      </c>
      <c r="D1900" s="2">
        <v>89453.1</v>
      </c>
      <c r="E1900">
        <v>24461</v>
      </c>
      <c r="F1900" t="s">
        <v>15</v>
      </c>
      <c r="G1900" t="s">
        <v>28</v>
      </c>
      <c r="H1900">
        <v>113914</v>
      </c>
      <c r="I1900" t="s">
        <v>17</v>
      </c>
      <c r="J1900" t="s">
        <v>28</v>
      </c>
      <c r="K1900">
        <v>24461.24</v>
      </c>
      <c r="L1900">
        <v>113914.1</v>
      </c>
      <c r="M1900">
        <v>19</v>
      </c>
      <c r="Y1900" s="1">
        <f t="shared" si="145"/>
        <v>1117.904</v>
      </c>
      <c r="Z1900" s="2">
        <f t="shared" si="146"/>
        <v>89453.1</v>
      </c>
      <c r="AA1900" s="2">
        <f t="shared" si="147"/>
        <v>89453.119409180043</v>
      </c>
      <c r="AB1900" s="1">
        <f t="shared" si="148"/>
        <v>9.0009302860165119E-2</v>
      </c>
      <c r="AC1900" s="1" t="b">
        <f t="shared" si="149"/>
        <v>1</v>
      </c>
    </row>
    <row r="1901" spans="1:29" x14ac:dyDescent="0.25">
      <c r="A1901" s="1">
        <v>1117.8030000000001</v>
      </c>
      <c r="B1901">
        <v>10</v>
      </c>
      <c r="D1901" s="2">
        <v>89461.2</v>
      </c>
      <c r="M1901">
        <v>20</v>
      </c>
      <c r="Y1901" s="1">
        <f t="shared" si="145"/>
        <v>1117.8030000000001</v>
      </c>
      <c r="Z1901" s="2">
        <f t="shared" si="146"/>
        <v>89461.2</v>
      </c>
      <c r="AA1901" s="2">
        <f t="shared" si="147"/>
        <v>89461.202018602547</v>
      </c>
      <c r="AB1901" s="1">
        <f t="shared" si="148"/>
        <v>9.0016533333066084E-2</v>
      </c>
      <c r="AC1901" s="1" t="b">
        <f t="shared" si="149"/>
        <v>1</v>
      </c>
    </row>
    <row r="1902" spans="1:29" x14ac:dyDescent="0.25">
      <c r="A1902" s="1">
        <v>1117.5</v>
      </c>
      <c r="B1902">
        <v>6</v>
      </c>
      <c r="C1902" t="s">
        <v>27</v>
      </c>
      <c r="D1902" s="2">
        <v>89485.5</v>
      </c>
      <c r="E1902">
        <v>20848</v>
      </c>
      <c r="F1902" t="s">
        <v>15</v>
      </c>
      <c r="G1902" t="s">
        <v>28</v>
      </c>
      <c r="H1902">
        <v>110333</v>
      </c>
      <c r="I1902" t="s">
        <v>17</v>
      </c>
      <c r="J1902" t="s">
        <v>18</v>
      </c>
      <c r="K1902">
        <v>20848.39</v>
      </c>
      <c r="L1902">
        <v>110333.5</v>
      </c>
      <c r="M1902">
        <v>20</v>
      </c>
      <c r="Y1902" s="1">
        <f t="shared" si="145"/>
        <v>1117.5</v>
      </c>
      <c r="Z1902" s="2">
        <f t="shared" si="146"/>
        <v>89485.5</v>
      </c>
      <c r="AA1902" s="2">
        <f t="shared" si="147"/>
        <v>89485.458612975388</v>
      </c>
      <c r="AB1902" s="1">
        <f t="shared" si="148"/>
        <v>9.0038236515872658E-2</v>
      </c>
      <c r="AC1902" s="1" t="b">
        <f t="shared" si="149"/>
        <v>1</v>
      </c>
    </row>
    <row r="1903" spans="1:29" x14ac:dyDescent="0.25">
      <c r="A1903" s="1">
        <v>1117.5</v>
      </c>
      <c r="B1903">
        <v>6</v>
      </c>
      <c r="C1903" t="s">
        <v>27</v>
      </c>
      <c r="D1903" s="2">
        <v>89485.5</v>
      </c>
      <c r="E1903">
        <v>25934</v>
      </c>
      <c r="F1903" t="s">
        <v>15</v>
      </c>
      <c r="G1903" t="s">
        <v>28</v>
      </c>
      <c r="H1903">
        <v>115420</v>
      </c>
      <c r="I1903" t="s">
        <v>17</v>
      </c>
      <c r="J1903" t="s">
        <v>18</v>
      </c>
      <c r="K1903">
        <v>25934.98</v>
      </c>
      <c r="L1903">
        <v>115420.8</v>
      </c>
      <c r="M1903">
        <v>20</v>
      </c>
      <c r="Y1903" s="1">
        <f t="shared" si="145"/>
        <v>1117.5</v>
      </c>
      <c r="Z1903" s="2">
        <f t="shared" si="146"/>
        <v>89485.5</v>
      </c>
      <c r="AA1903" s="2">
        <f t="shared" si="147"/>
        <v>89485.458612975388</v>
      </c>
      <c r="AB1903" s="1">
        <f t="shared" si="148"/>
        <v>9.0038236515872658E-2</v>
      </c>
      <c r="AC1903" s="1" t="b">
        <f t="shared" si="149"/>
        <v>1</v>
      </c>
    </row>
    <row r="1904" spans="1:29" x14ac:dyDescent="0.25">
      <c r="A1904" s="1">
        <v>1117.23</v>
      </c>
      <c r="B1904">
        <v>3</v>
      </c>
      <c r="D1904" s="2">
        <v>89507.1</v>
      </c>
      <c r="E1904">
        <v>23651</v>
      </c>
      <c r="F1904" t="s">
        <v>15</v>
      </c>
      <c r="G1904" t="s">
        <v>18</v>
      </c>
      <c r="H1904">
        <v>113158</v>
      </c>
      <c r="I1904" t="s">
        <v>17</v>
      </c>
      <c r="J1904" t="s">
        <v>16</v>
      </c>
      <c r="K1904">
        <v>23651.88</v>
      </c>
      <c r="L1904">
        <v>113158.8</v>
      </c>
      <c r="M1904">
        <v>20</v>
      </c>
      <c r="Y1904" s="1">
        <f t="shared" si="145"/>
        <v>1117.23</v>
      </c>
      <c r="Z1904" s="2">
        <f t="shared" si="146"/>
        <v>89507.1</v>
      </c>
      <c r="AA1904" s="2">
        <f t="shared" si="147"/>
        <v>89507.084485737039</v>
      </c>
      <c r="AB1904" s="1">
        <f t="shared" si="148"/>
        <v>9.005759086568435E-2</v>
      </c>
      <c r="AC1904" s="1" t="b">
        <f t="shared" si="149"/>
        <v>1</v>
      </c>
    </row>
    <row r="1905" spans="1:29" x14ac:dyDescent="0.25">
      <c r="A1905" s="1">
        <v>1116.681</v>
      </c>
      <c r="B1905">
        <v>30</v>
      </c>
      <c r="D1905" s="2">
        <v>89551.1</v>
      </c>
      <c r="E1905">
        <v>28720</v>
      </c>
      <c r="F1905" t="s">
        <v>15</v>
      </c>
      <c r="G1905" t="s">
        <v>16</v>
      </c>
      <c r="H1905">
        <v>118271</v>
      </c>
      <c r="I1905" t="s">
        <v>17</v>
      </c>
      <c r="J1905" t="s">
        <v>23</v>
      </c>
      <c r="K1905">
        <v>28720.71</v>
      </c>
      <c r="L1905">
        <v>118271.6</v>
      </c>
      <c r="M1905">
        <v>20</v>
      </c>
      <c r="Y1905" s="1">
        <f t="shared" si="145"/>
        <v>1116.681</v>
      </c>
      <c r="Z1905" s="2">
        <f t="shared" si="146"/>
        <v>89551.1</v>
      </c>
      <c r="AA1905" s="2">
        <f t="shared" si="147"/>
        <v>89551.089344226319</v>
      </c>
      <c r="AB1905" s="1">
        <f t="shared" si="148"/>
        <v>9.009698801368804E-2</v>
      </c>
      <c r="AC1905" s="1" t="b">
        <f t="shared" si="149"/>
        <v>1</v>
      </c>
    </row>
    <row r="1906" spans="1:29" x14ac:dyDescent="0.25">
      <c r="A1906" s="1">
        <v>1116.5160000000001</v>
      </c>
      <c r="B1906">
        <v>3</v>
      </c>
      <c r="D1906" s="2">
        <v>89564.3</v>
      </c>
      <c r="M1906">
        <v>20</v>
      </c>
      <c r="Y1906" s="1">
        <f t="shared" si="145"/>
        <v>1116.5160000000001</v>
      </c>
      <c r="Z1906" s="2">
        <f t="shared" si="146"/>
        <v>89564.3</v>
      </c>
      <c r="AA1906" s="2">
        <f t="shared" si="147"/>
        <v>89564.323305711689</v>
      </c>
      <c r="AB1906" s="1">
        <f t="shared" si="148"/>
        <v>9.0108840046050243E-2</v>
      </c>
      <c r="AC1906" s="1" t="b">
        <f t="shared" si="149"/>
        <v>1</v>
      </c>
    </row>
    <row r="1907" spans="1:29" x14ac:dyDescent="0.25">
      <c r="A1907" s="1">
        <v>1116.3820000000001</v>
      </c>
      <c r="B1907">
        <v>30</v>
      </c>
      <c r="C1907" t="s">
        <v>27</v>
      </c>
      <c r="D1907" s="2">
        <v>89575.1</v>
      </c>
      <c r="E1907">
        <v>24250</v>
      </c>
      <c r="F1907" t="s">
        <v>15</v>
      </c>
      <c r="G1907" t="s">
        <v>29</v>
      </c>
      <c r="H1907">
        <v>113825</v>
      </c>
      <c r="I1907" t="s">
        <v>17</v>
      </c>
      <c r="J1907" t="s">
        <v>29</v>
      </c>
      <c r="K1907">
        <v>24250.62</v>
      </c>
      <c r="L1907">
        <v>113825.5</v>
      </c>
      <c r="M1907">
        <v>20</v>
      </c>
      <c r="Y1907" s="1">
        <f t="shared" si="145"/>
        <v>1116.3820000000001</v>
      </c>
      <c r="Z1907" s="2">
        <f t="shared" si="146"/>
        <v>89575.1</v>
      </c>
      <c r="AA1907" s="2">
        <f t="shared" si="147"/>
        <v>89575.073765073234</v>
      </c>
      <c r="AB1907" s="1">
        <f t="shared" si="148"/>
        <v>9.0118469200091561E-2</v>
      </c>
      <c r="AC1907" s="1" t="b">
        <f t="shared" si="149"/>
        <v>1</v>
      </c>
    </row>
    <row r="1908" spans="1:29" x14ac:dyDescent="0.25">
      <c r="A1908" s="1">
        <v>1116.3820000000001</v>
      </c>
      <c r="B1908">
        <v>30</v>
      </c>
      <c r="C1908" t="s">
        <v>27</v>
      </c>
      <c r="D1908" s="2">
        <v>89575.1</v>
      </c>
      <c r="E1908">
        <v>26446</v>
      </c>
      <c r="F1908" t="s">
        <v>15</v>
      </c>
      <c r="G1908" t="s">
        <v>18</v>
      </c>
      <c r="H1908">
        <v>116021</v>
      </c>
      <c r="I1908" t="s">
        <v>17</v>
      </c>
      <c r="J1908" t="s">
        <v>18</v>
      </c>
      <c r="K1908">
        <v>26446.97</v>
      </c>
      <c r="L1908">
        <v>116021.8</v>
      </c>
      <c r="M1908">
        <v>20</v>
      </c>
      <c r="Y1908" s="1">
        <f t="shared" si="145"/>
        <v>1116.3820000000001</v>
      </c>
      <c r="Z1908" s="2">
        <f t="shared" si="146"/>
        <v>89575.1</v>
      </c>
      <c r="AA1908" s="2">
        <f t="shared" si="147"/>
        <v>89575.073765073234</v>
      </c>
      <c r="AB1908" s="1">
        <f t="shared" si="148"/>
        <v>9.0118469200091561E-2</v>
      </c>
      <c r="AC1908" s="1" t="b">
        <f t="shared" si="149"/>
        <v>1</v>
      </c>
    </row>
    <row r="1909" spans="1:29" x14ac:dyDescent="0.25">
      <c r="A1909" s="1">
        <v>1116.2639999999999</v>
      </c>
      <c r="B1909">
        <v>3</v>
      </c>
      <c r="D1909" s="2">
        <v>89584.5</v>
      </c>
      <c r="M1909">
        <v>20</v>
      </c>
      <c r="Y1909" s="1">
        <f t="shared" si="145"/>
        <v>1116.2639999999999</v>
      </c>
      <c r="Z1909" s="2">
        <f t="shared" si="146"/>
        <v>89584.5</v>
      </c>
      <c r="AA1909" s="2">
        <f t="shared" si="147"/>
        <v>89584.542724660118</v>
      </c>
      <c r="AB1909" s="1">
        <f t="shared" si="148"/>
        <v>9.0126951475932277E-2</v>
      </c>
      <c r="AC1909" s="1" t="b">
        <f t="shared" si="149"/>
        <v>1</v>
      </c>
    </row>
    <row r="1910" spans="1:29" x14ac:dyDescent="0.25">
      <c r="A1910" s="1">
        <v>1116.1389999999999</v>
      </c>
      <c r="B1910">
        <v>50</v>
      </c>
      <c r="D1910" s="2">
        <v>89594.6</v>
      </c>
      <c r="E1910">
        <v>23175</v>
      </c>
      <c r="F1910" t="s">
        <v>15</v>
      </c>
      <c r="G1910" t="s">
        <v>50</v>
      </c>
      <c r="H1910">
        <v>112769</v>
      </c>
      <c r="I1910" t="s">
        <v>17</v>
      </c>
      <c r="J1910" t="s">
        <v>50</v>
      </c>
      <c r="K1910">
        <v>23175.09</v>
      </c>
      <c r="L1910">
        <v>112769.7</v>
      </c>
      <c r="M1910">
        <v>20</v>
      </c>
      <c r="Y1910" s="1">
        <f t="shared" si="145"/>
        <v>1116.1389999999999</v>
      </c>
      <c r="Z1910" s="2">
        <f t="shared" si="146"/>
        <v>89594.6</v>
      </c>
      <c r="AA1910" s="2">
        <f t="shared" si="147"/>
        <v>89594.575586015722</v>
      </c>
      <c r="AB1910" s="1">
        <f t="shared" si="148"/>
        <v>9.0135939872191428E-2</v>
      </c>
      <c r="AC1910" s="1" t="b">
        <f t="shared" si="149"/>
        <v>1</v>
      </c>
    </row>
    <row r="1911" spans="1:29" x14ac:dyDescent="0.25">
      <c r="A1911" s="1">
        <v>1115.7249999999999</v>
      </c>
      <c r="B1911">
        <v>15</v>
      </c>
      <c r="D1911" s="2">
        <v>89627.8</v>
      </c>
      <c r="E1911">
        <v>21294</v>
      </c>
      <c r="F1911" t="s">
        <v>15</v>
      </c>
      <c r="G1911" t="s">
        <v>18</v>
      </c>
      <c r="H1911">
        <v>110922</v>
      </c>
      <c r="I1911" t="s">
        <v>17</v>
      </c>
      <c r="J1911" t="s">
        <v>16</v>
      </c>
      <c r="K1911">
        <v>21294.89</v>
      </c>
      <c r="L1911">
        <v>110922.5</v>
      </c>
      <c r="M1911">
        <v>20</v>
      </c>
      <c r="Y1911" s="1">
        <f t="shared" si="145"/>
        <v>1115.7249999999999</v>
      </c>
      <c r="Z1911" s="2">
        <f t="shared" si="146"/>
        <v>89627.8</v>
      </c>
      <c r="AA1911" s="2">
        <f t="shared" si="147"/>
        <v>89627.820475475601</v>
      </c>
      <c r="AB1911" s="1">
        <f t="shared" si="148"/>
        <v>9.0165731015920417E-2</v>
      </c>
      <c r="AC1911" s="1" t="b">
        <f t="shared" si="149"/>
        <v>1</v>
      </c>
    </row>
    <row r="1912" spans="1:29" x14ac:dyDescent="0.25">
      <c r="A1912" s="1">
        <v>1115.5709999999999</v>
      </c>
      <c r="B1912">
        <v>30</v>
      </c>
      <c r="D1912" s="2">
        <v>89640.2</v>
      </c>
      <c r="E1912">
        <v>23651</v>
      </c>
      <c r="F1912" t="s">
        <v>15</v>
      </c>
      <c r="G1912" t="s">
        <v>18</v>
      </c>
      <c r="H1912">
        <v>113291</v>
      </c>
      <c r="I1912" t="s">
        <v>17</v>
      </c>
      <c r="J1912" t="s">
        <v>18</v>
      </c>
      <c r="K1912">
        <v>23651.88</v>
      </c>
      <c r="L1912">
        <v>113291.8</v>
      </c>
      <c r="M1912">
        <v>20</v>
      </c>
      <c r="Y1912" s="1">
        <f t="shared" si="145"/>
        <v>1115.5709999999999</v>
      </c>
      <c r="Z1912" s="2">
        <f t="shared" si="146"/>
        <v>89640.2</v>
      </c>
      <c r="AA1912" s="2">
        <f t="shared" si="147"/>
        <v>89640.193228400531</v>
      </c>
      <c r="AB1912" s="1">
        <f t="shared" si="148"/>
        <v>9.0176821210124922E-2</v>
      </c>
      <c r="AC1912" s="1" t="b">
        <f t="shared" si="149"/>
        <v>1</v>
      </c>
    </row>
    <row r="1913" spans="1:29" x14ac:dyDescent="0.25">
      <c r="A1913" s="1">
        <v>1115.4290000000001</v>
      </c>
      <c r="B1913">
        <v>10</v>
      </c>
      <c r="D1913" s="2">
        <v>89651.6</v>
      </c>
      <c r="M1913">
        <v>20</v>
      </c>
      <c r="Y1913" s="1">
        <f t="shared" si="145"/>
        <v>1115.4290000000001</v>
      </c>
      <c r="Z1913" s="2">
        <f t="shared" si="146"/>
        <v>89651.6</v>
      </c>
      <c r="AA1913" s="2">
        <f t="shared" si="147"/>
        <v>89651.604898205085</v>
      </c>
      <c r="AB1913" s="1">
        <f t="shared" si="148"/>
        <v>9.0187051304119359E-2</v>
      </c>
      <c r="AC1913" s="1" t="b">
        <f t="shared" si="149"/>
        <v>1</v>
      </c>
    </row>
    <row r="1914" spans="1:29" x14ac:dyDescent="0.25">
      <c r="A1914" s="1">
        <v>1115.3530000000001</v>
      </c>
      <c r="B1914">
        <v>1</v>
      </c>
      <c r="D1914" s="2">
        <v>89657.7</v>
      </c>
      <c r="E1914">
        <v>21611</v>
      </c>
      <c r="F1914" t="s">
        <v>15</v>
      </c>
      <c r="G1914" t="s">
        <v>28</v>
      </c>
      <c r="H1914">
        <v>111268</v>
      </c>
      <c r="I1914" t="s">
        <v>17</v>
      </c>
      <c r="J1914" t="s">
        <v>29</v>
      </c>
      <c r="K1914">
        <v>21611.19</v>
      </c>
      <c r="L1914">
        <v>111268.7</v>
      </c>
      <c r="M1914">
        <v>20</v>
      </c>
      <c r="Y1914" s="1">
        <f t="shared" si="145"/>
        <v>1115.3530000000001</v>
      </c>
      <c r="Z1914" s="2">
        <f t="shared" si="146"/>
        <v>89657.7</v>
      </c>
      <c r="AA1914" s="2">
        <f t="shared" si="147"/>
        <v>89657.713746231006</v>
      </c>
      <c r="AB1914" s="1">
        <f t="shared" si="148"/>
        <v>9.0192528171005509E-2</v>
      </c>
      <c r="AC1914" s="1" t="b">
        <f t="shared" si="149"/>
        <v>1</v>
      </c>
    </row>
    <row r="1915" spans="1:29" x14ac:dyDescent="0.25">
      <c r="A1915" s="1">
        <v>1114.912</v>
      </c>
      <c r="B1915">
        <v>60</v>
      </c>
      <c r="D1915" s="2">
        <v>89693.2</v>
      </c>
      <c r="E1915">
        <v>25979</v>
      </c>
      <c r="F1915" t="s">
        <v>15</v>
      </c>
      <c r="G1915" t="s">
        <v>57</v>
      </c>
      <c r="H1915">
        <v>115672</v>
      </c>
      <c r="I1915" t="s">
        <v>17</v>
      </c>
      <c r="J1915" t="s">
        <v>57</v>
      </c>
      <c r="K1915">
        <v>25979.34</v>
      </c>
      <c r="L1915">
        <v>115672.2</v>
      </c>
      <c r="M1915">
        <v>20</v>
      </c>
      <c r="Y1915" s="1">
        <f t="shared" si="145"/>
        <v>1114.912</v>
      </c>
      <c r="Z1915" s="2">
        <f t="shared" si="146"/>
        <v>89693.2</v>
      </c>
      <c r="AA1915" s="2">
        <f t="shared" si="147"/>
        <v>89693.17757814069</v>
      </c>
      <c r="AB1915" s="1">
        <f t="shared" si="148"/>
        <v>9.0224330520319404E-2</v>
      </c>
      <c r="AC1915" s="1" t="b">
        <f t="shared" si="149"/>
        <v>1</v>
      </c>
    </row>
    <row r="1916" spans="1:29" x14ac:dyDescent="0.25">
      <c r="A1916" s="1">
        <v>1114.5809999999999</v>
      </c>
      <c r="B1916">
        <v>30</v>
      </c>
      <c r="D1916" s="2">
        <v>89719.8</v>
      </c>
      <c r="M1916">
        <v>20</v>
      </c>
      <c r="Y1916" s="1">
        <f t="shared" si="145"/>
        <v>1114.5809999999999</v>
      </c>
      <c r="Z1916" s="2">
        <f t="shared" si="146"/>
        <v>89719.8</v>
      </c>
      <c r="AA1916" s="2">
        <f t="shared" si="147"/>
        <v>89719.813992881638</v>
      </c>
      <c r="AB1916" s="1">
        <f t="shared" si="148"/>
        <v>9.0248225114586411E-2</v>
      </c>
      <c r="AC1916" s="1" t="b">
        <f t="shared" si="149"/>
        <v>1</v>
      </c>
    </row>
    <row r="1917" spans="1:29" x14ac:dyDescent="0.25">
      <c r="A1917" s="1">
        <v>1114.4359999999999</v>
      </c>
      <c r="B1917">
        <v>1</v>
      </c>
      <c r="D1917" s="2">
        <v>89731.5</v>
      </c>
      <c r="E1917">
        <v>21611</v>
      </c>
      <c r="F1917" t="s">
        <v>15</v>
      </c>
      <c r="G1917" t="s">
        <v>28</v>
      </c>
      <c r="H1917">
        <v>111342</v>
      </c>
      <c r="I1917" t="s">
        <v>17</v>
      </c>
      <c r="J1917" t="s">
        <v>18</v>
      </c>
      <c r="K1917">
        <v>21611.19</v>
      </c>
      <c r="L1917">
        <v>111342.8</v>
      </c>
      <c r="M1917">
        <v>20</v>
      </c>
      <c r="Y1917" s="1">
        <f t="shared" si="145"/>
        <v>1114.4359999999999</v>
      </c>
      <c r="Z1917" s="2">
        <f t="shared" si="146"/>
        <v>89731.5</v>
      </c>
      <c r="AA1917" s="2">
        <f t="shared" si="147"/>
        <v>89731.487496814545</v>
      </c>
      <c r="AB1917" s="1">
        <f t="shared" si="148"/>
        <v>9.0258699241954926E-2</v>
      </c>
      <c r="AC1917" s="1" t="b">
        <f t="shared" si="149"/>
        <v>1</v>
      </c>
    </row>
    <row r="1918" spans="1:29" x14ac:dyDescent="0.25">
      <c r="A1918" s="1">
        <v>1114.2280000000001</v>
      </c>
      <c r="B1918">
        <v>20</v>
      </c>
      <c r="D1918" s="2">
        <v>89748.2</v>
      </c>
      <c r="E1918">
        <v>28720</v>
      </c>
      <c r="F1918" t="s">
        <v>15</v>
      </c>
      <c r="G1918" t="s">
        <v>16</v>
      </c>
      <c r="H1918">
        <v>118468</v>
      </c>
      <c r="I1918" t="s">
        <v>17</v>
      </c>
      <c r="J1918" t="s">
        <v>16</v>
      </c>
      <c r="K1918">
        <v>28720.71</v>
      </c>
      <c r="L1918">
        <v>118468.8</v>
      </c>
      <c r="M1918">
        <v>20</v>
      </c>
      <c r="Y1918" s="1">
        <f t="shared" si="145"/>
        <v>1114.2280000000001</v>
      </c>
      <c r="Z1918" s="2">
        <f t="shared" si="146"/>
        <v>89748.2</v>
      </c>
      <c r="AA1918" s="2">
        <f t="shared" si="147"/>
        <v>89748.238242083302</v>
      </c>
      <c r="AB1918" s="1">
        <f t="shared" si="148"/>
        <v>9.027373133778871E-2</v>
      </c>
      <c r="AC1918" s="1" t="b">
        <f t="shared" si="149"/>
        <v>1</v>
      </c>
    </row>
    <row r="1919" spans="1:29" x14ac:dyDescent="0.25">
      <c r="A1919" s="1">
        <v>1113.7529999999999</v>
      </c>
      <c r="B1919">
        <v>10</v>
      </c>
      <c r="D1919" s="2">
        <v>89786.5</v>
      </c>
      <c r="E1919">
        <v>23844</v>
      </c>
      <c r="F1919" t="s">
        <v>15</v>
      </c>
      <c r="G1919" t="s">
        <v>16</v>
      </c>
      <c r="H1919">
        <v>113630</v>
      </c>
      <c r="I1919" t="s">
        <v>17</v>
      </c>
      <c r="J1919" t="s">
        <v>18</v>
      </c>
      <c r="K1919">
        <v>23844.58</v>
      </c>
      <c r="L1919">
        <v>113630.9</v>
      </c>
      <c r="M1919">
        <v>20</v>
      </c>
      <c r="Y1919" s="1">
        <f t="shared" si="145"/>
        <v>1113.7529999999999</v>
      </c>
      <c r="Z1919" s="2">
        <f t="shared" si="146"/>
        <v>89786.5</v>
      </c>
      <c r="AA1919" s="2">
        <f t="shared" si="147"/>
        <v>89786.514604225536</v>
      </c>
      <c r="AB1919" s="1">
        <f t="shared" si="148"/>
        <v>9.0308091023874035E-2</v>
      </c>
      <c r="AC1919" s="1" t="b">
        <f t="shared" si="149"/>
        <v>1</v>
      </c>
    </row>
    <row r="1920" spans="1:29" x14ac:dyDescent="0.25">
      <c r="A1920" s="1">
        <v>1113.489</v>
      </c>
      <c r="B1920">
        <v>10</v>
      </c>
      <c r="D1920" s="2">
        <v>89807.8</v>
      </c>
      <c r="E1920">
        <v>21535</v>
      </c>
      <c r="F1920" t="s">
        <v>15</v>
      </c>
      <c r="G1920" t="s">
        <v>16</v>
      </c>
      <c r="H1920">
        <v>111342</v>
      </c>
      <c r="I1920" t="s">
        <v>17</v>
      </c>
      <c r="J1920" t="s">
        <v>18</v>
      </c>
      <c r="K1920">
        <v>21535.17</v>
      </c>
      <c r="L1920">
        <v>111342.8</v>
      </c>
      <c r="M1920">
        <v>20</v>
      </c>
      <c r="Y1920" s="1">
        <f t="shared" si="145"/>
        <v>1113.489</v>
      </c>
      <c r="Z1920" s="2">
        <f t="shared" si="146"/>
        <v>89807.8</v>
      </c>
      <c r="AA1920" s="2">
        <f t="shared" si="147"/>
        <v>89807.802322250151</v>
      </c>
      <c r="AB1920" s="1">
        <f t="shared" si="148"/>
        <v>9.0327206789761805E-2</v>
      </c>
      <c r="AC1920" s="1" t="b">
        <f t="shared" si="149"/>
        <v>1</v>
      </c>
    </row>
    <row r="1921" spans="1:29" x14ac:dyDescent="0.25">
      <c r="A1921" s="1">
        <v>1112.9649999999999</v>
      </c>
      <c r="B1921">
        <v>10</v>
      </c>
      <c r="D1921" s="2">
        <v>89850.1</v>
      </c>
      <c r="E1921">
        <v>21418</v>
      </c>
      <c r="F1921" t="s">
        <v>15</v>
      </c>
      <c r="G1921" t="s">
        <v>28</v>
      </c>
      <c r="H1921">
        <v>111268</v>
      </c>
      <c r="I1921" t="s">
        <v>17</v>
      </c>
      <c r="J1921" t="s">
        <v>29</v>
      </c>
      <c r="K1921">
        <v>21418.84</v>
      </c>
      <c r="L1921">
        <v>111268.7</v>
      </c>
      <c r="M1921">
        <v>20</v>
      </c>
      <c r="Y1921" s="1">
        <f t="shared" si="145"/>
        <v>1112.9649999999999</v>
      </c>
      <c r="Z1921" s="2">
        <f t="shared" si="146"/>
        <v>89850.1</v>
      </c>
      <c r="AA1921" s="2">
        <f t="shared" si="147"/>
        <v>89850.085132955675</v>
      </c>
      <c r="AB1921" s="1">
        <f t="shared" si="148"/>
        <v>9.0365188991996914E-2</v>
      </c>
      <c r="AC1921" s="1" t="b">
        <f t="shared" si="149"/>
        <v>1</v>
      </c>
    </row>
    <row r="1922" spans="1:29" x14ac:dyDescent="0.25">
      <c r="A1922" s="1">
        <v>1112.5820000000001</v>
      </c>
      <c r="B1922">
        <v>10</v>
      </c>
      <c r="D1922" s="2">
        <v>89881</v>
      </c>
      <c r="M1922">
        <v>20</v>
      </c>
      <c r="Y1922" s="1">
        <f t="shared" si="145"/>
        <v>1112.5820000000001</v>
      </c>
      <c r="Z1922" s="2">
        <f t="shared" si="146"/>
        <v>89881</v>
      </c>
      <c r="AA1922" s="2">
        <f t="shared" si="147"/>
        <v>89881.015511665653</v>
      </c>
      <c r="AB1922" s="1">
        <f t="shared" si="148"/>
        <v>9.0392984747041411E-2</v>
      </c>
      <c r="AC1922" s="1" t="b">
        <f t="shared" si="149"/>
        <v>1</v>
      </c>
    </row>
    <row r="1923" spans="1:29" x14ac:dyDescent="0.25">
      <c r="A1923" s="1">
        <v>1112.549</v>
      </c>
      <c r="B1923">
        <v>5</v>
      </c>
      <c r="D1923" s="2">
        <v>89883.7</v>
      </c>
      <c r="E1923">
        <v>21611</v>
      </c>
      <c r="F1923" t="s">
        <v>15</v>
      </c>
      <c r="G1923" t="s">
        <v>28</v>
      </c>
      <c r="H1923">
        <v>111494</v>
      </c>
      <c r="I1923" t="s">
        <v>17</v>
      </c>
      <c r="J1923" t="s">
        <v>28</v>
      </c>
      <c r="K1923">
        <v>21611.19</v>
      </c>
      <c r="L1923">
        <v>111494.8</v>
      </c>
      <c r="M1923">
        <v>20</v>
      </c>
      <c r="Y1923" s="1">
        <f t="shared" ref="Y1923:Y1986" si="150">ROUND($A1923,3)+0</f>
        <v>1112.549</v>
      </c>
      <c r="Z1923" s="2">
        <f t="shared" ref="Z1923:Z1986" si="151">ROUND($D1923,1)+0</f>
        <v>89883.7</v>
      </c>
      <c r="AA1923" s="2">
        <f t="shared" ref="AA1923:AA1986" si="152">100000000/Y1923</f>
        <v>89883.681527734967</v>
      </c>
      <c r="AB1923" s="1">
        <f t="shared" ref="AB1923:AB1986" si="153">0.0005/$Y1923*AA1923+0.05</f>
        <v>9.0395381024896415E-2</v>
      </c>
      <c r="AC1923" s="1" t="b">
        <f t="shared" ref="AC1923:AC1986" si="154">ABS(Z1923-AA1923)&lt;AB1923</f>
        <v>1</v>
      </c>
    </row>
    <row r="1924" spans="1:29" x14ac:dyDescent="0.25">
      <c r="A1924" s="1">
        <v>1112.4000000000001</v>
      </c>
      <c r="B1924">
        <v>1</v>
      </c>
      <c r="D1924" s="2">
        <v>89895.7</v>
      </c>
      <c r="E1924">
        <v>22747</v>
      </c>
      <c r="F1924" t="s">
        <v>15</v>
      </c>
      <c r="G1924" t="s">
        <v>16</v>
      </c>
      <c r="H1924">
        <v>112643</v>
      </c>
      <c r="I1924" t="s">
        <v>17</v>
      </c>
      <c r="J1924" t="s">
        <v>23</v>
      </c>
      <c r="K1924">
        <v>22747.69</v>
      </c>
      <c r="L1924">
        <v>112643.2</v>
      </c>
      <c r="M1924">
        <v>20</v>
      </c>
      <c r="Y1924" s="1">
        <f t="shared" si="150"/>
        <v>1112.4000000000001</v>
      </c>
      <c r="Z1924" s="2">
        <f t="shared" si="151"/>
        <v>89895.7</v>
      </c>
      <c r="AA1924" s="2">
        <f t="shared" si="152"/>
        <v>89895.720963682121</v>
      </c>
      <c r="AB1924" s="1">
        <f t="shared" si="153"/>
        <v>9.0406203237900995E-2</v>
      </c>
      <c r="AC1924" s="1" t="b">
        <f t="shared" si="154"/>
        <v>1</v>
      </c>
    </row>
    <row r="1925" spans="1:29" x14ac:dyDescent="0.25">
      <c r="A1925" s="1">
        <v>1112.268</v>
      </c>
      <c r="B1925">
        <v>30</v>
      </c>
      <c r="D1925" s="2">
        <v>89906.4</v>
      </c>
      <c r="E1925">
        <v>27138</v>
      </c>
      <c r="F1925" t="s">
        <v>15</v>
      </c>
      <c r="G1925" t="s">
        <v>18</v>
      </c>
      <c r="H1925">
        <v>117044</v>
      </c>
      <c r="I1925" t="s">
        <v>17</v>
      </c>
      <c r="J1925" t="s">
        <v>18</v>
      </c>
      <c r="K1925">
        <v>27138.55</v>
      </c>
      <c r="L1925">
        <v>117044.6</v>
      </c>
      <c r="M1925">
        <v>20</v>
      </c>
      <c r="Y1925" s="1">
        <f t="shared" si="150"/>
        <v>1112.268</v>
      </c>
      <c r="Z1925" s="2">
        <f t="shared" si="151"/>
        <v>89906.4</v>
      </c>
      <c r="AA1925" s="2">
        <f t="shared" si="152"/>
        <v>89906.389467286659</v>
      </c>
      <c r="AB1925" s="1">
        <f t="shared" si="153"/>
        <v>9.0415794335217167E-2</v>
      </c>
      <c r="AC1925" s="1" t="b">
        <f t="shared" si="154"/>
        <v>1</v>
      </c>
    </row>
    <row r="1926" spans="1:29" x14ac:dyDescent="0.25">
      <c r="A1926" s="1">
        <v>1112.162</v>
      </c>
      <c r="B1926">
        <v>10</v>
      </c>
      <c r="D1926" s="2">
        <v>89915</v>
      </c>
      <c r="E1926">
        <v>25409</v>
      </c>
      <c r="F1926" t="s">
        <v>15</v>
      </c>
      <c r="G1926" t="s">
        <v>18</v>
      </c>
      <c r="H1926">
        <v>115324</v>
      </c>
      <c r="I1926" t="s">
        <v>17</v>
      </c>
      <c r="J1926" t="s">
        <v>16</v>
      </c>
      <c r="K1926">
        <v>25409.74</v>
      </c>
      <c r="L1926">
        <v>115324.3</v>
      </c>
      <c r="M1926">
        <v>20</v>
      </c>
      <c r="Y1926" s="1">
        <f t="shared" si="150"/>
        <v>1112.162</v>
      </c>
      <c r="Z1926" s="2">
        <f t="shared" si="151"/>
        <v>89915</v>
      </c>
      <c r="AA1926" s="2">
        <f t="shared" si="152"/>
        <v>89914.958432314714</v>
      </c>
      <c r="AB1926" s="1">
        <f t="shared" si="153"/>
        <v>9.0423498749424416E-2</v>
      </c>
      <c r="AC1926" s="1" t="b">
        <f t="shared" si="154"/>
        <v>1</v>
      </c>
    </row>
    <row r="1927" spans="1:29" x14ac:dyDescent="0.25">
      <c r="A1927" s="1">
        <v>1112.05</v>
      </c>
      <c r="B1927">
        <v>5</v>
      </c>
      <c r="D1927" s="2">
        <v>89924</v>
      </c>
      <c r="E1927">
        <v>21418</v>
      </c>
      <c r="F1927" t="s">
        <v>15</v>
      </c>
      <c r="G1927" t="s">
        <v>28</v>
      </c>
      <c r="H1927">
        <v>111342</v>
      </c>
      <c r="I1927" t="s">
        <v>17</v>
      </c>
      <c r="J1927" t="s">
        <v>18</v>
      </c>
      <c r="K1927">
        <v>21418.84</v>
      </c>
      <c r="L1927">
        <v>111342.8</v>
      </c>
      <c r="M1927">
        <v>20</v>
      </c>
      <c r="Y1927" s="1">
        <f t="shared" si="150"/>
        <v>1112.05</v>
      </c>
      <c r="Z1927" s="2">
        <f t="shared" si="151"/>
        <v>89924</v>
      </c>
      <c r="AA1927" s="2">
        <f t="shared" si="152"/>
        <v>89924.014207994245</v>
      </c>
      <c r="AB1927" s="1">
        <f t="shared" si="153"/>
        <v>9.0431641656397749E-2</v>
      </c>
      <c r="AC1927" s="1" t="b">
        <f t="shared" si="154"/>
        <v>1</v>
      </c>
    </row>
    <row r="1928" spans="1:29" x14ac:dyDescent="0.25">
      <c r="A1928" s="1">
        <v>1111.902</v>
      </c>
      <c r="B1928">
        <v>10</v>
      </c>
      <c r="D1928" s="2">
        <v>89936</v>
      </c>
      <c r="E1928">
        <v>23844</v>
      </c>
      <c r="F1928" t="s">
        <v>15</v>
      </c>
      <c r="G1928" t="s">
        <v>16</v>
      </c>
      <c r="H1928">
        <v>113780</v>
      </c>
      <c r="I1928" t="s">
        <v>17</v>
      </c>
      <c r="J1928" t="s">
        <v>16</v>
      </c>
      <c r="K1928">
        <v>23844.58</v>
      </c>
      <c r="L1928">
        <v>113780.5</v>
      </c>
      <c r="M1928">
        <v>20</v>
      </c>
      <c r="Y1928" s="1">
        <f t="shared" si="150"/>
        <v>1111.902</v>
      </c>
      <c r="Z1928" s="2">
        <f t="shared" si="151"/>
        <v>89936</v>
      </c>
      <c r="AA1928" s="2">
        <f t="shared" si="152"/>
        <v>89935.983566897077</v>
      </c>
      <c r="AB1928" s="1">
        <f t="shared" si="153"/>
        <v>9.0442405700725911E-2</v>
      </c>
      <c r="AC1928" s="1" t="b">
        <f t="shared" si="154"/>
        <v>1</v>
      </c>
    </row>
    <row r="1929" spans="1:29" x14ac:dyDescent="0.25">
      <c r="A1929" s="1">
        <v>1111.768</v>
      </c>
      <c r="B1929">
        <v>40</v>
      </c>
      <c r="D1929" s="2">
        <v>89946.8</v>
      </c>
      <c r="M1929">
        <v>20</v>
      </c>
      <c r="Y1929" s="1">
        <f t="shared" si="150"/>
        <v>1111.768</v>
      </c>
      <c r="Z1929" s="2">
        <f t="shared" si="151"/>
        <v>89946.8</v>
      </c>
      <c r="AA1929" s="2">
        <f t="shared" si="152"/>
        <v>89946.823437983461</v>
      </c>
      <c r="AB1929" s="1">
        <f t="shared" si="153"/>
        <v>9.0452155232918857E-2</v>
      </c>
      <c r="AC1929" s="1" t="b">
        <f t="shared" si="154"/>
        <v>1</v>
      </c>
    </row>
    <row r="1930" spans="1:29" x14ac:dyDescent="0.25">
      <c r="A1930" s="1">
        <v>1111.694</v>
      </c>
      <c r="B1930">
        <v>100</v>
      </c>
      <c r="D1930" s="2">
        <v>89952.8</v>
      </c>
      <c r="E1930">
        <v>23647</v>
      </c>
      <c r="F1930" t="s">
        <v>15</v>
      </c>
      <c r="G1930" t="s">
        <v>50</v>
      </c>
      <c r="H1930">
        <v>113600</v>
      </c>
      <c r="I1930" t="s">
        <v>17</v>
      </c>
      <c r="J1930" t="s">
        <v>50</v>
      </c>
      <c r="K1930">
        <v>23647.77</v>
      </c>
      <c r="L1930">
        <v>113600.3</v>
      </c>
      <c r="M1930">
        <v>20</v>
      </c>
      <c r="Y1930" s="1">
        <f t="shared" si="150"/>
        <v>1111.694</v>
      </c>
      <c r="Z1930" s="2">
        <f t="shared" si="151"/>
        <v>89952.8</v>
      </c>
      <c r="AA1930" s="2">
        <f t="shared" si="152"/>
        <v>89952.81075547768</v>
      </c>
      <c r="AB1930" s="1">
        <f t="shared" si="153"/>
        <v>9.0457540814053911E-2</v>
      </c>
      <c r="AC1930" s="1" t="b">
        <f t="shared" si="154"/>
        <v>1</v>
      </c>
    </row>
    <row r="1931" spans="1:29" x14ac:dyDescent="0.25">
      <c r="A1931" s="1">
        <v>1111.539</v>
      </c>
      <c r="B1931">
        <v>20</v>
      </c>
      <c r="D1931" s="2">
        <v>89965.4</v>
      </c>
      <c r="M1931">
        <v>20</v>
      </c>
      <c r="Y1931" s="1">
        <f t="shared" si="150"/>
        <v>1111.539</v>
      </c>
      <c r="Z1931" s="2">
        <f t="shared" si="151"/>
        <v>89965.4</v>
      </c>
      <c r="AA1931" s="2">
        <f t="shared" si="152"/>
        <v>89965.354342042876</v>
      </c>
      <c r="AB1931" s="1">
        <f t="shared" si="153"/>
        <v>9.046882490944666E-2</v>
      </c>
      <c r="AC1931" s="1" t="b">
        <f t="shared" si="154"/>
        <v>1</v>
      </c>
    </row>
    <row r="1932" spans="1:29" x14ac:dyDescent="0.25">
      <c r="A1932" s="1">
        <v>1111.4749999999999</v>
      </c>
      <c r="B1932">
        <v>10</v>
      </c>
      <c r="D1932" s="2">
        <v>89970.5</v>
      </c>
      <c r="E1932">
        <v>27604</v>
      </c>
      <c r="F1932" t="s">
        <v>15</v>
      </c>
      <c r="G1932" t="s">
        <v>16</v>
      </c>
      <c r="H1932">
        <v>117574</v>
      </c>
      <c r="I1932" t="s">
        <v>17</v>
      </c>
      <c r="J1932" t="s">
        <v>23</v>
      </c>
      <c r="K1932">
        <v>27604.26</v>
      </c>
      <c r="L1932">
        <v>117574.5</v>
      </c>
      <c r="M1932">
        <v>20</v>
      </c>
      <c r="Y1932" s="1">
        <f t="shared" si="150"/>
        <v>1111.4749999999999</v>
      </c>
      <c r="Z1932" s="2">
        <f t="shared" si="151"/>
        <v>89970.5</v>
      </c>
      <c r="AA1932" s="2">
        <f t="shared" si="152"/>
        <v>89970.534649902169</v>
      </c>
      <c r="AB1932" s="1">
        <f t="shared" si="153"/>
        <v>9.0473485525946237E-2</v>
      </c>
      <c r="AC1932" s="1" t="b">
        <f t="shared" si="154"/>
        <v>1</v>
      </c>
    </row>
    <row r="1933" spans="1:29" x14ac:dyDescent="0.25">
      <c r="A1933" s="1">
        <v>1111.373</v>
      </c>
      <c r="B1933">
        <v>3</v>
      </c>
      <c r="D1933" s="2">
        <v>89978.8</v>
      </c>
      <c r="E1933">
        <v>23651</v>
      </c>
      <c r="F1933" t="s">
        <v>15</v>
      </c>
      <c r="G1933" t="s">
        <v>18</v>
      </c>
      <c r="H1933">
        <v>113630</v>
      </c>
      <c r="I1933" t="s">
        <v>17</v>
      </c>
      <c r="J1933" t="s">
        <v>18</v>
      </c>
      <c r="K1933">
        <v>23651.88</v>
      </c>
      <c r="L1933">
        <v>113630.9</v>
      </c>
      <c r="M1933">
        <v>20</v>
      </c>
      <c r="Y1933" s="1">
        <f t="shared" si="150"/>
        <v>1111.373</v>
      </c>
      <c r="Z1933" s="2">
        <f t="shared" si="151"/>
        <v>89978.8</v>
      </c>
      <c r="AA1933" s="2">
        <f t="shared" si="152"/>
        <v>89978.791998725894</v>
      </c>
      <c r="AB1933" s="1">
        <f t="shared" si="153"/>
        <v>9.048091504774991E-2</v>
      </c>
      <c r="AC1933" s="1" t="b">
        <f t="shared" si="154"/>
        <v>1</v>
      </c>
    </row>
    <row r="1934" spans="1:29" x14ac:dyDescent="0.25">
      <c r="A1934" s="1">
        <v>1111.174</v>
      </c>
      <c r="B1934">
        <v>50</v>
      </c>
      <c r="D1934" s="2">
        <v>89994.9</v>
      </c>
      <c r="E1934">
        <v>28885</v>
      </c>
      <c r="F1934" t="s">
        <v>15</v>
      </c>
      <c r="G1934" t="s">
        <v>16</v>
      </c>
      <c r="H1934">
        <v>118879</v>
      </c>
      <c r="I1934" t="s">
        <v>17</v>
      </c>
      <c r="J1934" t="s">
        <v>23</v>
      </c>
      <c r="K1934">
        <v>28885.14</v>
      </c>
      <c r="L1934">
        <v>118879.3</v>
      </c>
      <c r="M1934">
        <v>20</v>
      </c>
      <c r="Y1934" s="1">
        <f t="shared" si="150"/>
        <v>1111.174</v>
      </c>
      <c r="Z1934" s="2">
        <f t="shared" si="151"/>
        <v>89994.9</v>
      </c>
      <c r="AA1934" s="2">
        <f t="shared" si="152"/>
        <v>89994.90628830409</v>
      </c>
      <c r="AB1934" s="1">
        <f t="shared" si="153"/>
        <v>9.0495415789203171E-2</v>
      </c>
      <c r="AC1934" s="1" t="b">
        <f t="shared" si="154"/>
        <v>1</v>
      </c>
    </row>
    <row r="1935" spans="1:29" x14ac:dyDescent="0.25">
      <c r="A1935" s="1">
        <v>1111.117</v>
      </c>
      <c r="B1935">
        <v>1</v>
      </c>
      <c r="D1935" s="2">
        <v>89999.5</v>
      </c>
      <c r="M1935">
        <v>20</v>
      </c>
      <c r="Y1935" s="1">
        <f t="shared" si="150"/>
        <v>1111.117</v>
      </c>
      <c r="Z1935" s="2">
        <f t="shared" si="151"/>
        <v>89999.5</v>
      </c>
      <c r="AA1935" s="2">
        <f t="shared" si="152"/>
        <v>89999.523002528091</v>
      </c>
      <c r="AB1935" s="1">
        <f t="shared" si="153"/>
        <v>9.0499570703412913E-2</v>
      </c>
      <c r="AC1935" s="1" t="b">
        <f t="shared" si="154"/>
        <v>1</v>
      </c>
    </row>
    <row r="1936" spans="1:29" x14ac:dyDescent="0.25">
      <c r="A1936" s="1">
        <v>1111.0350000000001</v>
      </c>
      <c r="B1936">
        <v>1</v>
      </c>
      <c r="D1936" s="2">
        <v>90006.2</v>
      </c>
      <c r="E1936">
        <v>26446</v>
      </c>
      <c r="F1936" t="s">
        <v>15</v>
      </c>
      <c r="G1936" t="s">
        <v>18</v>
      </c>
      <c r="H1936">
        <v>116453</v>
      </c>
      <c r="I1936" t="s">
        <v>17</v>
      </c>
      <c r="J1936" t="s">
        <v>16</v>
      </c>
      <c r="K1936">
        <v>26446.97</v>
      </c>
      <c r="L1936">
        <v>116453.2</v>
      </c>
      <c r="M1936">
        <v>20</v>
      </c>
      <c r="Y1936" s="1">
        <f t="shared" si="150"/>
        <v>1111.0350000000001</v>
      </c>
      <c r="Z1936" s="2">
        <f t="shared" si="151"/>
        <v>90006.2</v>
      </c>
      <c r="AA1936" s="2">
        <f t="shared" si="152"/>
        <v>90006.165422331425</v>
      </c>
      <c r="AB1936" s="1">
        <f t="shared" si="153"/>
        <v>9.0505549070160451E-2</v>
      </c>
      <c r="AC1936" s="1" t="b">
        <f t="shared" si="154"/>
        <v>1</v>
      </c>
    </row>
    <row r="1937" spans="1:29" x14ac:dyDescent="0.25">
      <c r="A1937" s="1">
        <v>1110.8979999999999</v>
      </c>
      <c r="B1937">
        <v>1</v>
      </c>
      <c r="D1937" s="2">
        <v>90017.3</v>
      </c>
      <c r="E1937">
        <v>20315</v>
      </c>
      <c r="F1937" t="s">
        <v>15</v>
      </c>
      <c r="G1937" t="s">
        <v>16</v>
      </c>
      <c r="H1937">
        <v>110333</v>
      </c>
      <c r="I1937" t="s">
        <v>17</v>
      </c>
      <c r="J1937" t="s">
        <v>18</v>
      </c>
      <c r="K1937">
        <v>20315.650000000001</v>
      </c>
      <c r="L1937">
        <v>110333.5</v>
      </c>
      <c r="M1937">
        <v>20</v>
      </c>
      <c r="Y1937" s="1">
        <f t="shared" si="150"/>
        <v>1110.8979999999999</v>
      </c>
      <c r="Z1937" s="2">
        <f t="shared" si="151"/>
        <v>90017.3</v>
      </c>
      <c r="AA1937" s="2">
        <f t="shared" si="152"/>
        <v>90017.265311486757</v>
      </c>
      <c r="AB1937" s="1">
        <f t="shared" si="153"/>
        <v>9.0515540270792977E-2</v>
      </c>
      <c r="AC1937" s="1" t="b">
        <f t="shared" si="154"/>
        <v>1</v>
      </c>
    </row>
    <row r="1938" spans="1:29" x14ac:dyDescent="0.25">
      <c r="A1938" s="1">
        <v>1110.6559999999999</v>
      </c>
      <c r="B1938">
        <v>1</v>
      </c>
      <c r="D1938" s="2">
        <v>90036.9</v>
      </c>
      <c r="M1938">
        <v>20</v>
      </c>
      <c r="Y1938" s="1">
        <f t="shared" si="150"/>
        <v>1110.6559999999999</v>
      </c>
      <c r="Z1938" s="2">
        <f t="shared" si="151"/>
        <v>90036.9</v>
      </c>
      <c r="AA1938" s="2">
        <f t="shared" si="152"/>
        <v>90036.879105681684</v>
      </c>
      <c r="AB1938" s="1">
        <f t="shared" si="153"/>
        <v>9.05331979954557E-2</v>
      </c>
      <c r="AC1938" s="1" t="b">
        <f t="shared" si="154"/>
        <v>1</v>
      </c>
    </row>
    <row r="1939" spans="1:29" x14ac:dyDescent="0.25">
      <c r="A1939" s="1">
        <v>1110.52</v>
      </c>
      <c r="B1939">
        <v>200</v>
      </c>
      <c r="D1939" s="2">
        <v>90047.9</v>
      </c>
      <c r="E1939">
        <v>21294</v>
      </c>
      <c r="F1939" t="s">
        <v>15</v>
      </c>
      <c r="G1939" t="s">
        <v>18</v>
      </c>
      <c r="H1939">
        <v>111342</v>
      </c>
      <c r="I1939" t="s">
        <v>17</v>
      </c>
      <c r="J1939" t="s">
        <v>18</v>
      </c>
      <c r="K1939">
        <v>21294.89</v>
      </c>
      <c r="L1939">
        <v>111342.8</v>
      </c>
      <c r="M1939">
        <v>20</v>
      </c>
      <c r="Y1939" s="1">
        <f t="shared" si="150"/>
        <v>1110.52</v>
      </c>
      <c r="Z1939" s="2">
        <f t="shared" si="151"/>
        <v>90047.9</v>
      </c>
      <c r="AA1939" s="2">
        <f t="shared" si="152"/>
        <v>90047.905485718409</v>
      </c>
      <c r="AB1939" s="1">
        <f t="shared" si="153"/>
        <v>9.0543126411824382E-2</v>
      </c>
      <c r="AC1939" s="1" t="b">
        <f t="shared" si="154"/>
        <v>1</v>
      </c>
    </row>
    <row r="1940" spans="1:29" x14ac:dyDescent="0.25">
      <c r="A1940" s="1">
        <v>1110.172</v>
      </c>
      <c r="B1940">
        <v>30</v>
      </c>
      <c r="D1940" s="2">
        <v>90076.1</v>
      </c>
      <c r="E1940">
        <v>21418</v>
      </c>
      <c r="F1940" t="s">
        <v>15</v>
      </c>
      <c r="G1940" t="s">
        <v>28</v>
      </c>
      <c r="H1940">
        <v>111494</v>
      </c>
      <c r="I1940" t="s">
        <v>17</v>
      </c>
      <c r="J1940" t="s">
        <v>28</v>
      </c>
      <c r="K1940">
        <v>21418.84</v>
      </c>
      <c r="L1940">
        <v>111494.8</v>
      </c>
      <c r="M1940">
        <v>20</v>
      </c>
      <c r="Y1940" s="1">
        <f t="shared" si="150"/>
        <v>1110.172</v>
      </c>
      <c r="Z1940" s="2">
        <f t="shared" si="151"/>
        <v>90076.1</v>
      </c>
      <c r="AA1940" s="2">
        <f t="shared" si="152"/>
        <v>90076.132347059727</v>
      </c>
      <c r="AB1940" s="1">
        <f t="shared" si="153"/>
        <v>9.0568548093025114E-2</v>
      </c>
      <c r="AC1940" s="1" t="b">
        <f t="shared" si="154"/>
        <v>1</v>
      </c>
    </row>
    <row r="1941" spans="1:29" x14ac:dyDescent="0.25">
      <c r="A1941" s="1">
        <v>1110.0820000000001</v>
      </c>
      <c r="B1941">
        <v>1</v>
      </c>
      <c r="D1941" s="2">
        <v>90083.4</v>
      </c>
      <c r="M1941">
        <v>20</v>
      </c>
      <c r="Y1941" s="1">
        <f t="shared" si="150"/>
        <v>1110.0820000000001</v>
      </c>
      <c r="Z1941" s="2">
        <f t="shared" si="151"/>
        <v>90083.4</v>
      </c>
      <c r="AA1941" s="2">
        <f t="shared" si="152"/>
        <v>90083.435277754252</v>
      </c>
      <c r="AB1941" s="1">
        <f t="shared" si="153"/>
        <v>9.0575126557206703E-2</v>
      </c>
      <c r="AC1941" s="1" t="b">
        <f t="shared" si="154"/>
        <v>1</v>
      </c>
    </row>
    <row r="1942" spans="1:29" x14ac:dyDescent="0.25">
      <c r="A1942" s="1">
        <v>1109.8009999999999</v>
      </c>
      <c r="B1942">
        <v>5</v>
      </c>
      <c r="D1942" s="2">
        <v>90106.2</v>
      </c>
      <c r="M1942">
        <v>20</v>
      </c>
      <c r="Y1942" s="1">
        <f t="shared" si="150"/>
        <v>1109.8009999999999</v>
      </c>
      <c r="Z1942" s="2">
        <f t="shared" si="151"/>
        <v>90106.2</v>
      </c>
      <c r="AA1942" s="2">
        <f t="shared" si="152"/>
        <v>90106.244272621858</v>
      </c>
      <c r="AB1942" s="1">
        <f t="shared" si="153"/>
        <v>9.0595676284587007E-2</v>
      </c>
      <c r="AC1942" s="1" t="b">
        <f t="shared" si="154"/>
        <v>1</v>
      </c>
    </row>
    <row r="1943" spans="1:29" x14ac:dyDescent="0.25">
      <c r="A1943" s="1">
        <v>1109.5229999999999</v>
      </c>
      <c r="B1943">
        <v>15</v>
      </c>
      <c r="D1943" s="2">
        <v>90128.8</v>
      </c>
      <c r="E1943">
        <v>23651</v>
      </c>
      <c r="F1943" t="s">
        <v>15</v>
      </c>
      <c r="G1943" t="s">
        <v>18</v>
      </c>
      <c r="H1943">
        <v>113780</v>
      </c>
      <c r="I1943" t="s">
        <v>17</v>
      </c>
      <c r="J1943" t="s">
        <v>16</v>
      </c>
      <c r="K1943">
        <v>23651.88</v>
      </c>
      <c r="L1943">
        <v>113780.5</v>
      </c>
      <c r="M1943">
        <v>20</v>
      </c>
      <c r="Y1943" s="1">
        <f t="shared" si="150"/>
        <v>1109.5229999999999</v>
      </c>
      <c r="Z1943" s="2">
        <f t="shared" si="151"/>
        <v>90128.8</v>
      </c>
      <c r="AA1943" s="2">
        <f t="shared" si="152"/>
        <v>90128.821124032591</v>
      </c>
      <c r="AB1943" s="1">
        <f t="shared" si="153"/>
        <v>9.0616021986039325E-2</v>
      </c>
      <c r="AC1943" s="1" t="b">
        <f t="shared" si="154"/>
        <v>1</v>
      </c>
    </row>
    <row r="1944" spans="1:29" x14ac:dyDescent="0.25">
      <c r="A1944" s="1">
        <v>1109.1559999999999</v>
      </c>
      <c r="B1944">
        <v>200</v>
      </c>
      <c r="D1944" s="2">
        <v>90158.6</v>
      </c>
      <c r="E1944">
        <v>28720</v>
      </c>
      <c r="F1944" t="s">
        <v>15</v>
      </c>
      <c r="G1944" t="s">
        <v>16</v>
      </c>
      <c r="H1944">
        <v>118879</v>
      </c>
      <c r="I1944" t="s">
        <v>17</v>
      </c>
      <c r="J1944" t="s">
        <v>23</v>
      </c>
      <c r="K1944">
        <v>28720.71</v>
      </c>
      <c r="L1944">
        <v>118879.3</v>
      </c>
      <c r="M1944">
        <v>20</v>
      </c>
      <c r="Y1944" s="1">
        <f t="shared" si="150"/>
        <v>1109.1559999999999</v>
      </c>
      <c r="Z1944" s="2">
        <f t="shared" si="151"/>
        <v>90158.6</v>
      </c>
      <c r="AA1944" s="2">
        <f t="shared" si="152"/>
        <v>90158.643148484072</v>
      </c>
      <c r="AB1944" s="1">
        <f t="shared" si="153"/>
        <v>9.0642904671878466E-2</v>
      </c>
      <c r="AC1944" s="1" t="b">
        <f t="shared" si="154"/>
        <v>1</v>
      </c>
    </row>
    <row r="1945" spans="1:29" x14ac:dyDescent="0.25">
      <c r="A1945" s="1">
        <v>1109.011</v>
      </c>
      <c r="B1945">
        <v>20</v>
      </c>
      <c r="D1945" s="2">
        <v>90170.4</v>
      </c>
      <c r="M1945">
        <v>20</v>
      </c>
      <c r="Y1945" s="1">
        <f t="shared" si="150"/>
        <v>1109.011</v>
      </c>
      <c r="Z1945" s="2">
        <f t="shared" si="151"/>
        <v>90170.4</v>
      </c>
      <c r="AA1945" s="2">
        <f t="shared" si="152"/>
        <v>90170.431131882375</v>
      </c>
      <c r="AB1945" s="1">
        <f t="shared" si="153"/>
        <v>9.0653533252547713E-2</v>
      </c>
      <c r="AC1945" s="1" t="b">
        <f t="shared" si="154"/>
        <v>1</v>
      </c>
    </row>
    <row r="1946" spans="1:29" x14ac:dyDescent="0.25">
      <c r="A1946" s="1">
        <v>1108.8789999999999</v>
      </c>
      <c r="B1946">
        <v>10</v>
      </c>
      <c r="D1946" s="2">
        <v>90181.2</v>
      </c>
      <c r="M1946">
        <v>20</v>
      </c>
      <c r="Y1946" s="1">
        <f t="shared" si="150"/>
        <v>1108.8789999999999</v>
      </c>
      <c r="Z1946" s="2">
        <f t="shared" si="151"/>
        <v>90181.2</v>
      </c>
      <c r="AA1946" s="2">
        <f t="shared" si="152"/>
        <v>90181.164942252493</v>
      </c>
      <c r="AB1946" s="1">
        <f t="shared" si="153"/>
        <v>9.0663212551708755E-2</v>
      </c>
      <c r="AC1946" s="1" t="b">
        <f t="shared" si="154"/>
        <v>1</v>
      </c>
    </row>
    <row r="1947" spans="1:29" x14ac:dyDescent="0.25">
      <c r="A1947" s="1">
        <v>1108.817</v>
      </c>
      <c r="B1947">
        <v>500</v>
      </c>
      <c r="D1947" s="2">
        <v>90186.2</v>
      </c>
      <c r="E1947">
        <v>23647</v>
      </c>
      <c r="F1947" t="s">
        <v>15</v>
      </c>
      <c r="G1947" t="s">
        <v>50</v>
      </c>
      <c r="H1947">
        <v>113833</v>
      </c>
      <c r="I1947" t="s">
        <v>17</v>
      </c>
      <c r="J1947" t="s">
        <v>57</v>
      </c>
      <c r="K1947">
        <v>23647.77</v>
      </c>
      <c r="L1947">
        <v>113833.9</v>
      </c>
      <c r="M1947">
        <v>20</v>
      </c>
      <c r="Y1947" s="1">
        <f t="shared" si="150"/>
        <v>1108.817</v>
      </c>
      <c r="Z1947" s="2">
        <f t="shared" si="151"/>
        <v>90186.2</v>
      </c>
      <c r="AA1947" s="2">
        <f t="shared" si="152"/>
        <v>90186.207462547929</v>
      </c>
      <c r="AB1947" s="1">
        <f t="shared" si="153"/>
        <v>9.0667760082388679E-2</v>
      </c>
      <c r="AC1947" s="1" t="b">
        <f t="shared" si="154"/>
        <v>1</v>
      </c>
    </row>
    <row r="1948" spans="1:29" x14ac:dyDescent="0.25">
      <c r="A1948" s="1">
        <v>1108.7090000000001</v>
      </c>
      <c r="B1948">
        <v>20</v>
      </c>
      <c r="D1948" s="2">
        <v>90195</v>
      </c>
      <c r="E1948">
        <v>27452</v>
      </c>
      <c r="F1948" t="s">
        <v>15</v>
      </c>
      <c r="G1948" t="s">
        <v>28</v>
      </c>
      <c r="H1948">
        <v>117647</v>
      </c>
      <c r="I1948" t="s">
        <v>17</v>
      </c>
      <c r="J1948" t="s">
        <v>18</v>
      </c>
      <c r="K1948">
        <v>27452.45</v>
      </c>
      <c r="L1948">
        <v>117647.2</v>
      </c>
      <c r="M1948">
        <v>20</v>
      </c>
      <c r="Y1948" s="1">
        <f t="shared" si="150"/>
        <v>1108.7090000000001</v>
      </c>
      <c r="Z1948" s="2">
        <f t="shared" si="151"/>
        <v>90195</v>
      </c>
      <c r="AA1948" s="2">
        <f t="shared" si="152"/>
        <v>90194.992554403361</v>
      </c>
      <c r="AB1948" s="1">
        <f t="shared" si="153"/>
        <v>9.0675683409444402E-2</v>
      </c>
      <c r="AC1948" s="1" t="b">
        <f t="shared" si="154"/>
        <v>1</v>
      </c>
    </row>
    <row r="1949" spans="1:29" x14ac:dyDescent="0.25">
      <c r="A1949" s="1">
        <v>1108.6479999999999</v>
      </c>
      <c r="B1949">
        <v>3</v>
      </c>
      <c r="D1949" s="2">
        <v>90200</v>
      </c>
      <c r="E1949">
        <v>21294</v>
      </c>
      <c r="F1949" t="s">
        <v>15</v>
      </c>
      <c r="G1949" t="s">
        <v>18</v>
      </c>
      <c r="H1949">
        <v>111494</v>
      </c>
      <c r="I1949" t="s">
        <v>17</v>
      </c>
      <c r="J1949" t="s">
        <v>28</v>
      </c>
      <c r="K1949">
        <v>21294.89</v>
      </c>
      <c r="L1949">
        <v>111494.8</v>
      </c>
      <c r="M1949">
        <v>20</v>
      </c>
      <c r="Y1949" s="1">
        <f t="shared" si="150"/>
        <v>1108.6479999999999</v>
      </c>
      <c r="Z1949" s="2">
        <f t="shared" si="151"/>
        <v>90200</v>
      </c>
      <c r="AA1949" s="2">
        <f t="shared" si="152"/>
        <v>90199.9552608222</v>
      </c>
      <c r="AB1949" s="1">
        <f t="shared" si="153"/>
        <v>9.0680159645271638E-2</v>
      </c>
      <c r="AC1949" s="1" t="b">
        <f t="shared" si="154"/>
        <v>1</v>
      </c>
    </row>
    <row r="1950" spans="1:29" x14ac:dyDescent="0.25">
      <c r="A1950" s="1">
        <v>1108.115</v>
      </c>
      <c r="B1950">
        <v>6</v>
      </c>
      <c r="D1950" s="2">
        <v>90243.3</v>
      </c>
      <c r="M1950">
        <v>20</v>
      </c>
      <c r="Y1950" s="1">
        <f t="shared" si="150"/>
        <v>1108.115</v>
      </c>
      <c r="Z1950" s="2">
        <f t="shared" si="151"/>
        <v>90243.3</v>
      </c>
      <c r="AA1950" s="2">
        <f t="shared" si="152"/>
        <v>90243.341169463456</v>
      </c>
      <c r="AB1950" s="1">
        <f t="shared" si="153"/>
        <v>9.0719303127140896E-2</v>
      </c>
      <c r="AC1950" s="1" t="b">
        <f t="shared" si="154"/>
        <v>1</v>
      </c>
    </row>
    <row r="1951" spans="1:29" x14ac:dyDescent="0.25">
      <c r="A1951" s="1">
        <v>1107.998</v>
      </c>
      <c r="B1951">
        <v>40</v>
      </c>
      <c r="D1951" s="2">
        <v>90252.9</v>
      </c>
      <c r="M1951">
        <v>20</v>
      </c>
      <c r="Y1951" s="1">
        <f t="shared" si="150"/>
        <v>1107.998</v>
      </c>
      <c r="Z1951" s="2">
        <f t="shared" si="151"/>
        <v>90252.9</v>
      </c>
      <c r="AA1951" s="2">
        <f t="shared" si="152"/>
        <v>90252.870492546019</v>
      </c>
      <c r="AB1951" s="1">
        <f t="shared" si="153"/>
        <v>9.0727903160721421E-2</v>
      </c>
      <c r="AC1951" s="1" t="b">
        <f t="shared" si="154"/>
        <v>1</v>
      </c>
    </row>
    <row r="1952" spans="1:29" x14ac:dyDescent="0.25">
      <c r="A1952" s="1">
        <v>1107.9110000000001</v>
      </c>
      <c r="B1952">
        <v>80</v>
      </c>
      <c r="C1952" t="s">
        <v>27</v>
      </c>
      <c r="D1952" s="2">
        <v>90260</v>
      </c>
      <c r="E1952">
        <v>25979</v>
      </c>
      <c r="F1952" t="s">
        <v>15</v>
      </c>
      <c r="G1952" t="s">
        <v>57</v>
      </c>
      <c r="H1952">
        <v>116238</v>
      </c>
      <c r="I1952" t="s">
        <v>17</v>
      </c>
      <c r="J1952" t="s">
        <v>57</v>
      </c>
      <c r="K1952">
        <v>25979.34</v>
      </c>
      <c r="L1952">
        <v>116238.8</v>
      </c>
      <c r="M1952">
        <v>20</v>
      </c>
      <c r="Y1952" s="1">
        <f t="shared" si="150"/>
        <v>1107.9110000000001</v>
      </c>
      <c r="Z1952" s="2">
        <f t="shared" si="151"/>
        <v>90260</v>
      </c>
      <c r="AA1952" s="2">
        <f t="shared" si="152"/>
        <v>90259.95770418382</v>
      </c>
      <c r="AB1952" s="1">
        <f t="shared" si="153"/>
        <v>9.0734299823805264E-2</v>
      </c>
      <c r="AC1952" s="1" t="b">
        <f t="shared" si="154"/>
        <v>1</v>
      </c>
    </row>
    <row r="1953" spans="1:29" x14ac:dyDescent="0.25">
      <c r="A1953" s="1">
        <v>1107.9110000000001</v>
      </c>
      <c r="B1953">
        <v>80</v>
      </c>
      <c r="C1953" t="s">
        <v>27</v>
      </c>
      <c r="D1953" s="2">
        <v>90260</v>
      </c>
      <c r="E1953">
        <v>25409</v>
      </c>
      <c r="F1953" t="s">
        <v>15</v>
      </c>
      <c r="G1953" t="s">
        <v>18</v>
      </c>
      <c r="H1953">
        <v>115670</v>
      </c>
      <c r="I1953" t="s">
        <v>17</v>
      </c>
      <c r="J1953" t="s">
        <v>18</v>
      </c>
      <c r="K1953">
        <v>25409.74</v>
      </c>
      <c r="L1953">
        <v>115670</v>
      </c>
      <c r="M1953">
        <v>20</v>
      </c>
      <c r="Y1953" s="1">
        <f t="shared" si="150"/>
        <v>1107.9110000000001</v>
      </c>
      <c r="Z1953" s="2">
        <f t="shared" si="151"/>
        <v>90260</v>
      </c>
      <c r="AA1953" s="2">
        <f t="shared" si="152"/>
        <v>90259.95770418382</v>
      </c>
      <c r="AB1953" s="1">
        <f t="shared" si="153"/>
        <v>9.0734299823805264E-2</v>
      </c>
      <c r="AC1953" s="1" t="b">
        <f t="shared" si="154"/>
        <v>1</v>
      </c>
    </row>
    <row r="1954" spans="1:29" x14ac:dyDescent="0.25">
      <c r="A1954" s="1">
        <v>1107.8810000000001</v>
      </c>
      <c r="B1954">
        <v>20</v>
      </c>
      <c r="C1954" t="s">
        <v>122</v>
      </c>
      <c r="D1954" s="2">
        <v>90262.399999999994</v>
      </c>
      <c r="E1954">
        <v>23651</v>
      </c>
      <c r="F1954" t="s">
        <v>15</v>
      </c>
      <c r="G1954" t="s">
        <v>18</v>
      </c>
      <c r="H1954">
        <v>113914</v>
      </c>
      <c r="I1954" t="s">
        <v>17</v>
      </c>
      <c r="J1954" t="s">
        <v>28</v>
      </c>
      <c r="K1954">
        <v>23651.88</v>
      </c>
      <c r="L1954">
        <v>113914.1</v>
      </c>
      <c r="M1954">
        <v>20</v>
      </c>
      <c r="Y1954" s="1">
        <f t="shared" si="150"/>
        <v>1107.8810000000001</v>
      </c>
      <c r="Z1954" s="2">
        <f t="shared" si="151"/>
        <v>90262.399999999994</v>
      </c>
      <c r="AA1954" s="2">
        <f t="shared" si="152"/>
        <v>90262.4018283552</v>
      </c>
      <c r="AB1954" s="1">
        <f t="shared" si="153"/>
        <v>9.0736505919117305E-2</v>
      </c>
      <c r="AC1954" s="1" t="b">
        <f t="shared" si="154"/>
        <v>1</v>
      </c>
    </row>
    <row r="1955" spans="1:29" x14ac:dyDescent="0.25">
      <c r="A1955" s="1">
        <v>1107.5360000000001</v>
      </c>
      <c r="B1955">
        <v>100</v>
      </c>
      <c r="D1955" s="2">
        <v>90290.5</v>
      </c>
      <c r="E1955">
        <v>25033</v>
      </c>
      <c r="F1955" t="s">
        <v>15</v>
      </c>
      <c r="G1955" t="s">
        <v>16</v>
      </c>
      <c r="H1955">
        <v>115324</v>
      </c>
      <c r="I1955" t="s">
        <v>17</v>
      </c>
      <c r="J1955" t="s">
        <v>16</v>
      </c>
      <c r="K1955">
        <v>25033.91</v>
      </c>
      <c r="L1955">
        <v>115324.3</v>
      </c>
      <c r="M1955">
        <v>20</v>
      </c>
      <c r="Y1955" s="1">
        <f t="shared" si="150"/>
        <v>1107.5360000000001</v>
      </c>
      <c r="Z1955" s="2">
        <f t="shared" si="151"/>
        <v>90290.5</v>
      </c>
      <c r="AA1955" s="2">
        <f t="shared" si="152"/>
        <v>90290.518773204662</v>
      </c>
      <c r="AB1955" s="1">
        <f t="shared" si="153"/>
        <v>9.0761888901672111E-2</v>
      </c>
      <c r="AC1955" s="1" t="b">
        <f t="shared" si="154"/>
        <v>1</v>
      </c>
    </row>
    <row r="1956" spans="1:29" x14ac:dyDescent="0.25">
      <c r="A1956" s="1">
        <v>1107.096</v>
      </c>
      <c r="B1956">
        <v>20</v>
      </c>
      <c r="D1956" s="2">
        <v>90326.399999999994</v>
      </c>
      <c r="M1956">
        <v>20</v>
      </c>
      <c r="Y1956" s="1">
        <f t="shared" si="150"/>
        <v>1107.096</v>
      </c>
      <c r="Z1956" s="2">
        <f t="shared" si="151"/>
        <v>90326.399999999994</v>
      </c>
      <c r="AA1956" s="2">
        <f t="shared" si="152"/>
        <v>90326.40349165746</v>
      </c>
      <c r="AB1956" s="1">
        <f t="shared" si="153"/>
        <v>9.0794295838688546E-2</v>
      </c>
      <c r="AC1956" s="1" t="b">
        <f t="shared" si="154"/>
        <v>1</v>
      </c>
    </row>
    <row r="1957" spans="1:29" x14ac:dyDescent="0.25">
      <c r="A1957" s="1">
        <v>1106.9480000000001</v>
      </c>
      <c r="B1957">
        <v>2</v>
      </c>
      <c r="D1957" s="2">
        <v>90338.5</v>
      </c>
      <c r="E1957">
        <v>23442</v>
      </c>
      <c r="F1957" t="s">
        <v>15</v>
      </c>
      <c r="G1957" t="s">
        <v>23</v>
      </c>
      <c r="H1957">
        <v>113780</v>
      </c>
      <c r="I1957" t="s">
        <v>17</v>
      </c>
      <c r="J1957" t="s">
        <v>16</v>
      </c>
      <c r="K1957">
        <v>23442.25</v>
      </c>
      <c r="L1957">
        <v>113780.5</v>
      </c>
      <c r="M1957">
        <v>20</v>
      </c>
      <c r="Y1957" s="1">
        <f t="shared" si="150"/>
        <v>1106.9480000000001</v>
      </c>
      <c r="Z1957" s="2">
        <f t="shared" si="151"/>
        <v>90338.5</v>
      </c>
      <c r="AA1957" s="2">
        <f t="shared" si="152"/>
        <v>90338.480217679593</v>
      </c>
      <c r="AB1957" s="1">
        <f t="shared" si="153"/>
        <v>9.080520504020044E-2</v>
      </c>
      <c r="AC1957" s="1" t="b">
        <f t="shared" si="154"/>
        <v>1</v>
      </c>
    </row>
    <row r="1958" spans="1:29" x14ac:dyDescent="0.25">
      <c r="A1958" s="1">
        <v>1106.7550000000001</v>
      </c>
      <c r="B1958">
        <v>3</v>
      </c>
      <c r="D1958" s="2">
        <v>90354.2</v>
      </c>
      <c r="M1958">
        <v>20</v>
      </c>
      <c r="Y1958" s="1">
        <f t="shared" si="150"/>
        <v>1106.7550000000001</v>
      </c>
      <c r="Z1958" s="2">
        <f t="shared" si="151"/>
        <v>90354.2</v>
      </c>
      <c r="AA1958" s="2">
        <f t="shared" si="152"/>
        <v>90354.23377350904</v>
      </c>
      <c r="AB1958" s="1">
        <f t="shared" si="153"/>
        <v>9.08194378039896E-2</v>
      </c>
      <c r="AC1958" s="1" t="b">
        <f t="shared" si="154"/>
        <v>1</v>
      </c>
    </row>
    <row r="1959" spans="1:29" x14ac:dyDescent="0.25">
      <c r="A1959" s="1">
        <v>1106.567</v>
      </c>
      <c r="B1959">
        <v>80</v>
      </c>
      <c r="D1959" s="2">
        <v>90369.600000000006</v>
      </c>
      <c r="E1959">
        <v>25033</v>
      </c>
      <c r="F1959" t="s">
        <v>15</v>
      </c>
      <c r="G1959" t="s">
        <v>16</v>
      </c>
      <c r="H1959">
        <v>115403</v>
      </c>
      <c r="I1959" t="s">
        <v>17</v>
      </c>
      <c r="J1959" t="s">
        <v>23</v>
      </c>
      <c r="K1959">
        <v>25033.91</v>
      </c>
      <c r="L1959">
        <v>115403.3</v>
      </c>
      <c r="M1959">
        <v>20</v>
      </c>
      <c r="Y1959" s="1">
        <f t="shared" si="150"/>
        <v>1106.567</v>
      </c>
      <c r="Z1959" s="2">
        <f t="shared" si="151"/>
        <v>90369.600000000006</v>
      </c>
      <c r="AA1959" s="2">
        <f t="shared" si="152"/>
        <v>90369.584489687477</v>
      </c>
      <c r="AB1959" s="1">
        <f t="shared" si="153"/>
        <v>9.0833309004193813E-2</v>
      </c>
      <c r="AC1959" s="1" t="b">
        <f t="shared" si="154"/>
        <v>1</v>
      </c>
    </row>
    <row r="1960" spans="1:29" x14ac:dyDescent="0.25">
      <c r="A1960" s="1">
        <v>1106.423</v>
      </c>
      <c r="B1960">
        <v>20</v>
      </c>
      <c r="D1960" s="2">
        <v>90381.4</v>
      </c>
      <c r="E1960">
        <v>23532</v>
      </c>
      <c r="F1960" t="s">
        <v>15</v>
      </c>
      <c r="G1960" t="s">
        <v>28</v>
      </c>
      <c r="H1960">
        <v>113914</v>
      </c>
      <c r="I1960" t="s">
        <v>17</v>
      </c>
      <c r="J1960" t="s">
        <v>28</v>
      </c>
      <c r="K1960">
        <v>23532.86</v>
      </c>
      <c r="L1960">
        <v>113914.1</v>
      </c>
      <c r="M1960">
        <v>20</v>
      </c>
      <c r="Y1960" s="1">
        <f t="shared" si="150"/>
        <v>1106.423</v>
      </c>
      <c r="Z1960" s="2">
        <f t="shared" si="151"/>
        <v>90381.4</v>
      </c>
      <c r="AA1960" s="2">
        <f t="shared" si="152"/>
        <v>90381.346013233633</v>
      </c>
      <c r="AB1960" s="1">
        <f t="shared" si="153"/>
        <v>9.0843938535819319E-2</v>
      </c>
      <c r="AC1960" s="1" t="b">
        <f t="shared" si="154"/>
        <v>1</v>
      </c>
    </row>
    <row r="1961" spans="1:29" x14ac:dyDescent="0.25">
      <c r="A1961" s="1">
        <v>1106.3409999999999</v>
      </c>
      <c r="B1961">
        <v>10</v>
      </c>
      <c r="C1961" t="s">
        <v>122</v>
      </c>
      <c r="D1961" s="2">
        <v>90388</v>
      </c>
      <c r="M1961">
        <v>20</v>
      </c>
      <c r="Y1961" s="1">
        <f t="shared" si="150"/>
        <v>1106.3409999999999</v>
      </c>
      <c r="Z1961" s="2">
        <f t="shared" si="151"/>
        <v>90388</v>
      </c>
      <c r="AA1961" s="2">
        <f t="shared" si="152"/>
        <v>90388.044915627295</v>
      </c>
      <c r="AB1961" s="1">
        <f t="shared" si="153"/>
        <v>9.0849993318347283E-2</v>
      </c>
      <c r="AC1961" s="1" t="b">
        <f t="shared" si="154"/>
        <v>1</v>
      </c>
    </row>
    <row r="1962" spans="1:29" x14ac:dyDescent="0.25">
      <c r="A1962" s="1">
        <v>1106.3109999999999</v>
      </c>
      <c r="B1962">
        <v>30</v>
      </c>
      <c r="D1962" s="2">
        <v>90390.5</v>
      </c>
      <c r="E1962">
        <v>25409</v>
      </c>
      <c r="F1962" t="s">
        <v>15</v>
      </c>
      <c r="G1962" t="s">
        <v>18</v>
      </c>
      <c r="H1962">
        <v>115800</v>
      </c>
      <c r="I1962" t="s">
        <v>17</v>
      </c>
      <c r="J1962" t="s">
        <v>28</v>
      </c>
      <c r="K1962">
        <v>25409.74</v>
      </c>
      <c r="L1962">
        <v>115800</v>
      </c>
      <c r="M1962">
        <v>20</v>
      </c>
      <c r="Y1962" s="1">
        <f t="shared" si="150"/>
        <v>1106.3109999999999</v>
      </c>
      <c r="Z1962" s="2">
        <f t="shared" si="151"/>
        <v>90390.5</v>
      </c>
      <c r="AA1962" s="2">
        <f t="shared" si="152"/>
        <v>90390.495981690503</v>
      </c>
      <c r="AB1962" s="1">
        <f t="shared" si="153"/>
        <v>9.0852208819080044E-2</v>
      </c>
      <c r="AC1962" s="1" t="b">
        <f t="shared" si="154"/>
        <v>1</v>
      </c>
    </row>
    <row r="1963" spans="1:29" x14ac:dyDescent="0.25">
      <c r="A1963" s="1">
        <v>1106.252</v>
      </c>
      <c r="B1963">
        <v>3</v>
      </c>
      <c r="D1963" s="2">
        <v>90395.3</v>
      </c>
      <c r="E1963">
        <v>27380</v>
      </c>
      <c r="F1963" t="s">
        <v>15</v>
      </c>
      <c r="G1963" t="s">
        <v>23</v>
      </c>
      <c r="H1963">
        <v>117775</v>
      </c>
      <c r="I1963" t="s">
        <v>17</v>
      </c>
      <c r="J1963" t="s">
        <v>50</v>
      </c>
      <c r="K1963">
        <v>27380.31</v>
      </c>
      <c r="L1963">
        <v>117775.3</v>
      </c>
      <c r="M1963">
        <v>20</v>
      </c>
      <c r="Y1963" s="1">
        <f t="shared" si="150"/>
        <v>1106.252</v>
      </c>
      <c r="Z1963" s="2">
        <f t="shared" si="151"/>
        <v>90395.3</v>
      </c>
      <c r="AA1963" s="2">
        <f t="shared" si="152"/>
        <v>90395.316799427266</v>
      </c>
      <c r="AB1963" s="1">
        <f t="shared" si="153"/>
        <v>9.0856566496344077E-2</v>
      </c>
      <c r="AC1963" s="1" t="b">
        <f t="shared" si="154"/>
        <v>1</v>
      </c>
    </row>
    <row r="1964" spans="1:29" x14ac:dyDescent="0.25">
      <c r="A1964" s="1">
        <v>1106.06</v>
      </c>
      <c r="B1964">
        <v>4</v>
      </c>
      <c r="D1964" s="2">
        <v>90411</v>
      </c>
      <c r="E1964">
        <v>22747</v>
      </c>
      <c r="F1964" t="s">
        <v>15</v>
      </c>
      <c r="G1964" t="s">
        <v>16</v>
      </c>
      <c r="H1964">
        <v>113158</v>
      </c>
      <c r="I1964" t="s">
        <v>17</v>
      </c>
      <c r="J1964" t="s">
        <v>16</v>
      </c>
      <c r="K1964">
        <v>22747.69</v>
      </c>
      <c r="L1964">
        <v>113158.8</v>
      </c>
      <c r="M1964">
        <v>20</v>
      </c>
      <c r="Y1964" s="1">
        <f t="shared" si="150"/>
        <v>1106.06</v>
      </c>
      <c r="Z1964" s="2">
        <f t="shared" si="151"/>
        <v>90411</v>
      </c>
      <c r="AA1964" s="2">
        <f t="shared" si="152"/>
        <v>90411.008444388193</v>
      </c>
      <c r="AB1964" s="1">
        <f t="shared" si="153"/>
        <v>9.0870752239656169E-2</v>
      </c>
      <c r="AC1964" s="1" t="b">
        <f t="shared" si="154"/>
        <v>1</v>
      </c>
    </row>
    <row r="1965" spans="1:29" x14ac:dyDescent="0.25">
      <c r="A1965" s="1">
        <v>1105.962</v>
      </c>
      <c r="B1965">
        <v>200</v>
      </c>
      <c r="D1965" s="2">
        <v>90419</v>
      </c>
      <c r="M1965">
        <v>20</v>
      </c>
      <c r="Y1965" s="1">
        <f t="shared" si="150"/>
        <v>1105.962</v>
      </c>
      <c r="Z1965" s="2">
        <f t="shared" si="151"/>
        <v>90419</v>
      </c>
      <c r="AA1965" s="2">
        <f t="shared" si="152"/>
        <v>90419.019821657523</v>
      </c>
      <c r="AB1965" s="1">
        <f t="shared" si="153"/>
        <v>9.0877995727546484E-2</v>
      </c>
      <c r="AC1965" s="1" t="b">
        <f t="shared" si="154"/>
        <v>1</v>
      </c>
    </row>
    <row r="1966" spans="1:29" x14ac:dyDescent="0.25">
      <c r="A1966" s="1">
        <v>1105.7539999999999</v>
      </c>
      <c r="B1966">
        <v>6</v>
      </c>
      <c r="D1966" s="2">
        <v>90436</v>
      </c>
      <c r="M1966">
        <v>20</v>
      </c>
      <c r="Y1966" s="1">
        <f t="shared" si="150"/>
        <v>1105.7539999999999</v>
      </c>
      <c r="Z1966" s="2">
        <f t="shared" si="151"/>
        <v>90436</v>
      </c>
      <c r="AA1966" s="2">
        <f t="shared" si="152"/>
        <v>90436.028266684996</v>
      </c>
      <c r="AB1966" s="1">
        <f t="shared" si="153"/>
        <v>9.0893376043263252E-2</v>
      </c>
      <c r="AC1966" s="1" t="b">
        <f t="shared" si="154"/>
        <v>1</v>
      </c>
    </row>
    <row r="1967" spans="1:29" x14ac:dyDescent="0.25">
      <c r="A1967" s="1">
        <v>1105.492</v>
      </c>
      <c r="B1967">
        <v>2</v>
      </c>
      <c r="D1967" s="2">
        <v>90457.5</v>
      </c>
      <c r="E1967">
        <v>21535</v>
      </c>
      <c r="F1967" t="s">
        <v>15</v>
      </c>
      <c r="G1967" t="s">
        <v>16</v>
      </c>
      <c r="H1967">
        <v>111993</v>
      </c>
      <c r="I1967" t="s">
        <v>17</v>
      </c>
      <c r="J1967" t="s">
        <v>16</v>
      </c>
      <c r="K1967">
        <v>21535.17</v>
      </c>
      <c r="L1967">
        <v>111993</v>
      </c>
      <c r="M1967">
        <v>20</v>
      </c>
      <c r="Y1967" s="1">
        <f t="shared" si="150"/>
        <v>1105.492</v>
      </c>
      <c r="Z1967" s="2">
        <f t="shared" si="151"/>
        <v>90457.5</v>
      </c>
      <c r="AA1967" s="2">
        <f t="shared" si="152"/>
        <v>90457.461474167168</v>
      </c>
      <c r="AB1967" s="1">
        <f t="shared" si="153"/>
        <v>9.0912761681752191E-2</v>
      </c>
      <c r="AC1967" s="1" t="b">
        <f t="shared" si="154"/>
        <v>1</v>
      </c>
    </row>
    <row r="1968" spans="1:29" x14ac:dyDescent="0.25">
      <c r="A1968" s="1">
        <v>1105.386</v>
      </c>
      <c r="B1968">
        <v>80</v>
      </c>
      <c r="D1968" s="2">
        <v>90466.1</v>
      </c>
      <c r="E1968">
        <v>25033</v>
      </c>
      <c r="F1968" t="s">
        <v>15</v>
      </c>
      <c r="G1968" t="s">
        <v>16</v>
      </c>
      <c r="H1968">
        <v>115499</v>
      </c>
      <c r="I1968" t="s">
        <v>17</v>
      </c>
      <c r="J1968" t="s">
        <v>16</v>
      </c>
      <c r="K1968">
        <v>25033.91</v>
      </c>
      <c r="L1968">
        <v>115499.8</v>
      </c>
      <c r="M1968">
        <v>20</v>
      </c>
      <c r="Y1968" s="1">
        <f t="shared" si="150"/>
        <v>1105.386</v>
      </c>
      <c r="Z1968" s="2">
        <f t="shared" si="151"/>
        <v>90466.1</v>
      </c>
      <c r="AA1968" s="2">
        <f t="shared" si="152"/>
        <v>90466.135811381726</v>
      </c>
      <c r="AB1968" s="1">
        <f t="shared" si="153"/>
        <v>9.0920608643216827E-2</v>
      </c>
      <c r="AC1968" s="1" t="b">
        <f t="shared" si="154"/>
        <v>1</v>
      </c>
    </row>
    <row r="1969" spans="1:29" x14ac:dyDescent="0.25">
      <c r="A1969" s="1">
        <v>1105.2139999999999</v>
      </c>
      <c r="B1969">
        <v>20</v>
      </c>
      <c r="D1969" s="2">
        <v>90480.2</v>
      </c>
      <c r="M1969">
        <v>20</v>
      </c>
      <c r="Y1969" s="1">
        <f t="shared" si="150"/>
        <v>1105.2139999999999</v>
      </c>
      <c r="Z1969" s="2">
        <f t="shared" si="151"/>
        <v>90480.2</v>
      </c>
      <c r="AA1969" s="2">
        <f t="shared" si="152"/>
        <v>90480.214691453424</v>
      </c>
      <c r="AB1969" s="1">
        <f t="shared" si="153"/>
        <v>9.0933346253057518E-2</v>
      </c>
      <c r="AC1969" s="1" t="b">
        <f t="shared" si="154"/>
        <v>1</v>
      </c>
    </row>
    <row r="1970" spans="1:29" x14ac:dyDescent="0.25">
      <c r="A1970" s="1">
        <v>1104.8430000000001</v>
      </c>
      <c r="B1970">
        <v>2000</v>
      </c>
      <c r="D1970" s="2">
        <v>90510.6</v>
      </c>
      <c r="E1970">
        <v>25979</v>
      </c>
      <c r="F1970" t="s">
        <v>15</v>
      </c>
      <c r="G1970" t="s">
        <v>57</v>
      </c>
      <c r="H1970">
        <v>116489</v>
      </c>
      <c r="I1970" t="s">
        <v>17</v>
      </c>
      <c r="J1970" t="s">
        <v>528</v>
      </c>
      <c r="K1970">
        <v>25979.34</v>
      </c>
      <c r="L1970">
        <v>116489.8</v>
      </c>
      <c r="M1970">
        <v>20</v>
      </c>
      <c r="Y1970" s="1">
        <f t="shared" si="150"/>
        <v>1104.8430000000001</v>
      </c>
      <c r="Z1970" s="2">
        <f t="shared" si="151"/>
        <v>90510.6</v>
      </c>
      <c r="AA1970" s="2">
        <f t="shared" si="152"/>
        <v>90510.597433300471</v>
      </c>
      <c r="AB1970" s="1">
        <f t="shared" si="153"/>
        <v>9.0960841238664894E-2</v>
      </c>
      <c r="AC1970" s="1" t="b">
        <f t="shared" si="154"/>
        <v>1</v>
      </c>
    </row>
    <row r="1971" spans="1:29" x14ac:dyDescent="0.25">
      <c r="A1971" s="1">
        <v>1104.721</v>
      </c>
      <c r="B1971">
        <v>10</v>
      </c>
      <c r="D1971" s="2">
        <v>90520.6</v>
      </c>
      <c r="M1971">
        <v>20</v>
      </c>
      <c r="Y1971" s="1">
        <f t="shared" si="150"/>
        <v>1104.721</v>
      </c>
      <c r="Z1971" s="2">
        <f t="shared" si="151"/>
        <v>90520.6</v>
      </c>
      <c r="AA1971" s="2">
        <f t="shared" si="152"/>
        <v>90520.592982300514</v>
      </c>
      <c r="AB1971" s="1">
        <f t="shared" si="153"/>
        <v>9.0969888769336565E-2</v>
      </c>
      <c r="AC1971" s="1" t="b">
        <f t="shared" si="154"/>
        <v>1</v>
      </c>
    </row>
    <row r="1972" spans="1:29" x14ac:dyDescent="0.25">
      <c r="A1972" s="1">
        <v>1104.5250000000001</v>
      </c>
      <c r="B1972">
        <v>40</v>
      </c>
      <c r="D1972" s="2">
        <v>90536.7</v>
      </c>
      <c r="E1972">
        <v>24788</v>
      </c>
      <c r="F1972" t="s">
        <v>15</v>
      </c>
      <c r="G1972" t="s">
        <v>16</v>
      </c>
      <c r="H1972">
        <v>115324</v>
      </c>
      <c r="I1972" t="s">
        <v>17</v>
      </c>
      <c r="J1972" t="s">
        <v>16</v>
      </c>
      <c r="K1972">
        <v>24788.02</v>
      </c>
      <c r="L1972">
        <v>115324.3</v>
      </c>
      <c r="M1972">
        <v>20</v>
      </c>
      <c r="Y1972" s="1">
        <f t="shared" si="150"/>
        <v>1104.5250000000001</v>
      </c>
      <c r="Z1972" s="2">
        <f t="shared" si="151"/>
        <v>90536.7</v>
      </c>
      <c r="AA1972" s="2">
        <f t="shared" si="152"/>
        <v>90536.656028609577</v>
      </c>
      <c r="AB1972" s="1">
        <f t="shared" si="153"/>
        <v>9.0984430424213836E-2</v>
      </c>
      <c r="AC1972" s="1" t="b">
        <f t="shared" si="154"/>
        <v>1</v>
      </c>
    </row>
    <row r="1973" spans="1:29" x14ac:dyDescent="0.25">
      <c r="A1973" s="1">
        <v>1104.3889999999999</v>
      </c>
      <c r="B1973">
        <v>4</v>
      </c>
      <c r="D1973" s="2">
        <v>90547.8</v>
      </c>
      <c r="E1973">
        <v>27138</v>
      </c>
      <c r="F1973" t="s">
        <v>15</v>
      </c>
      <c r="G1973" t="s">
        <v>18</v>
      </c>
      <c r="H1973">
        <v>117686</v>
      </c>
      <c r="I1973" t="s">
        <v>17</v>
      </c>
      <c r="J1973" t="s">
        <v>28</v>
      </c>
      <c r="K1973">
        <v>27138.55</v>
      </c>
      <c r="L1973">
        <v>117686.39999999999</v>
      </c>
      <c r="M1973">
        <v>20</v>
      </c>
      <c r="Y1973" s="1">
        <f t="shared" si="150"/>
        <v>1104.3889999999999</v>
      </c>
      <c r="Z1973" s="2">
        <f t="shared" si="151"/>
        <v>90547.8</v>
      </c>
      <c r="AA1973" s="2">
        <f t="shared" si="152"/>
        <v>90547.805166476683</v>
      </c>
      <c r="AB1973" s="1">
        <f t="shared" si="153"/>
        <v>9.0994525102331109E-2</v>
      </c>
      <c r="AC1973" s="1" t="b">
        <f t="shared" si="154"/>
        <v>1</v>
      </c>
    </row>
    <row r="1974" spans="1:29" x14ac:dyDescent="0.25">
      <c r="A1974" s="1">
        <v>1104.173</v>
      </c>
      <c r="B1974">
        <v>2</v>
      </c>
      <c r="D1974" s="2">
        <v>90565.5</v>
      </c>
      <c r="E1974">
        <v>20315</v>
      </c>
      <c r="F1974" t="s">
        <v>15</v>
      </c>
      <c r="G1974" t="s">
        <v>16</v>
      </c>
      <c r="H1974">
        <v>110881</v>
      </c>
      <c r="I1974" t="s">
        <v>17</v>
      </c>
      <c r="J1974" t="s">
        <v>23</v>
      </c>
      <c r="K1974">
        <v>20315.650000000001</v>
      </c>
      <c r="L1974">
        <v>110881.1</v>
      </c>
      <c r="M1974">
        <v>20</v>
      </c>
      <c r="Y1974" s="1">
        <f t="shared" si="150"/>
        <v>1104.173</v>
      </c>
      <c r="Z1974" s="2">
        <f t="shared" si="151"/>
        <v>90565.5</v>
      </c>
      <c r="AA1974" s="2">
        <f t="shared" si="152"/>
        <v>90565.518265706545</v>
      </c>
      <c r="AB1974" s="1">
        <f t="shared" si="153"/>
        <v>9.101056549368014E-2</v>
      </c>
      <c r="AC1974" s="1" t="b">
        <f t="shared" si="154"/>
        <v>1</v>
      </c>
    </row>
    <row r="1975" spans="1:29" x14ac:dyDescent="0.25">
      <c r="A1975" s="1">
        <v>1103.78</v>
      </c>
      <c r="B1975">
        <v>20</v>
      </c>
      <c r="D1975" s="2">
        <v>90597.8</v>
      </c>
      <c r="E1975">
        <v>26446</v>
      </c>
      <c r="F1975" t="s">
        <v>15</v>
      </c>
      <c r="G1975" t="s">
        <v>18</v>
      </c>
      <c r="H1975">
        <v>117044</v>
      </c>
      <c r="I1975" t="s">
        <v>17</v>
      </c>
      <c r="J1975" t="s">
        <v>18</v>
      </c>
      <c r="K1975">
        <v>26446.97</v>
      </c>
      <c r="L1975">
        <v>117044.6</v>
      </c>
      <c r="M1975">
        <v>20</v>
      </c>
      <c r="Y1975" s="1">
        <f t="shared" si="150"/>
        <v>1103.78</v>
      </c>
      <c r="Z1975" s="2">
        <f t="shared" si="151"/>
        <v>90597.8</v>
      </c>
      <c r="AA1975" s="2">
        <f t="shared" si="152"/>
        <v>90597.764047183315</v>
      </c>
      <c r="AB1975" s="1">
        <f t="shared" si="153"/>
        <v>9.1039774251745517E-2</v>
      </c>
      <c r="AC1975" s="1" t="b">
        <f t="shared" si="154"/>
        <v>1</v>
      </c>
    </row>
    <row r="1976" spans="1:29" x14ac:dyDescent="0.25">
      <c r="A1976" s="1">
        <v>1103.6600000000001</v>
      </c>
      <c r="B1976">
        <v>40</v>
      </c>
      <c r="D1976" s="2">
        <v>90607.6</v>
      </c>
      <c r="M1976">
        <v>20</v>
      </c>
      <c r="Y1976" s="1">
        <f t="shared" si="150"/>
        <v>1103.6600000000001</v>
      </c>
      <c r="Z1976" s="2">
        <f t="shared" si="151"/>
        <v>90607.6</v>
      </c>
      <c r="AA1976" s="2">
        <f t="shared" si="152"/>
        <v>90607.614663936343</v>
      </c>
      <c r="AB1976" s="1">
        <f t="shared" si="153"/>
        <v>9.1048699175441866E-2</v>
      </c>
      <c r="AC1976" s="1" t="b">
        <f t="shared" si="154"/>
        <v>1</v>
      </c>
    </row>
    <row r="1977" spans="1:29" x14ac:dyDescent="0.25">
      <c r="A1977" s="1">
        <v>1103.605</v>
      </c>
      <c r="B1977">
        <v>10</v>
      </c>
      <c r="D1977" s="2">
        <v>90612.1</v>
      </c>
      <c r="E1977">
        <v>25409</v>
      </c>
      <c r="F1977" t="s">
        <v>15</v>
      </c>
      <c r="G1977" t="s">
        <v>18</v>
      </c>
      <c r="H1977">
        <v>116021</v>
      </c>
      <c r="I1977" t="s">
        <v>17</v>
      </c>
      <c r="J1977" t="s">
        <v>18</v>
      </c>
      <c r="K1977">
        <v>25409.74</v>
      </c>
      <c r="L1977">
        <v>116021.8</v>
      </c>
      <c r="M1977">
        <v>20</v>
      </c>
      <c r="Y1977" s="1">
        <f t="shared" si="150"/>
        <v>1103.605</v>
      </c>
      <c r="Z1977" s="2">
        <f t="shared" si="151"/>
        <v>90612.1</v>
      </c>
      <c r="AA1977" s="2">
        <f t="shared" si="152"/>
        <v>90612.130245876018</v>
      </c>
      <c r="AB1977" s="1">
        <f t="shared" si="153"/>
        <v>9.1052790738477996E-2</v>
      </c>
      <c r="AC1977" s="1" t="b">
        <f t="shared" si="154"/>
        <v>1</v>
      </c>
    </row>
    <row r="1978" spans="1:29" x14ac:dyDescent="0.25">
      <c r="A1978" s="1">
        <v>1103.5530000000001</v>
      </c>
      <c r="B1978">
        <v>20</v>
      </c>
      <c r="C1978" t="s">
        <v>123</v>
      </c>
      <c r="D1978" s="2">
        <v>90616.4</v>
      </c>
      <c r="M1978">
        <v>20</v>
      </c>
      <c r="Y1978" s="1">
        <f t="shared" si="150"/>
        <v>1103.5530000000001</v>
      </c>
      <c r="Z1978" s="2">
        <f t="shared" si="151"/>
        <v>90616.4</v>
      </c>
      <c r="AA1978" s="2">
        <f t="shared" si="152"/>
        <v>90616.399937293449</v>
      </c>
      <c r="AB1978" s="1">
        <f t="shared" si="153"/>
        <v>9.1056659687977576E-2</v>
      </c>
      <c r="AC1978" s="1" t="b">
        <f t="shared" si="154"/>
        <v>1</v>
      </c>
    </row>
    <row r="1979" spans="1:29" x14ac:dyDescent="0.25">
      <c r="A1979" s="1">
        <v>1103.354</v>
      </c>
      <c r="B1979">
        <v>5</v>
      </c>
      <c r="D1979" s="2">
        <v>90632.7</v>
      </c>
      <c r="E1979">
        <v>24788</v>
      </c>
      <c r="F1979" t="s">
        <v>15</v>
      </c>
      <c r="G1979" t="s">
        <v>16</v>
      </c>
      <c r="H1979">
        <v>115420</v>
      </c>
      <c r="I1979" t="s">
        <v>17</v>
      </c>
      <c r="J1979" t="s">
        <v>18</v>
      </c>
      <c r="K1979">
        <v>24788.02</v>
      </c>
      <c r="L1979">
        <v>115420.8</v>
      </c>
      <c r="M1979">
        <v>20</v>
      </c>
      <c r="Y1979" s="1">
        <f t="shared" si="150"/>
        <v>1103.354</v>
      </c>
      <c r="Z1979" s="2">
        <f t="shared" si="151"/>
        <v>90632.7</v>
      </c>
      <c r="AA1979" s="2">
        <f t="shared" si="152"/>
        <v>90632.743435017226</v>
      </c>
      <c r="AB1979" s="1">
        <f t="shared" si="153"/>
        <v>9.1071470912788305E-2</v>
      </c>
      <c r="AC1979" s="1" t="b">
        <f t="shared" si="154"/>
        <v>1</v>
      </c>
    </row>
    <row r="1980" spans="1:29" x14ac:dyDescent="0.25">
      <c r="A1980" s="1">
        <v>1103.1849999999999</v>
      </c>
      <c r="B1980">
        <v>8</v>
      </c>
      <c r="D1980" s="2">
        <v>90646.6</v>
      </c>
      <c r="E1980">
        <v>20848</v>
      </c>
      <c r="F1980" t="s">
        <v>15</v>
      </c>
      <c r="G1980" t="s">
        <v>28</v>
      </c>
      <c r="H1980">
        <v>111494</v>
      </c>
      <c r="I1980" t="s">
        <v>17</v>
      </c>
      <c r="J1980" t="s">
        <v>28</v>
      </c>
      <c r="K1980">
        <v>20848.39</v>
      </c>
      <c r="L1980">
        <v>111494.8</v>
      </c>
      <c r="M1980">
        <v>20</v>
      </c>
      <c r="Y1980" s="1">
        <f t="shared" si="150"/>
        <v>1103.1849999999999</v>
      </c>
      <c r="Z1980" s="2">
        <f t="shared" si="151"/>
        <v>90646.6</v>
      </c>
      <c r="AA1980" s="2">
        <f t="shared" si="152"/>
        <v>90646.6277188323</v>
      </c>
      <c r="AB1980" s="1">
        <f t="shared" si="153"/>
        <v>9.1084055583982887E-2</v>
      </c>
      <c r="AC1980" s="1" t="b">
        <f t="shared" si="154"/>
        <v>1</v>
      </c>
    </row>
    <row r="1981" spans="1:29" x14ac:dyDescent="0.25">
      <c r="A1981" s="1">
        <v>1103.1500000000001</v>
      </c>
      <c r="B1981">
        <v>15</v>
      </c>
      <c r="D1981" s="2">
        <v>90649.5</v>
      </c>
      <c r="E1981">
        <v>37919</v>
      </c>
      <c r="F1981" t="s">
        <v>15</v>
      </c>
      <c r="G1981" t="s">
        <v>18</v>
      </c>
      <c r="H1981">
        <v>128568</v>
      </c>
      <c r="I1981" t="s">
        <v>17</v>
      </c>
      <c r="J1981" t="s">
        <v>16</v>
      </c>
      <c r="K1981">
        <v>37919.58</v>
      </c>
      <c r="L1981">
        <v>128568.6</v>
      </c>
      <c r="M1981">
        <v>20</v>
      </c>
      <c r="Y1981" s="1">
        <f t="shared" si="150"/>
        <v>1103.1500000000001</v>
      </c>
      <c r="Z1981" s="2">
        <f t="shared" si="151"/>
        <v>90649.5</v>
      </c>
      <c r="AA1981" s="2">
        <f t="shared" si="152"/>
        <v>90649.503693967272</v>
      </c>
      <c r="AB1981" s="1">
        <f t="shared" si="153"/>
        <v>9.1086662599812934E-2</v>
      </c>
      <c r="AC1981" s="1" t="b">
        <f t="shared" si="154"/>
        <v>1</v>
      </c>
    </row>
    <row r="1982" spans="1:29" x14ac:dyDescent="0.25">
      <c r="A1982" s="1">
        <v>1103.0350000000001</v>
      </c>
      <c r="B1982">
        <v>400</v>
      </c>
      <c r="D1982" s="2">
        <v>90659</v>
      </c>
      <c r="E1982">
        <v>23175</v>
      </c>
      <c r="F1982" t="s">
        <v>15</v>
      </c>
      <c r="G1982" t="s">
        <v>50</v>
      </c>
      <c r="H1982">
        <v>113833</v>
      </c>
      <c r="I1982" t="s">
        <v>17</v>
      </c>
      <c r="J1982" t="s">
        <v>57</v>
      </c>
      <c r="K1982">
        <v>23175.09</v>
      </c>
      <c r="L1982">
        <v>113833.9</v>
      </c>
      <c r="M1982">
        <v>20</v>
      </c>
      <c r="Y1982" s="1">
        <f t="shared" si="150"/>
        <v>1103.0350000000001</v>
      </c>
      <c r="Z1982" s="2">
        <f t="shared" si="151"/>
        <v>90659</v>
      </c>
      <c r="AA1982" s="2">
        <f t="shared" si="152"/>
        <v>90658.954611594367</v>
      </c>
      <c r="AB1982" s="1">
        <f t="shared" si="153"/>
        <v>9.1095230256335646E-2</v>
      </c>
      <c r="AC1982" s="1" t="b">
        <f t="shared" si="154"/>
        <v>1</v>
      </c>
    </row>
    <row r="1983" spans="1:29" x14ac:dyDescent="0.25">
      <c r="A1983" s="1">
        <v>1102.9380000000001</v>
      </c>
      <c r="B1983">
        <v>1</v>
      </c>
      <c r="D1983" s="2">
        <v>90666.9</v>
      </c>
      <c r="E1983">
        <v>27604</v>
      </c>
      <c r="F1983" t="s">
        <v>15</v>
      </c>
      <c r="G1983" t="s">
        <v>16</v>
      </c>
      <c r="H1983">
        <v>118271</v>
      </c>
      <c r="I1983" t="s">
        <v>17</v>
      </c>
      <c r="J1983" t="s">
        <v>23</v>
      </c>
      <c r="K1983">
        <v>27604.26</v>
      </c>
      <c r="L1983">
        <v>118271.6</v>
      </c>
      <c r="M1983">
        <v>20</v>
      </c>
      <c r="Y1983" s="1">
        <f t="shared" si="150"/>
        <v>1102.9380000000001</v>
      </c>
      <c r="Z1983" s="2">
        <f t="shared" si="151"/>
        <v>90666.9</v>
      </c>
      <c r="AA1983" s="2">
        <f t="shared" si="152"/>
        <v>90666.927787418681</v>
      </c>
      <c r="AB1983" s="1">
        <f t="shared" si="153"/>
        <v>9.110245897204497E-2</v>
      </c>
      <c r="AC1983" s="1" t="b">
        <f t="shared" si="154"/>
        <v>1</v>
      </c>
    </row>
    <row r="1984" spans="1:29" x14ac:dyDescent="0.25">
      <c r="A1984" s="1">
        <v>1102.556</v>
      </c>
      <c r="B1984">
        <v>20</v>
      </c>
      <c r="D1984" s="2">
        <v>90698.3</v>
      </c>
      <c r="E1984">
        <v>21294</v>
      </c>
      <c r="F1984" t="s">
        <v>15</v>
      </c>
      <c r="G1984" t="s">
        <v>18</v>
      </c>
      <c r="H1984">
        <v>111993</v>
      </c>
      <c r="I1984" t="s">
        <v>17</v>
      </c>
      <c r="J1984" t="s">
        <v>16</v>
      </c>
      <c r="K1984">
        <v>21294.89</v>
      </c>
      <c r="L1984">
        <v>111993</v>
      </c>
      <c r="M1984">
        <v>20</v>
      </c>
      <c r="Y1984" s="1">
        <f t="shared" si="150"/>
        <v>1102.556</v>
      </c>
      <c r="Z1984" s="2">
        <f t="shared" si="151"/>
        <v>90698.3</v>
      </c>
      <c r="AA1984" s="2">
        <f t="shared" si="152"/>
        <v>90698.340945947421</v>
      </c>
      <c r="AB1984" s="1">
        <f t="shared" si="153"/>
        <v>9.1130945251736623E-2</v>
      </c>
      <c r="AC1984" s="1" t="b">
        <f t="shared" si="154"/>
        <v>1</v>
      </c>
    </row>
    <row r="1985" spans="1:29" x14ac:dyDescent="0.25">
      <c r="A1985" s="1">
        <v>1102.3920000000001</v>
      </c>
      <c r="B1985">
        <v>200</v>
      </c>
      <c r="D1985" s="2">
        <v>90711.8</v>
      </c>
      <c r="E1985">
        <v>24788</v>
      </c>
      <c r="F1985" t="s">
        <v>15</v>
      </c>
      <c r="G1985" t="s">
        <v>16</v>
      </c>
      <c r="H1985">
        <v>115499</v>
      </c>
      <c r="I1985" t="s">
        <v>17</v>
      </c>
      <c r="J1985" t="s">
        <v>16</v>
      </c>
      <c r="K1985">
        <v>24788.02</v>
      </c>
      <c r="L1985">
        <v>115499.8</v>
      </c>
      <c r="M1985">
        <v>20</v>
      </c>
      <c r="Y1985" s="1">
        <f t="shared" si="150"/>
        <v>1102.3920000000001</v>
      </c>
      <c r="Z1985" s="2">
        <f t="shared" si="151"/>
        <v>90711.8</v>
      </c>
      <c r="AA1985" s="2">
        <f t="shared" si="152"/>
        <v>90711.833903003644</v>
      </c>
      <c r="AB1985" s="1">
        <f t="shared" si="153"/>
        <v>9.1143184050230613E-2</v>
      </c>
      <c r="AC1985" s="1" t="b">
        <f t="shared" si="154"/>
        <v>1</v>
      </c>
    </row>
    <row r="1986" spans="1:29" x14ac:dyDescent="0.25">
      <c r="A1986" s="1">
        <v>1101.9390000000001</v>
      </c>
      <c r="B1986">
        <v>20</v>
      </c>
      <c r="D1986" s="2">
        <v>90749.1</v>
      </c>
      <c r="E1986">
        <v>27452</v>
      </c>
      <c r="F1986" t="s">
        <v>15</v>
      </c>
      <c r="G1986" t="s">
        <v>28</v>
      </c>
      <c r="H1986">
        <v>118201</v>
      </c>
      <c r="I1986" t="s">
        <v>17</v>
      </c>
      <c r="J1986" t="s">
        <v>29</v>
      </c>
      <c r="K1986">
        <v>27452.45</v>
      </c>
      <c r="L1986">
        <v>118201.4</v>
      </c>
      <c r="M1986">
        <v>20</v>
      </c>
      <c r="Y1986" s="1">
        <f t="shared" si="150"/>
        <v>1101.9390000000001</v>
      </c>
      <c r="Z1986" s="2">
        <f t="shared" si="151"/>
        <v>90749.1</v>
      </c>
      <c r="AA1986" s="2">
        <f t="shared" si="152"/>
        <v>90749.124951562655</v>
      </c>
      <c r="AB1986" s="1">
        <f t="shared" si="153"/>
        <v>9.1177018397371662E-2</v>
      </c>
      <c r="AC1986" s="1" t="b">
        <f t="shared" si="154"/>
        <v>1</v>
      </c>
    </row>
    <row r="1987" spans="1:29" x14ac:dyDescent="0.25">
      <c r="A1987" s="1">
        <v>1101.7570000000001</v>
      </c>
      <c r="B1987">
        <v>100</v>
      </c>
      <c r="D1987" s="2">
        <v>90764.1</v>
      </c>
      <c r="E1987">
        <v>22527</v>
      </c>
      <c r="F1987" t="s">
        <v>15</v>
      </c>
      <c r="G1987" t="s">
        <v>18</v>
      </c>
      <c r="H1987">
        <v>113291</v>
      </c>
      <c r="I1987" t="s">
        <v>17</v>
      </c>
      <c r="J1987" t="s">
        <v>18</v>
      </c>
      <c r="K1987">
        <v>22527.7</v>
      </c>
      <c r="L1987">
        <v>113291.8</v>
      </c>
      <c r="M1987">
        <v>20</v>
      </c>
      <c r="Y1987" s="1">
        <f t="shared" ref="Y1987:Y2050" si="155">ROUND($A1987,3)+0</f>
        <v>1101.7570000000001</v>
      </c>
      <c r="Z1987" s="2">
        <f t="shared" ref="Z1987:Z2050" si="156">ROUND($D1987,1)+0</f>
        <v>90764.1</v>
      </c>
      <c r="AA1987" s="2">
        <f t="shared" ref="AA1987:AA2050" si="157">100000000/Y1987</f>
        <v>90764.115862209175</v>
      </c>
      <c r="AB1987" s="1">
        <f t="shared" ref="AB1987:AB2050" si="158">0.0005/$Y1987*AA1987+0.05</f>
        <v>9.1190623641242669E-2</v>
      </c>
      <c r="AC1987" s="1" t="b">
        <f t="shared" ref="AC1987:AC2050" si="159">ABS(Z1987-AA1987)&lt;AB1987</f>
        <v>1</v>
      </c>
    </row>
    <row r="1988" spans="1:29" x14ac:dyDescent="0.25">
      <c r="A1988" s="1">
        <v>1101.6600000000001</v>
      </c>
      <c r="B1988">
        <v>1</v>
      </c>
      <c r="D1988" s="2">
        <v>90772.1</v>
      </c>
      <c r="M1988">
        <v>20</v>
      </c>
      <c r="Y1988" s="1">
        <f t="shared" si="155"/>
        <v>1101.6600000000001</v>
      </c>
      <c r="Z1988" s="2">
        <f t="shared" si="156"/>
        <v>90772.1</v>
      </c>
      <c r="AA1988" s="2">
        <f t="shared" si="157"/>
        <v>90772.10754679302</v>
      </c>
      <c r="AB1988" s="1">
        <f t="shared" si="158"/>
        <v>9.119787754243279E-2</v>
      </c>
      <c r="AC1988" s="1" t="b">
        <f t="shared" si="159"/>
        <v>1</v>
      </c>
    </row>
    <row r="1989" spans="1:29" x14ac:dyDescent="0.25">
      <c r="A1989" s="1">
        <v>1101.5419999999999</v>
      </c>
      <c r="B1989">
        <v>1</v>
      </c>
      <c r="D1989" s="2">
        <v>90781.8</v>
      </c>
      <c r="M1989">
        <v>20</v>
      </c>
      <c r="Y1989" s="1">
        <f t="shared" si="155"/>
        <v>1101.5419999999999</v>
      </c>
      <c r="Z1989" s="2">
        <f t="shared" si="156"/>
        <v>90781.8</v>
      </c>
      <c r="AA1989" s="2">
        <f t="shared" si="157"/>
        <v>90781.831287413472</v>
      </c>
      <c r="AB1989" s="1">
        <f t="shared" si="158"/>
        <v>9.1206704459482021E-2</v>
      </c>
      <c r="AC1989" s="1" t="b">
        <f t="shared" si="159"/>
        <v>1</v>
      </c>
    </row>
    <row r="1990" spans="1:29" x14ac:dyDescent="0.25">
      <c r="A1990" s="1">
        <v>1100.673</v>
      </c>
      <c r="B1990">
        <v>40</v>
      </c>
      <c r="D1990" s="2">
        <v>90853.5</v>
      </c>
      <c r="E1990">
        <v>24470</v>
      </c>
      <c r="F1990" t="s">
        <v>15</v>
      </c>
      <c r="G1990" t="s">
        <v>18</v>
      </c>
      <c r="H1990">
        <v>115324</v>
      </c>
      <c r="I1990" t="s">
        <v>17</v>
      </c>
      <c r="J1990" t="s">
        <v>16</v>
      </c>
      <c r="K1990">
        <v>24470.9</v>
      </c>
      <c r="L1990">
        <v>115324.3</v>
      </c>
      <c r="M1990">
        <v>20</v>
      </c>
      <c r="Y1990" s="1">
        <f t="shared" si="155"/>
        <v>1100.673</v>
      </c>
      <c r="Z1990" s="2">
        <f t="shared" si="156"/>
        <v>90853.5</v>
      </c>
      <c r="AA1990" s="2">
        <f t="shared" si="157"/>
        <v>90853.50508279934</v>
      </c>
      <c r="AB1990" s="1">
        <f t="shared" si="158"/>
        <v>9.127179692915123E-2</v>
      </c>
      <c r="AC1990" s="1" t="b">
        <f t="shared" si="159"/>
        <v>1</v>
      </c>
    </row>
    <row r="1991" spans="1:29" x14ac:dyDescent="0.25">
      <c r="A1991" s="1">
        <v>1100.546</v>
      </c>
      <c r="B1991">
        <v>1</v>
      </c>
      <c r="C1991" t="s">
        <v>27</v>
      </c>
      <c r="D1991" s="2">
        <v>90864</v>
      </c>
      <c r="E1991">
        <v>23050</v>
      </c>
      <c r="F1991" t="s">
        <v>15</v>
      </c>
      <c r="G1991" t="s">
        <v>29</v>
      </c>
      <c r="H1991">
        <v>113914</v>
      </c>
      <c r="I1991" t="s">
        <v>17</v>
      </c>
      <c r="J1991" t="s">
        <v>28</v>
      </c>
      <c r="K1991">
        <v>23050.61</v>
      </c>
      <c r="L1991">
        <v>113914.1</v>
      </c>
      <c r="M1991">
        <v>20</v>
      </c>
      <c r="Y1991" s="1">
        <f t="shared" si="155"/>
        <v>1100.546</v>
      </c>
      <c r="Z1991" s="2">
        <f t="shared" si="156"/>
        <v>90864</v>
      </c>
      <c r="AA1991" s="2">
        <f t="shared" si="157"/>
        <v>90863.989328933094</v>
      </c>
      <c r="AB1991" s="1">
        <f t="shared" si="158"/>
        <v>9.1281322783842336E-2</v>
      </c>
      <c r="AC1991" s="1" t="b">
        <f t="shared" si="159"/>
        <v>1</v>
      </c>
    </row>
    <row r="1992" spans="1:29" x14ac:dyDescent="0.25">
      <c r="A1992" s="1">
        <v>1100.546</v>
      </c>
      <c r="B1992">
        <v>1</v>
      </c>
      <c r="C1992" t="s">
        <v>27</v>
      </c>
      <c r="D1992" s="2">
        <v>90864</v>
      </c>
      <c r="E1992">
        <v>27604</v>
      </c>
      <c r="F1992" t="s">
        <v>15</v>
      </c>
      <c r="G1992" t="s">
        <v>16</v>
      </c>
      <c r="H1992">
        <v>118468</v>
      </c>
      <c r="I1992" t="s">
        <v>17</v>
      </c>
      <c r="J1992" t="s">
        <v>16</v>
      </c>
      <c r="K1992">
        <v>27604.26</v>
      </c>
      <c r="L1992">
        <v>118468.8</v>
      </c>
      <c r="M1992">
        <v>20</v>
      </c>
      <c r="Y1992" s="1">
        <f t="shared" si="155"/>
        <v>1100.546</v>
      </c>
      <c r="Z1992" s="2">
        <f t="shared" si="156"/>
        <v>90864</v>
      </c>
      <c r="AA1992" s="2">
        <f t="shared" si="157"/>
        <v>90863.989328933094</v>
      </c>
      <c r="AB1992" s="1">
        <f t="shared" si="158"/>
        <v>9.1281322783842336E-2</v>
      </c>
      <c r="AC1992" s="1" t="b">
        <f t="shared" si="159"/>
        <v>1</v>
      </c>
    </row>
    <row r="1993" spans="1:29" x14ac:dyDescent="0.25">
      <c r="A1993" s="1">
        <v>1100.5150000000001</v>
      </c>
      <c r="B1993">
        <v>2</v>
      </c>
      <c r="D1993" s="2">
        <v>90866.6</v>
      </c>
      <c r="E1993">
        <v>27452</v>
      </c>
      <c r="F1993" t="s">
        <v>15</v>
      </c>
      <c r="G1993" t="s">
        <v>28</v>
      </c>
      <c r="H1993">
        <v>118318</v>
      </c>
      <c r="I1993" t="s">
        <v>17</v>
      </c>
      <c r="J1993" t="s">
        <v>18</v>
      </c>
      <c r="K1993">
        <v>27452.45</v>
      </c>
      <c r="L1993">
        <v>118318.6</v>
      </c>
      <c r="M1993">
        <v>20</v>
      </c>
      <c r="Y1993" s="1">
        <f t="shared" si="155"/>
        <v>1100.5150000000001</v>
      </c>
      <c r="Z1993" s="2">
        <f t="shared" si="156"/>
        <v>90866.6</v>
      </c>
      <c r="AA1993" s="2">
        <f t="shared" si="157"/>
        <v>90866.548843041659</v>
      </c>
      <c r="AB1993" s="1">
        <f t="shared" si="158"/>
        <v>9.1283648493224373E-2</v>
      </c>
      <c r="AC1993" s="1" t="b">
        <f t="shared" si="159"/>
        <v>1</v>
      </c>
    </row>
    <row r="1994" spans="1:29" x14ac:dyDescent="0.25">
      <c r="A1994" s="1">
        <v>1100.3889999999999</v>
      </c>
      <c r="B1994">
        <v>4</v>
      </c>
      <c r="D1994" s="2">
        <v>90877</v>
      </c>
      <c r="E1994">
        <v>30505</v>
      </c>
      <c r="F1994" t="s">
        <v>15</v>
      </c>
      <c r="G1994" t="s">
        <v>23</v>
      </c>
      <c r="H1994">
        <v>121382</v>
      </c>
      <c r="I1994" t="s">
        <v>17</v>
      </c>
      <c r="J1994" t="s">
        <v>16</v>
      </c>
      <c r="K1994">
        <v>30505.72</v>
      </c>
      <c r="L1994">
        <v>121382.6</v>
      </c>
      <c r="M1994">
        <v>20</v>
      </c>
      <c r="Y1994" s="1">
        <f t="shared" si="155"/>
        <v>1100.3889999999999</v>
      </c>
      <c r="Z1994" s="2">
        <f t="shared" si="156"/>
        <v>90877</v>
      </c>
      <c r="AA1994" s="2">
        <f t="shared" si="157"/>
        <v>90876.953513711982</v>
      </c>
      <c r="AB1994" s="1">
        <f t="shared" si="158"/>
        <v>9.1293103399666842E-2</v>
      </c>
      <c r="AC1994" s="1" t="b">
        <f t="shared" si="159"/>
        <v>1</v>
      </c>
    </row>
    <row r="1995" spans="1:29" x14ac:dyDescent="0.25">
      <c r="A1995" s="1">
        <v>1099.894</v>
      </c>
      <c r="B1995">
        <v>4</v>
      </c>
      <c r="D1995" s="2">
        <v>90917.8</v>
      </c>
      <c r="M1995">
        <v>20</v>
      </c>
      <c r="Y1995" s="1">
        <f t="shared" si="155"/>
        <v>1099.894</v>
      </c>
      <c r="Z1995" s="2">
        <f t="shared" si="156"/>
        <v>90917.8</v>
      </c>
      <c r="AA1995" s="2">
        <f t="shared" si="157"/>
        <v>90917.852083928083</v>
      </c>
      <c r="AB1995" s="1">
        <f t="shared" si="158"/>
        <v>9.1330279137775139E-2</v>
      </c>
      <c r="AC1995" s="1" t="b">
        <f t="shared" si="159"/>
        <v>1</v>
      </c>
    </row>
    <row r="1996" spans="1:29" x14ac:dyDescent="0.25">
      <c r="A1996" s="1">
        <v>1099.8030000000001</v>
      </c>
      <c r="B1996">
        <v>200</v>
      </c>
      <c r="D1996" s="2">
        <v>90925.4</v>
      </c>
      <c r="E1996">
        <v>30505</v>
      </c>
      <c r="F1996" t="s">
        <v>15</v>
      </c>
      <c r="G1996" t="s">
        <v>23</v>
      </c>
      <c r="H1996">
        <v>121431</v>
      </c>
      <c r="I1996" t="s">
        <v>17</v>
      </c>
      <c r="J1996" t="s">
        <v>50</v>
      </c>
      <c r="K1996">
        <v>30505.72</v>
      </c>
      <c r="L1996">
        <v>121431.2</v>
      </c>
      <c r="M1996">
        <v>20</v>
      </c>
      <c r="Y1996" s="1">
        <f t="shared" si="155"/>
        <v>1099.8030000000001</v>
      </c>
      <c r="Z1996" s="2">
        <f t="shared" si="156"/>
        <v>90925.4</v>
      </c>
      <c r="AA1996" s="2">
        <f t="shared" si="157"/>
        <v>90925.374817126329</v>
      </c>
      <c r="AB1996" s="1">
        <f t="shared" si="158"/>
        <v>9.133711892817456E-2</v>
      </c>
      <c r="AC1996" s="1" t="b">
        <f t="shared" si="159"/>
        <v>1</v>
      </c>
    </row>
    <row r="1997" spans="1:29" x14ac:dyDescent="0.25">
      <c r="A1997" s="1">
        <v>1099.596</v>
      </c>
      <c r="B1997">
        <v>4</v>
      </c>
      <c r="D1997" s="2">
        <v>90942.5</v>
      </c>
      <c r="E1997">
        <v>27138</v>
      </c>
      <c r="F1997" t="s">
        <v>15</v>
      </c>
      <c r="G1997" t="s">
        <v>18</v>
      </c>
      <c r="H1997">
        <v>118081</v>
      </c>
      <c r="I1997" t="s">
        <v>17</v>
      </c>
      <c r="J1997" t="s">
        <v>16</v>
      </c>
      <c r="K1997">
        <v>27138.55</v>
      </c>
      <c r="L1997">
        <v>118081.1</v>
      </c>
      <c r="M1997">
        <v>20</v>
      </c>
      <c r="Y1997" s="1">
        <f t="shared" si="155"/>
        <v>1099.596</v>
      </c>
      <c r="Z1997" s="2">
        <f t="shared" si="156"/>
        <v>90942.5</v>
      </c>
      <c r="AA1997" s="2">
        <f t="shared" si="157"/>
        <v>90942.491606008029</v>
      </c>
      <c r="AB1997" s="1">
        <f t="shared" si="158"/>
        <v>9.1352683897544196E-2</v>
      </c>
      <c r="AC1997" s="1" t="b">
        <f t="shared" si="159"/>
        <v>1</v>
      </c>
    </row>
    <row r="1998" spans="1:29" x14ac:dyDescent="0.25">
      <c r="A1998" s="1">
        <v>1099.5050000000001</v>
      </c>
      <c r="B1998">
        <v>20</v>
      </c>
      <c r="D1998" s="2">
        <v>90950</v>
      </c>
      <c r="E1998">
        <v>24470</v>
      </c>
      <c r="F1998" t="s">
        <v>15</v>
      </c>
      <c r="G1998" t="s">
        <v>18</v>
      </c>
      <c r="H1998">
        <v>115420</v>
      </c>
      <c r="I1998" t="s">
        <v>17</v>
      </c>
      <c r="J1998" t="s">
        <v>18</v>
      </c>
      <c r="K1998">
        <v>24470.9</v>
      </c>
      <c r="L1998">
        <v>115420.8</v>
      </c>
      <c r="M1998">
        <v>20</v>
      </c>
      <c r="Y1998" s="1">
        <f t="shared" si="155"/>
        <v>1099.5050000000001</v>
      </c>
      <c r="Z1998" s="2">
        <f t="shared" si="156"/>
        <v>90950</v>
      </c>
      <c r="AA1998" s="2">
        <f t="shared" si="157"/>
        <v>90950.018417378727</v>
      </c>
      <c r="AB1998" s="1">
        <f t="shared" si="158"/>
        <v>9.1359529250607641E-2</v>
      </c>
      <c r="AC1998" s="1" t="b">
        <f t="shared" si="159"/>
        <v>1</v>
      </c>
    </row>
    <row r="1999" spans="1:29" x14ac:dyDescent="0.25">
      <c r="A1999" s="1">
        <v>1099.3889999999999</v>
      </c>
      <c r="B1999">
        <v>7</v>
      </c>
      <c r="D1999" s="2">
        <v>90959.6</v>
      </c>
      <c r="E1999">
        <v>24461</v>
      </c>
      <c r="F1999" t="s">
        <v>15</v>
      </c>
      <c r="G1999" t="s">
        <v>28</v>
      </c>
      <c r="H1999">
        <v>115420</v>
      </c>
      <c r="I1999" t="s">
        <v>17</v>
      </c>
      <c r="J1999" t="s">
        <v>18</v>
      </c>
      <c r="K1999">
        <v>24461.24</v>
      </c>
      <c r="L1999">
        <v>115420.8</v>
      </c>
      <c r="M1999">
        <v>20</v>
      </c>
      <c r="Y1999" s="1">
        <f t="shared" si="155"/>
        <v>1099.3889999999999</v>
      </c>
      <c r="Z1999" s="2">
        <f t="shared" si="156"/>
        <v>90959.6</v>
      </c>
      <c r="AA1999" s="2">
        <f t="shared" si="157"/>
        <v>90959.614840606926</v>
      </c>
      <c r="AB1999" s="1">
        <f t="shared" si="158"/>
        <v>9.1368257659757812E-2</v>
      </c>
      <c r="AC1999" s="1" t="b">
        <f t="shared" si="159"/>
        <v>1</v>
      </c>
    </row>
    <row r="2000" spans="1:29" x14ac:dyDescent="0.25">
      <c r="A2000" s="1">
        <v>1099.0450000000001</v>
      </c>
      <c r="B2000">
        <v>40</v>
      </c>
      <c r="D2000" s="2">
        <v>90988.1</v>
      </c>
      <c r="E2000">
        <v>25033</v>
      </c>
      <c r="F2000" t="s">
        <v>15</v>
      </c>
      <c r="G2000" t="s">
        <v>16</v>
      </c>
      <c r="H2000">
        <v>116021</v>
      </c>
      <c r="I2000" t="s">
        <v>17</v>
      </c>
      <c r="J2000" t="s">
        <v>18</v>
      </c>
      <c r="K2000">
        <v>25033.91</v>
      </c>
      <c r="L2000">
        <v>116021.8</v>
      </c>
      <c r="M2000">
        <v>20</v>
      </c>
      <c r="Y2000" s="1">
        <f t="shared" si="155"/>
        <v>1099.0450000000001</v>
      </c>
      <c r="Z2000" s="2">
        <f t="shared" si="156"/>
        <v>90988.1</v>
      </c>
      <c r="AA2000" s="2">
        <f t="shared" si="157"/>
        <v>90988.085110254804</v>
      </c>
      <c r="AB2000" s="1">
        <f t="shared" si="158"/>
        <v>9.1394158160154865E-2</v>
      </c>
      <c r="AC2000" s="1" t="b">
        <f t="shared" si="159"/>
        <v>1</v>
      </c>
    </row>
    <row r="2001" spans="1:29" x14ac:dyDescent="0.25">
      <c r="A2001" s="1">
        <v>1098.981</v>
      </c>
      <c r="B2001">
        <v>3</v>
      </c>
      <c r="D2001" s="2">
        <v>90993.4</v>
      </c>
      <c r="M2001">
        <v>21</v>
      </c>
      <c r="Y2001" s="1">
        <f t="shared" si="155"/>
        <v>1098.981</v>
      </c>
      <c r="Z2001" s="2">
        <f t="shared" si="156"/>
        <v>90993.4</v>
      </c>
      <c r="AA2001" s="2">
        <f t="shared" si="157"/>
        <v>90993.38387105873</v>
      </c>
      <c r="AB2001" s="1">
        <f t="shared" si="158"/>
        <v>9.1398979541529257E-2</v>
      </c>
      <c r="AC2001" s="1" t="b">
        <f t="shared" si="159"/>
        <v>1</v>
      </c>
    </row>
    <row r="2002" spans="1:29" x14ac:dyDescent="0.25">
      <c r="A2002" s="1">
        <v>1098.7349999999999</v>
      </c>
      <c r="B2002">
        <v>1</v>
      </c>
      <c r="D2002" s="2">
        <v>91013.8</v>
      </c>
      <c r="E2002">
        <v>21755</v>
      </c>
      <c r="F2002" t="s">
        <v>15</v>
      </c>
      <c r="G2002" t="s">
        <v>23</v>
      </c>
      <c r="H2002">
        <v>112769</v>
      </c>
      <c r="I2002" t="s">
        <v>17</v>
      </c>
      <c r="J2002" t="s">
        <v>50</v>
      </c>
      <c r="K2002">
        <v>21755.84</v>
      </c>
      <c r="L2002">
        <v>112769.7</v>
      </c>
      <c r="M2002">
        <v>21</v>
      </c>
      <c r="Y2002" s="1">
        <f t="shared" si="155"/>
        <v>1098.7349999999999</v>
      </c>
      <c r="Z2002" s="2">
        <f t="shared" si="156"/>
        <v>91013.8</v>
      </c>
      <c r="AA2002" s="2">
        <f t="shared" si="157"/>
        <v>91013.756729329645</v>
      </c>
      <c r="AB2002" s="1">
        <f t="shared" si="158"/>
        <v>9.1417519569927996E-2</v>
      </c>
      <c r="AC2002" s="1" t="b">
        <f t="shared" si="159"/>
        <v>1</v>
      </c>
    </row>
    <row r="2003" spans="1:29" x14ac:dyDescent="0.25">
      <c r="A2003" s="1">
        <v>1098.5730000000001</v>
      </c>
      <c r="B2003">
        <v>40</v>
      </c>
      <c r="C2003" t="s">
        <v>27</v>
      </c>
      <c r="D2003" s="2">
        <v>91027.199999999997</v>
      </c>
      <c r="E2003">
        <v>20315</v>
      </c>
      <c r="F2003" t="s">
        <v>15</v>
      </c>
      <c r="G2003" t="s">
        <v>16</v>
      </c>
      <c r="H2003">
        <v>111342</v>
      </c>
      <c r="I2003" t="s">
        <v>17</v>
      </c>
      <c r="J2003" t="s">
        <v>18</v>
      </c>
      <c r="K2003">
        <v>20315.650000000001</v>
      </c>
      <c r="L2003">
        <v>111342.8</v>
      </c>
      <c r="M2003">
        <v>21</v>
      </c>
      <c r="Y2003" s="1">
        <f t="shared" si="155"/>
        <v>1098.5730000000001</v>
      </c>
      <c r="Z2003" s="2">
        <f t="shared" si="156"/>
        <v>91027.199999999997</v>
      </c>
      <c r="AA2003" s="2">
        <f t="shared" si="157"/>
        <v>91027.177984530834</v>
      </c>
      <c r="AB2003" s="1">
        <f t="shared" si="158"/>
        <v>9.1429735659137285E-2</v>
      </c>
      <c r="AC2003" s="1" t="b">
        <f t="shared" si="159"/>
        <v>1</v>
      </c>
    </row>
    <row r="2004" spans="1:29" x14ac:dyDescent="0.25">
      <c r="A2004" s="1">
        <v>1098.5730000000001</v>
      </c>
      <c r="B2004">
        <v>40</v>
      </c>
      <c r="C2004" t="s">
        <v>27</v>
      </c>
      <c r="D2004" s="2">
        <v>91027.199999999997</v>
      </c>
      <c r="E2004">
        <v>30505</v>
      </c>
      <c r="F2004" t="s">
        <v>15</v>
      </c>
      <c r="G2004" t="s">
        <v>23</v>
      </c>
      <c r="H2004">
        <v>121532</v>
      </c>
      <c r="I2004" t="s">
        <v>17</v>
      </c>
      <c r="J2004" t="s">
        <v>23</v>
      </c>
      <c r="K2004">
        <v>30505.72</v>
      </c>
      <c r="L2004">
        <v>121532.5</v>
      </c>
      <c r="M2004">
        <v>21</v>
      </c>
      <c r="Y2004" s="1">
        <f t="shared" si="155"/>
        <v>1098.5730000000001</v>
      </c>
      <c r="Z2004" s="2">
        <f t="shared" si="156"/>
        <v>91027.199999999997</v>
      </c>
      <c r="AA2004" s="2">
        <f t="shared" si="157"/>
        <v>91027.177984530834</v>
      </c>
      <c r="AB2004" s="1">
        <f t="shared" si="158"/>
        <v>9.1429735659137285E-2</v>
      </c>
      <c r="AC2004" s="1" t="b">
        <f t="shared" si="159"/>
        <v>1</v>
      </c>
    </row>
    <row r="2005" spans="1:29" x14ac:dyDescent="0.25">
      <c r="A2005" s="1">
        <v>1098.5060000000001</v>
      </c>
      <c r="B2005">
        <v>4</v>
      </c>
      <c r="D2005" s="2">
        <v>91032.7</v>
      </c>
      <c r="E2005">
        <v>22747</v>
      </c>
      <c r="F2005" t="s">
        <v>15</v>
      </c>
      <c r="G2005" t="s">
        <v>16</v>
      </c>
      <c r="H2005">
        <v>113780</v>
      </c>
      <c r="I2005" t="s">
        <v>17</v>
      </c>
      <c r="J2005" t="s">
        <v>16</v>
      </c>
      <c r="K2005">
        <v>22747.69</v>
      </c>
      <c r="L2005">
        <v>113780.5</v>
      </c>
      <c r="M2005">
        <v>21</v>
      </c>
      <c r="Y2005" s="1">
        <f t="shared" si="155"/>
        <v>1098.5060000000001</v>
      </c>
      <c r="Z2005" s="2">
        <f t="shared" si="156"/>
        <v>91032.7</v>
      </c>
      <c r="AA2005" s="2">
        <f t="shared" si="157"/>
        <v>91032.729907711007</v>
      </c>
      <c r="AB2005" s="1">
        <f t="shared" si="158"/>
        <v>9.1434789572251318E-2</v>
      </c>
      <c r="AC2005" s="1" t="b">
        <f t="shared" si="159"/>
        <v>1</v>
      </c>
    </row>
    <row r="2006" spans="1:29" x14ac:dyDescent="0.25">
      <c r="A2006" s="1">
        <v>1098.296</v>
      </c>
      <c r="B2006">
        <v>40</v>
      </c>
      <c r="D2006" s="2">
        <v>91050.1</v>
      </c>
      <c r="E2006">
        <v>19872</v>
      </c>
      <c r="F2006" t="s">
        <v>15</v>
      </c>
      <c r="G2006" t="s">
        <v>18</v>
      </c>
      <c r="H2006">
        <v>110922</v>
      </c>
      <c r="I2006" t="s">
        <v>17</v>
      </c>
      <c r="J2006" t="s">
        <v>16</v>
      </c>
      <c r="K2006">
        <v>19872.43</v>
      </c>
      <c r="L2006">
        <v>110922.5</v>
      </c>
      <c r="M2006">
        <v>21</v>
      </c>
      <c r="Y2006" s="1">
        <f t="shared" si="155"/>
        <v>1098.296</v>
      </c>
      <c r="Z2006" s="2">
        <f t="shared" si="156"/>
        <v>91050.1</v>
      </c>
      <c r="AA2006" s="2">
        <f t="shared" si="157"/>
        <v>91050.135846802674</v>
      </c>
      <c r="AB2006" s="1">
        <f t="shared" si="158"/>
        <v>9.1450636188606105E-2</v>
      </c>
      <c r="AC2006" s="1" t="b">
        <f t="shared" si="159"/>
        <v>1</v>
      </c>
    </row>
    <row r="2007" spans="1:29" x14ac:dyDescent="0.25">
      <c r="A2007" s="1">
        <v>1098.2429999999999</v>
      </c>
      <c r="B2007">
        <v>20</v>
      </c>
      <c r="D2007" s="2">
        <v>91054.5</v>
      </c>
      <c r="M2007">
        <v>21</v>
      </c>
      <c r="Y2007" s="1">
        <f t="shared" si="155"/>
        <v>1098.2429999999999</v>
      </c>
      <c r="Z2007" s="2">
        <f t="shared" si="156"/>
        <v>91054.5</v>
      </c>
      <c r="AA2007" s="2">
        <f t="shared" si="157"/>
        <v>91054.529826277067</v>
      </c>
      <c r="AB2007" s="1">
        <f t="shared" si="158"/>
        <v>9.1454637009421913E-2</v>
      </c>
      <c r="AC2007" s="1" t="b">
        <f t="shared" si="159"/>
        <v>1</v>
      </c>
    </row>
    <row r="2008" spans="1:29" x14ac:dyDescent="0.25">
      <c r="A2008" s="1">
        <v>1098.164</v>
      </c>
      <c r="B2008">
        <v>2</v>
      </c>
      <c r="D2008" s="2">
        <v>91061.1</v>
      </c>
      <c r="M2008">
        <v>21</v>
      </c>
      <c r="Y2008" s="1">
        <f t="shared" si="155"/>
        <v>1098.164</v>
      </c>
      <c r="Z2008" s="2">
        <f t="shared" si="156"/>
        <v>91061.1</v>
      </c>
      <c r="AA2008" s="2">
        <f t="shared" si="157"/>
        <v>91061.080130108079</v>
      </c>
      <c r="AB2008" s="1">
        <f t="shared" si="158"/>
        <v>9.1460601572309813E-2</v>
      </c>
      <c r="AC2008" s="1" t="b">
        <f t="shared" si="159"/>
        <v>1</v>
      </c>
    </row>
    <row r="2009" spans="1:29" x14ac:dyDescent="0.25">
      <c r="A2009" s="1">
        <v>1097.9670000000001</v>
      </c>
      <c r="B2009">
        <v>1</v>
      </c>
      <c r="D2009" s="2">
        <v>91077.4</v>
      </c>
      <c r="E2009">
        <v>22080</v>
      </c>
      <c r="F2009" t="s">
        <v>15</v>
      </c>
      <c r="G2009" t="s">
        <v>18</v>
      </c>
      <c r="H2009">
        <v>113158</v>
      </c>
      <c r="I2009" t="s">
        <v>17</v>
      </c>
      <c r="J2009" t="s">
        <v>16</v>
      </c>
      <c r="K2009">
        <v>22080.94</v>
      </c>
      <c r="L2009">
        <v>113158.8</v>
      </c>
      <c r="M2009">
        <v>21</v>
      </c>
      <c r="Y2009" s="1">
        <f t="shared" si="155"/>
        <v>1097.9670000000001</v>
      </c>
      <c r="Z2009" s="2">
        <f t="shared" si="156"/>
        <v>91077.4</v>
      </c>
      <c r="AA2009" s="2">
        <f t="shared" si="157"/>
        <v>91077.418538079917</v>
      </c>
      <c r="AB2009" s="1">
        <f t="shared" si="158"/>
        <v>9.1475480837802922E-2</v>
      </c>
      <c r="AC2009" s="1" t="b">
        <f t="shared" si="159"/>
        <v>1</v>
      </c>
    </row>
    <row r="2010" spans="1:29" x14ac:dyDescent="0.25">
      <c r="A2010" s="1">
        <v>1097.595</v>
      </c>
      <c r="B2010">
        <v>100</v>
      </c>
      <c r="D2010" s="2">
        <v>91108.3</v>
      </c>
      <c r="E2010">
        <v>20160</v>
      </c>
      <c r="F2010" t="s">
        <v>15</v>
      </c>
      <c r="G2010" t="s">
        <v>29</v>
      </c>
      <c r="H2010">
        <v>111268</v>
      </c>
      <c r="I2010" t="s">
        <v>17</v>
      </c>
      <c r="J2010" t="s">
        <v>29</v>
      </c>
      <c r="K2010">
        <v>20160.36</v>
      </c>
      <c r="L2010">
        <v>111268.7</v>
      </c>
      <c r="M2010">
        <v>21</v>
      </c>
      <c r="Y2010" s="1">
        <f t="shared" si="155"/>
        <v>1097.595</v>
      </c>
      <c r="Z2010" s="2">
        <f t="shared" si="156"/>
        <v>91108.3</v>
      </c>
      <c r="AA2010" s="2">
        <f t="shared" si="157"/>
        <v>91108.286754221728</v>
      </c>
      <c r="AB2010" s="1">
        <f t="shared" si="158"/>
        <v>9.1503599576447478E-2</v>
      </c>
      <c r="AC2010" s="1" t="b">
        <f t="shared" si="159"/>
        <v>1</v>
      </c>
    </row>
    <row r="2011" spans="1:29" x14ac:dyDescent="0.25">
      <c r="A2011" s="1">
        <v>1097.1479999999999</v>
      </c>
      <c r="B2011">
        <v>50</v>
      </c>
      <c r="D2011" s="2">
        <v>91145.4</v>
      </c>
      <c r="E2011">
        <v>24788</v>
      </c>
      <c r="F2011" t="s">
        <v>15</v>
      </c>
      <c r="G2011" t="s">
        <v>16</v>
      </c>
      <c r="H2011">
        <v>115933</v>
      </c>
      <c r="I2011" t="s">
        <v>17</v>
      </c>
      <c r="J2011" t="s">
        <v>23</v>
      </c>
      <c r="K2011">
        <v>24788.02</v>
      </c>
      <c r="L2011">
        <v>115933.2</v>
      </c>
      <c r="M2011">
        <v>21</v>
      </c>
      <c r="Y2011" s="1">
        <f t="shared" si="155"/>
        <v>1097.1479999999999</v>
      </c>
      <c r="Z2011" s="2">
        <f t="shared" si="156"/>
        <v>91145.4</v>
      </c>
      <c r="AA2011" s="2">
        <f t="shared" si="157"/>
        <v>91145.4060892423</v>
      </c>
      <c r="AB2011" s="1">
        <f t="shared" si="158"/>
        <v>9.1537425255864446E-2</v>
      </c>
      <c r="AC2011" s="1" t="b">
        <f t="shared" si="159"/>
        <v>1</v>
      </c>
    </row>
    <row r="2012" spans="1:29" x14ac:dyDescent="0.25">
      <c r="A2012" s="1">
        <v>1096.9549999999999</v>
      </c>
      <c r="B2012">
        <v>1</v>
      </c>
      <c r="D2012" s="2">
        <v>91161.4</v>
      </c>
      <c r="M2012">
        <v>21</v>
      </c>
      <c r="Y2012" s="1">
        <f t="shared" si="155"/>
        <v>1096.9549999999999</v>
      </c>
      <c r="Z2012" s="2">
        <f t="shared" si="156"/>
        <v>91161.4</v>
      </c>
      <c r="AA2012" s="2">
        <f t="shared" si="157"/>
        <v>91161.442356340965</v>
      </c>
      <c r="AB2012" s="1">
        <f t="shared" si="158"/>
        <v>9.1552042862442395E-2</v>
      </c>
      <c r="AC2012" s="1" t="b">
        <f t="shared" si="159"/>
        <v>1</v>
      </c>
    </row>
    <row r="2013" spans="1:29" x14ac:dyDescent="0.25">
      <c r="A2013" s="1">
        <v>1096.731</v>
      </c>
      <c r="B2013">
        <v>20</v>
      </c>
      <c r="C2013" t="s">
        <v>27</v>
      </c>
      <c r="D2013" s="2">
        <v>91180.1</v>
      </c>
      <c r="E2013">
        <v>19700</v>
      </c>
      <c r="F2013" t="s">
        <v>15</v>
      </c>
      <c r="G2013" t="s">
        <v>23</v>
      </c>
      <c r="H2013">
        <v>110881</v>
      </c>
      <c r="I2013" t="s">
        <v>17</v>
      </c>
      <c r="J2013" t="s">
        <v>23</v>
      </c>
      <c r="K2013">
        <v>19700.900000000001</v>
      </c>
      <c r="L2013">
        <v>110881.1</v>
      </c>
      <c r="M2013">
        <v>21</v>
      </c>
      <c r="Y2013" s="1">
        <f t="shared" si="155"/>
        <v>1096.731</v>
      </c>
      <c r="Z2013" s="2">
        <f t="shared" si="156"/>
        <v>91180.1</v>
      </c>
      <c r="AA2013" s="2">
        <f t="shared" si="157"/>
        <v>91180.061473597452</v>
      </c>
      <c r="AB2013" s="1">
        <f t="shared" si="158"/>
        <v>9.1569018051645051E-2</v>
      </c>
      <c r="AC2013" s="1" t="b">
        <f t="shared" si="159"/>
        <v>1</v>
      </c>
    </row>
    <row r="2014" spans="1:29" x14ac:dyDescent="0.25">
      <c r="A2014" s="1">
        <v>1096.731</v>
      </c>
      <c r="B2014">
        <v>20</v>
      </c>
      <c r="C2014" t="s">
        <v>27</v>
      </c>
      <c r="D2014" s="2">
        <v>91180.1</v>
      </c>
      <c r="E2014">
        <v>27138</v>
      </c>
      <c r="F2014" t="s">
        <v>15</v>
      </c>
      <c r="G2014" t="s">
        <v>18</v>
      </c>
      <c r="H2014">
        <v>118318</v>
      </c>
      <c r="I2014" t="s">
        <v>17</v>
      </c>
      <c r="J2014" t="s">
        <v>18</v>
      </c>
      <c r="K2014">
        <v>27138.55</v>
      </c>
      <c r="L2014">
        <v>118318.6</v>
      </c>
      <c r="M2014">
        <v>21</v>
      </c>
      <c r="Y2014" s="1">
        <f t="shared" si="155"/>
        <v>1096.731</v>
      </c>
      <c r="Z2014" s="2">
        <f t="shared" si="156"/>
        <v>91180.1</v>
      </c>
      <c r="AA2014" s="2">
        <f t="shared" si="157"/>
        <v>91180.061473597452</v>
      </c>
      <c r="AB2014" s="1">
        <f t="shared" si="158"/>
        <v>9.1569018051645051E-2</v>
      </c>
      <c r="AC2014" s="1" t="b">
        <f t="shared" si="159"/>
        <v>1</v>
      </c>
    </row>
    <row r="2015" spans="1:29" x14ac:dyDescent="0.25">
      <c r="A2015" s="1">
        <v>1096.367</v>
      </c>
      <c r="B2015">
        <v>10</v>
      </c>
      <c r="C2015" t="s">
        <v>123</v>
      </c>
      <c r="D2015" s="2">
        <v>91210.3</v>
      </c>
      <c r="E2015">
        <v>22080</v>
      </c>
      <c r="F2015" t="s">
        <v>15</v>
      </c>
      <c r="G2015" t="s">
        <v>18</v>
      </c>
      <c r="H2015">
        <v>113291</v>
      </c>
      <c r="I2015" t="s">
        <v>17</v>
      </c>
      <c r="J2015" t="s">
        <v>18</v>
      </c>
      <c r="K2015">
        <v>22080.94</v>
      </c>
      <c r="L2015">
        <v>113291.8</v>
      </c>
      <c r="M2015">
        <v>21</v>
      </c>
      <c r="Y2015" s="1">
        <f t="shared" si="155"/>
        <v>1096.367</v>
      </c>
      <c r="Z2015" s="2">
        <f t="shared" si="156"/>
        <v>91210.3</v>
      </c>
      <c r="AA2015" s="2">
        <f t="shared" si="157"/>
        <v>91210.333765974356</v>
      </c>
      <c r="AB2015" s="1">
        <f t="shared" si="158"/>
        <v>9.1596624928502207E-2</v>
      </c>
      <c r="AC2015" s="1" t="b">
        <f t="shared" si="159"/>
        <v>1</v>
      </c>
    </row>
    <row r="2016" spans="1:29" x14ac:dyDescent="0.25">
      <c r="A2016" s="1">
        <v>1096.1210000000001</v>
      </c>
      <c r="B2016">
        <v>100</v>
      </c>
      <c r="D2016" s="2">
        <v>91230.8</v>
      </c>
      <c r="E2016">
        <v>27380</v>
      </c>
      <c r="F2016" t="s">
        <v>15</v>
      </c>
      <c r="G2016" t="s">
        <v>23</v>
      </c>
      <c r="H2016">
        <v>118610</v>
      </c>
      <c r="I2016" t="s">
        <v>17</v>
      </c>
      <c r="J2016" t="s">
        <v>50</v>
      </c>
      <c r="K2016">
        <v>27380.31</v>
      </c>
      <c r="L2016">
        <v>118610.9</v>
      </c>
      <c r="M2016">
        <v>21</v>
      </c>
      <c r="Y2016" s="1">
        <f t="shared" si="155"/>
        <v>1096.1210000000001</v>
      </c>
      <c r="Z2016" s="2">
        <f t="shared" si="156"/>
        <v>91230.8</v>
      </c>
      <c r="AA2016" s="2">
        <f t="shared" si="157"/>
        <v>91230.803898474711</v>
      </c>
      <c r="AB2016" s="1">
        <f t="shared" si="158"/>
        <v>9.1615297899809739E-2</v>
      </c>
      <c r="AC2016" s="1" t="b">
        <f t="shared" si="159"/>
        <v>1</v>
      </c>
    </row>
    <row r="2017" spans="1:29" x14ac:dyDescent="0.25">
      <c r="A2017" s="1">
        <v>1096.08</v>
      </c>
      <c r="B2017">
        <v>50</v>
      </c>
      <c r="C2017" t="s">
        <v>124</v>
      </c>
      <c r="D2017" s="2">
        <v>91234.2</v>
      </c>
      <c r="E2017">
        <v>24788</v>
      </c>
      <c r="F2017" t="s">
        <v>15</v>
      </c>
      <c r="G2017" t="s">
        <v>16</v>
      </c>
      <c r="H2017">
        <v>116021</v>
      </c>
      <c r="I2017" t="s">
        <v>17</v>
      </c>
      <c r="J2017" t="s">
        <v>18</v>
      </c>
      <c r="K2017">
        <v>24788.02</v>
      </c>
      <c r="L2017">
        <v>116021.8</v>
      </c>
      <c r="M2017">
        <v>21</v>
      </c>
      <c r="Y2017" s="1">
        <f t="shared" si="155"/>
        <v>1096.08</v>
      </c>
      <c r="Z2017" s="2">
        <f t="shared" si="156"/>
        <v>91234.2</v>
      </c>
      <c r="AA2017" s="2">
        <f t="shared" si="157"/>
        <v>91234.216480548872</v>
      </c>
      <c r="AB2017" s="1">
        <f t="shared" si="158"/>
        <v>9.1618411284098283E-2</v>
      </c>
      <c r="AC2017" s="1" t="b">
        <f t="shared" si="159"/>
        <v>1</v>
      </c>
    </row>
    <row r="2018" spans="1:29" x14ac:dyDescent="0.25">
      <c r="A2018" s="1">
        <v>1095.856</v>
      </c>
      <c r="B2018">
        <v>30</v>
      </c>
      <c r="D2018" s="2">
        <v>91252.9</v>
      </c>
      <c r="E2018">
        <v>22527</v>
      </c>
      <c r="F2018" t="s">
        <v>15</v>
      </c>
      <c r="G2018" t="s">
        <v>18</v>
      </c>
      <c r="H2018">
        <v>113780</v>
      </c>
      <c r="I2018" t="s">
        <v>17</v>
      </c>
      <c r="J2018" t="s">
        <v>16</v>
      </c>
      <c r="K2018">
        <v>22527.7</v>
      </c>
      <c r="L2018">
        <v>113780.5</v>
      </c>
      <c r="M2018">
        <v>21</v>
      </c>
      <c r="Y2018" s="1">
        <f t="shared" si="155"/>
        <v>1095.856</v>
      </c>
      <c r="Z2018" s="2">
        <f t="shared" si="156"/>
        <v>91252.9</v>
      </c>
      <c r="AA2018" s="2">
        <f t="shared" si="157"/>
        <v>91252.865339971671</v>
      </c>
      <c r="AB2018" s="1">
        <f t="shared" si="158"/>
        <v>9.1635427163775013E-2</v>
      </c>
      <c r="AC2018" s="1" t="b">
        <f t="shared" si="159"/>
        <v>1</v>
      </c>
    </row>
    <row r="2019" spans="1:29" x14ac:dyDescent="0.25">
      <c r="A2019" s="1">
        <v>1095.7660000000001</v>
      </c>
      <c r="B2019">
        <v>100</v>
      </c>
      <c r="D2019" s="2">
        <v>91260.4</v>
      </c>
      <c r="E2019">
        <v>29835</v>
      </c>
      <c r="F2019" t="s">
        <v>15</v>
      </c>
      <c r="G2019" t="s">
        <v>16</v>
      </c>
      <c r="H2019">
        <v>121095</v>
      </c>
      <c r="I2019" t="s">
        <v>17</v>
      </c>
      <c r="J2019" t="s">
        <v>23</v>
      </c>
      <c r="K2019">
        <v>29835.09</v>
      </c>
      <c r="L2019">
        <v>121095.2</v>
      </c>
      <c r="M2019">
        <v>21</v>
      </c>
      <c r="Y2019" s="1">
        <f t="shared" si="155"/>
        <v>1095.7660000000001</v>
      </c>
      <c r="Z2019" s="2">
        <f t="shared" si="156"/>
        <v>91260.4</v>
      </c>
      <c r="AA2019" s="2">
        <f t="shared" si="157"/>
        <v>91260.360332406737</v>
      </c>
      <c r="AB2019" s="1">
        <f t="shared" si="158"/>
        <v>9.1642266840003594E-2</v>
      </c>
      <c r="AC2019" s="1" t="b">
        <f t="shared" si="159"/>
        <v>1</v>
      </c>
    </row>
    <row r="2020" spans="1:29" x14ac:dyDescent="0.25">
      <c r="A2020" s="1">
        <v>1095.587</v>
      </c>
      <c r="B2020">
        <v>60</v>
      </c>
      <c r="C2020" t="s">
        <v>27</v>
      </c>
      <c r="D2020" s="2">
        <v>91275.3</v>
      </c>
      <c r="E2020">
        <v>25033</v>
      </c>
      <c r="F2020" t="s">
        <v>15</v>
      </c>
      <c r="G2020" t="s">
        <v>16</v>
      </c>
      <c r="H2020">
        <v>116309</v>
      </c>
      <c r="I2020" t="s">
        <v>17</v>
      </c>
      <c r="J2020" t="s">
        <v>23</v>
      </c>
      <c r="K2020">
        <v>25033.91</v>
      </c>
      <c r="L2020">
        <v>116309.2</v>
      </c>
      <c r="M2020">
        <v>21</v>
      </c>
      <c r="Y2020" s="1">
        <f t="shared" si="155"/>
        <v>1095.587</v>
      </c>
      <c r="Z2020" s="2">
        <f t="shared" si="156"/>
        <v>91275.3</v>
      </c>
      <c r="AA2020" s="2">
        <f t="shared" si="157"/>
        <v>91275.270699634071</v>
      </c>
      <c r="AB2020" s="1">
        <f t="shared" si="158"/>
        <v>9.1655875206457404E-2</v>
      </c>
      <c r="AC2020" s="1" t="b">
        <f t="shared" si="159"/>
        <v>1</v>
      </c>
    </row>
    <row r="2021" spans="1:29" x14ac:dyDescent="0.25">
      <c r="A2021" s="1">
        <v>1095.587</v>
      </c>
      <c r="B2021">
        <v>60</v>
      </c>
      <c r="C2021" t="s">
        <v>27</v>
      </c>
      <c r="D2021" s="2">
        <v>91275.3</v>
      </c>
      <c r="E2021">
        <v>27604</v>
      </c>
      <c r="F2021" t="s">
        <v>15</v>
      </c>
      <c r="G2021" t="s">
        <v>16</v>
      </c>
      <c r="H2021">
        <v>118879</v>
      </c>
      <c r="I2021" t="s">
        <v>17</v>
      </c>
      <c r="J2021" t="s">
        <v>23</v>
      </c>
      <c r="K2021">
        <v>27604.26</v>
      </c>
      <c r="L2021">
        <v>118879.3</v>
      </c>
      <c r="M2021">
        <v>21</v>
      </c>
      <c r="Y2021" s="1">
        <f t="shared" si="155"/>
        <v>1095.587</v>
      </c>
      <c r="Z2021" s="2">
        <f t="shared" si="156"/>
        <v>91275.3</v>
      </c>
      <c r="AA2021" s="2">
        <f t="shared" si="157"/>
        <v>91275.270699634071</v>
      </c>
      <c r="AB2021" s="1">
        <f t="shared" si="158"/>
        <v>9.1655875206457404E-2</v>
      </c>
      <c r="AC2021" s="1" t="b">
        <f t="shared" si="159"/>
        <v>1</v>
      </c>
    </row>
    <row r="2022" spans="1:29" x14ac:dyDescent="0.25">
      <c r="A2022" s="1">
        <v>1095.5129999999999</v>
      </c>
      <c r="B2022">
        <v>30</v>
      </c>
      <c r="D2022" s="2">
        <v>91281.4</v>
      </c>
      <c r="M2022">
        <v>21</v>
      </c>
      <c r="Y2022" s="1">
        <f t="shared" si="155"/>
        <v>1095.5129999999999</v>
      </c>
      <c r="Z2022" s="2">
        <f t="shared" si="156"/>
        <v>91281.4</v>
      </c>
      <c r="AA2022" s="2">
        <f t="shared" si="157"/>
        <v>91281.436185604383</v>
      </c>
      <c r="AB2022" s="1">
        <f t="shared" si="158"/>
        <v>9.1661502960532826E-2</v>
      </c>
      <c r="AC2022" s="1" t="b">
        <f t="shared" si="159"/>
        <v>1</v>
      </c>
    </row>
    <row r="2023" spans="1:29" x14ac:dyDescent="0.25">
      <c r="A2023" s="1">
        <v>1095.403</v>
      </c>
      <c r="B2023">
        <v>15</v>
      </c>
      <c r="D2023" s="2">
        <v>91290.6</v>
      </c>
      <c r="M2023">
        <v>21</v>
      </c>
      <c r="Y2023" s="1">
        <f t="shared" si="155"/>
        <v>1095.403</v>
      </c>
      <c r="Z2023" s="2">
        <f t="shared" si="156"/>
        <v>91290.6</v>
      </c>
      <c r="AA2023" s="2">
        <f t="shared" si="157"/>
        <v>91290.602636655181</v>
      </c>
      <c r="AB2023" s="1">
        <f t="shared" si="158"/>
        <v>9.1669870648818375E-2</v>
      </c>
      <c r="AC2023" s="1" t="b">
        <f t="shared" si="159"/>
        <v>1</v>
      </c>
    </row>
    <row r="2024" spans="1:29" x14ac:dyDescent="0.25">
      <c r="A2024" s="1">
        <v>1094.9280000000001</v>
      </c>
      <c r="B2024">
        <v>80</v>
      </c>
      <c r="D2024" s="2">
        <v>91330.2</v>
      </c>
      <c r="E2024">
        <v>27138</v>
      </c>
      <c r="F2024" t="s">
        <v>15</v>
      </c>
      <c r="G2024" t="s">
        <v>18</v>
      </c>
      <c r="H2024">
        <v>118468</v>
      </c>
      <c r="I2024" t="s">
        <v>17</v>
      </c>
      <c r="J2024" t="s">
        <v>16</v>
      </c>
      <c r="K2024">
        <v>27138.55</v>
      </c>
      <c r="L2024">
        <v>118468.8</v>
      </c>
      <c r="M2024">
        <v>21</v>
      </c>
      <c r="Y2024" s="1">
        <f t="shared" si="155"/>
        <v>1094.9280000000001</v>
      </c>
      <c r="Z2024" s="2">
        <f t="shared" si="156"/>
        <v>91330.2</v>
      </c>
      <c r="AA2024" s="2">
        <f t="shared" si="157"/>
        <v>91330.206187073476</v>
      </c>
      <c r="AB2024" s="1">
        <f t="shared" si="158"/>
        <v>9.1706032810866783E-2</v>
      </c>
      <c r="AC2024" s="1" t="b">
        <f t="shared" si="159"/>
        <v>1</v>
      </c>
    </row>
    <row r="2025" spans="1:29" x14ac:dyDescent="0.25">
      <c r="A2025" s="1">
        <v>1094.8779999999999</v>
      </c>
      <c r="B2025">
        <v>30</v>
      </c>
      <c r="D2025" s="2">
        <v>91334.399999999994</v>
      </c>
      <c r="E2025">
        <v>20160</v>
      </c>
      <c r="F2025" t="s">
        <v>15</v>
      </c>
      <c r="G2025" t="s">
        <v>29</v>
      </c>
      <c r="H2025">
        <v>111494</v>
      </c>
      <c r="I2025" t="s">
        <v>17</v>
      </c>
      <c r="J2025" t="s">
        <v>28</v>
      </c>
      <c r="K2025">
        <v>20160.36</v>
      </c>
      <c r="L2025">
        <v>111494.8</v>
      </c>
      <c r="M2025">
        <v>21</v>
      </c>
      <c r="Y2025" s="1">
        <f t="shared" si="155"/>
        <v>1094.8779999999999</v>
      </c>
      <c r="Z2025" s="2">
        <f t="shared" si="156"/>
        <v>91334.399999999994</v>
      </c>
      <c r="AA2025" s="2">
        <f t="shared" si="157"/>
        <v>91334.376980814312</v>
      </c>
      <c r="AB2025" s="1">
        <f t="shared" si="158"/>
        <v>9.1709842092367516E-2</v>
      </c>
      <c r="AC2025" s="1" t="b">
        <f t="shared" si="159"/>
        <v>1</v>
      </c>
    </row>
    <row r="2026" spans="1:29" x14ac:dyDescent="0.25">
      <c r="A2026" s="1">
        <v>1094.8320000000001</v>
      </c>
      <c r="B2026">
        <v>1</v>
      </c>
      <c r="D2026" s="2">
        <v>91338.2</v>
      </c>
      <c r="E2026">
        <v>24461</v>
      </c>
      <c r="F2026" t="s">
        <v>15</v>
      </c>
      <c r="G2026" t="s">
        <v>28</v>
      </c>
      <c r="H2026">
        <v>115800</v>
      </c>
      <c r="I2026" t="s">
        <v>17</v>
      </c>
      <c r="J2026" t="s">
        <v>28</v>
      </c>
      <c r="K2026">
        <v>24461.24</v>
      </c>
      <c r="L2026">
        <v>115800</v>
      </c>
      <c r="M2026">
        <v>21</v>
      </c>
      <c r="Y2026" s="1">
        <f t="shared" si="155"/>
        <v>1094.8320000000001</v>
      </c>
      <c r="Z2026" s="2">
        <f t="shared" si="156"/>
        <v>91338.2</v>
      </c>
      <c r="AA2026" s="2">
        <f t="shared" si="157"/>
        <v>91338.214447513397</v>
      </c>
      <c r="AB2026" s="1">
        <f t="shared" si="158"/>
        <v>9.1713347092299724E-2</v>
      </c>
      <c r="AC2026" s="1" t="b">
        <f t="shared" si="159"/>
        <v>1</v>
      </c>
    </row>
    <row r="2027" spans="1:29" x14ac:dyDescent="0.25">
      <c r="A2027" s="1">
        <v>1094.7670000000001</v>
      </c>
      <c r="B2027">
        <v>15</v>
      </c>
      <c r="D2027" s="2">
        <v>91343.6</v>
      </c>
      <c r="E2027">
        <v>18990</v>
      </c>
      <c r="F2027" t="s">
        <v>15</v>
      </c>
      <c r="G2027" t="s">
        <v>18</v>
      </c>
      <c r="H2027">
        <v>110333</v>
      </c>
      <c r="I2027" t="s">
        <v>17</v>
      </c>
      <c r="J2027" t="s">
        <v>18</v>
      </c>
      <c r="K2027">
        <v>18990.080000000002</v>
      </c>
      <c r="L2027">
        <v>110333.5</v>
      </c>
      <c r="M2027">
        <v>21</v>
      </c>
      <c r="Y2027" s="1">
        <f t="shared" si="155"/>
        <v>1094.7670000000001</v>
      </c>
      <c r="Z2027" s="2">
        <f t="shared" si="156"/>
        <v>91343.6</v>
      </c>
      <c r="AA2027" s="2">
        <f t="shared" si="157"/>
        <v>91343.637504601429</v>
      </c>
      <c r="AB2027" s="1">
        <f t="shared" si="158"/>
        <v>9.171830056286015E-2</v>
      </c>
      <c r="AC2027" s="1" t="b">
        <f t="shared" si="159"/>
        <v>1</v>
      </c>
    </row>
    <row r="2028" spans="1:29" x14ac:dyDescent="0.25">
      <c r="A2028" s="1">
        <v>1094.6369999999999</v>
      </c>
      <c r="B2028">
        <v>1</v>
      </c>
      <c r="D2028" s="2">
        <v>91354.5</v>
      </c>
      <c r="E2028">
        <v>23442</v>
      </c>
      <c r="F2028" t="s">
        <v>15</v>
      </c>
      <c r="G2028" t="s">
        <v>23</v>
      </c>
      <c r="H2028">
        <v>114797</v>
      </c>
      <c r="I2028" t="s">
        <v>17</v>
      </c>
      <c r="J2028" t="s">
        <v>50</v>
      </c>
      <c r="K2028">
        <v>23442.25</v>
      </c>
      <c r="L2028">
        <v>114797.2</v>
      </c>
      <c r="M2028">
        <v>21</v>
      </c>
      <c r="Y2028" s="1">
        <f t="shared" si="155"/>
        <v>1094.6369999999999</v>
      </c>
      <c r="Z2028" s="2">
        <f t="shared" si="156"/>
        <v>91354.5</v>
      </c>
      <c r="AA2028" s="2">
        <f t="shared" si="157"/>
        <v>91354.485550917801</v>
      </c>
      <c r="AB2028" s="1">
        <f t="shared" si="158"/>
        <v>9.1728210151364245E-2</v>
      </c>
      <c r="AC2028" s="1" t="b">
        <f t="shared" si="159"/>
        <v>1</v>
      </c>
    </row>
    <row r="2029" spans="1:29" x14ac:dyDescent="0.25">
      <c r="A2029" s="1">
        <v>1094.4860000000001</v>
      </c>
      <c r="B2029">
        <v>30</v>
      </c>
      <c r="D2029" s="2">
        <v>91367.1</v>
      </c>
      <c r="M2029">
        <v>21</v>
      </c>
      <c r="Y2029" s="1">
        <f t="shared" si="155"/>
        <v>1094.4860000000001</v>
      </c>
      <c r="Z2029" s="2">
        <f t="shared" si="156"/>
        <v>91367.1</v>
      </c>
      <c r="AA2029" s="2">
        <f t="shared" si="157"/>
        <v>91367.089208998557</v>
      </c>
      <c r="AB2029" s="1">
        <f t="shared" si="158"/>
        <v>9.1739724952625501E-2</v>
      </c>
      <c r="AC2029" s="1" t="b">
        <f t="shared" si="159"/>
        <v>1</v>
      </c>
    </row>
    <row r="2030" spans="1:29" x14ac:dyDescent="0.25">
      <c r="A2030" s="1">
        <v>1094.2550000000001</v>
      </c>
      <c r="B2030">
        <v>80</v>
      </c>
      <c r="D2030" s="2">
        <v>91386.4</v>
      </c>
      <c r="E2030">
        <v>22527</v>
      </c>
      <c r="F2030" t="s">
        <v>15</v>
      </c>
      <c r="G2030" t="s">
        <v>18</v>
      </c>
      <c r="H2030">
        <v>113914</v>
      </c>
      <c r="I2030" t="s">
        <v>17</v>
      </c>
      <c r="J2030" t="s">
        <v>28</v>
      </c>
      <c r="K2030">
        <v>22527.7</v>
      </c>
      <c r="L2030">
        <v>113914.1</v>
      </c>
      <c r="M2030">
        <v>21</v>
      </c>
      <c r="Y2030" s="1">
        <f t="shared" si="155"/>
        <v>1094.2550000000001</v>
      </c>
      <c r="Z2030" s="2">
        <f t="shared" si="156"/>
        <v>91386.4</v>
      </c>
      <c r="AA2030" s="2">
        <f t="shared" si="157"/>
        <v>91386.377032775708</v>
      </c>
      <c r="AB2030" s="1">
        <f t="shared" si="158"/>
        <v>9.1757349535883187E-2</v>
      </c>
      <c r="AC2030" s="1" t="b">
        <f t="shared" si="159"/>
        <v>1</v>
      </c>
    </row>
    <row r="2031" spans="1:29" x14ac:dyDescent="0.25">
      <c r="A2031" s="1">
        <v>1094.058</v>
      </c>
      <c r="B2031">
        <v>3</v>
      </c>
      <c r="D2031" s="2">
        <v>91402.8</v>
      </c>
      <c r="E2031">
        <v>21755</v>
      </c>
      <c r="F2031" t="s">
        <v>15</v>
      </c>
      <c r="G2031" t="s">
        <v>23</v>
      </c>
      <c r="H2031">
        <v>113158</v>
      </c>
      <c r="I2031" t="s">
        <v>17</v>
      </c>
      <c r="J2031" t="s">
        <v>16</v>
      </c>
      <c r="K2031">
        <v>21755.84</v>
      </c>
      <c r="L2031">
        <v>113158.8</v>
      </c>
      <c r="M2031">
        <v>21</v>
      </c>
      <c r="Y2031" s="1">
        <f t="shared" si="155"/>
        <v>1094.058</v>
      </c>
      <c r="Z2031" s="2">
        <f t="shared" si="156"/>
        <v>91402.8</v>
      </c>
      <c r="AA2031" s="2">
        <f t="shared" si="157"/>
        <v>91402.832390970128</v>
      </c>
      <c r="AB2031" s="1">
        <f t="shared" si="158"/>
        <v>9.1772388845458894E-2</v>
      </c>
      <c r="AC2031" s="1" t="b">
        <f t="shared" si="159"/>
        <v>1</v>
      </c>
    </row>
    <row r="2032" spans="1:29" x14ac:dyDescent="0.25">
      <c r="A2032" s="1">
        <v>1093.8699999999999</v>
      </c>
      <c r="B2032">
        <v>10</v>
      </c>
      <c r="D2032" s="2">
        <v>91418.5</v>
      </c>
      <c r="M2032">
        <v>21</v>
      </c>
      <c r="Y2032" s="1">
        <f t="shared" si="155"/>
        <v>1093.8699999999999</v>
      </c>
      <c r="Z2032" s="2">
        <f t="shared" si="156"/>
        <v>91418.5</v>
      </c>
      <c r="AA2032" s="2">
        <f t="shared" si="157"/>
        <v>91418.54150858878</v>
      </c>
      <c r="AB2032" s="1">
        <f t="shared" si="158"/>
        <v>9.1786748657787853E-2</v>
      </c>
      <c r="AC2032" s="1" t="b">
        <f t="shared" si="159"/>
        <v>1</v>
      </c>
    </row>
    <row r="2033" spans="1:29" x14ac:dyDescent="0.25">
      <c r="A2033" s="1">
        <v>1093.6010000000001</v>
      </c>
      <c r="B2033">
        <v>1</v>
      </c>
      <c r="D2033" s="2">
        <v>91441</v>
      </c>
      <c r="E2033">
        <v>37011</v>
      </c>
      <c r="F2033" t="s">
        <v>15</v>
      </c>
      <c r="G2033" t="s">
        <v>28</v>
      </c>
      <c r="H2033">
        <v>128453</v>
      </c>
      <c r="I2033" t="s">
        <v>17</v>
      </c>
      <c r="J2033" t="s">
        <v>18</v>
      </c>
      <c r="K2033">
        <v>37011.919999999998</v>
      </c>
      <c r="L2033">
        <v>128453.2</v>
      </c>
      <c r="M2033">
        <v>21</v>
      </c>
      <c r="Y2033" s="1">
        <f t="shared" si="155"/>
        <v>1093.6010000000001</v>
      </c>
      <c r="Z2033" s="2">
        <f t="shared" si="156"/>
        <v>91441</v>
      </c>
      <c r="AA2033" s="2">
        <f t="shared" si="157"/>
        <v>91441.028309227942</v>
      </c>
      <c r="AB2033" s="1">
        <f t="shared" si="158"/>
        <v>9.1807308291245143E-2</v>
      </c>
      <c r="AC2033" s="1" t="b">
        <f t="shared" si="159"/>
        <v>1</v>
      </c>
    </row>
    <row r="2034" spans="1:29" x14ac:dyDescent="0.25">
      <c r="A2034" s="1">
        <v>1093.521</v>
      </c>
      <c r="B2034">
        <v>80</v>
      </c>
      <c r="D2034" s="2">
        <v>91447.7</v>
      </c>
      <c r="M2034">
        <v>21</v>
      </c>
      <c r="Y2034" s="1">
        <f t="shared" si="155"/>
        <v>1093.521</v>
      </c>
      <c r="Z2034" s="2">
        <f t="shared" si="156"/>
        <v>91447.7</v>
      </c>
      <c r="AA2034" s="2">
        <f t="shared" si="157"/>
        <v>91447.71796792197</v>
      </c>
      <c r="AB2034" s="1">
        <f t="shared" si="158"/>
        <v>9.1813425607703003E-2</v>
      </c>
      <c r="AC2034" s="1" t="b">
        <f t="shared" si="159"/>
        <v>1</v>
      </c>
    </row>
    <row r="2035" spans="1:29" x14ac:dyDescent="0.25">
      <c r="A2035" s="1">
        <v>1093.2529999999999</v>
      </c>
      <c r="B2035">
        <v>80</v>
      </c>
      <c r="D2035" s="2">
        <v>91470.1</v>
      </c>
      <c r="E2035">
        <v>19872</v>
      </c>
      <c r="F2035" t="s">
        <v>15</v>
      </c>
      <c r="G2035" t="s">
        <v>18</v>
      </c>
      <c r="H2035">
        <v>111342</v>
      </c>
      <c r="I2035" t="s">
        <v>17</v>
      </c>
      <c r="J2035" t="s">
        <v>18</v>
      </c>
      <c r="K2035">
        <v>19872.43</v>
      </c>
      <c r="L2035">
        <v>111342.8</v>
      </c>
      <c r="M2035">
        <v>21</v>
      </c>
      <c r="Y2035" s="1">
        <f t="shared" si="155"/>
        <v>1093.2529999999999</v>
      </c>
      <c r="Z2035" s="2">
        <f t="shared" si="156"/>
        <v>91470.1</v>
      </c>
      <c r="AA2035" s="2">
        <f t="shared" si="157"/>
        <v>91470.135458123608</v>
      </c>
      <c r="AB2035" s="1">
        <f t="shared" si="158"/>
        <v>9.183392840363741E-2</v>
      </c>
      <c r="AC2035" s="1" t="b">
        <f t="shared" si="159"/>
        <v>1</v>
      </c>
    </row>
    <row r="2036" spans="1:29" x14ac:dyDescent="0.25">
      <c r="A2036" s="1">
        <v>1093.1849999999999</v>
      </c>
      <c r="B2036">
        <v>60</v>
      </c>
      <c r="D2036" s="2">
        <v>91475.8</v>
      </c>
      <c r="E2036">
        <v>22080</v>
      </c>
      <c r="F2036" t="s">
        <v>15</v>
      </c>
      <c r="G2036" t="s">
        <v>18</v>
      </c>
      <c r="H2036">
        <v>113556</v>
      </c>
      <c r="I2036" t="s">
        <v>17</v>
      </c>
      <c r="J2036" t="s">
        <v>28</v>
      </c>
      <c r="K2036">
        <v>22080.94</v>
      </c>
      <c r="L2036">
        <v>113556.8</v>
      </c>
      <c r="M2036">
        <v>21</v>
      </c>
      <c r="Y2036" s="1">
        <f t="shared" si="155"/>
        <v>1093.1849999999999</v>
      </c>
      <c r="Z2036" s="2">
        <f t="shared" si="156"/>
        <v>91475.8</v>
      </c>
      <c r="AA2036" s="2">
        <f t="shared" si="157"/>
        <v>91475.825226288332</v>
      </c>
      <c r="AB2036" s="1">
        <f t="shared" si="158"/>
        <v>9.1839133004152251E-2</v>
      </c>
      <c r="AC2036" s="1" t="b">
        <f t="shared" si="159"/>
        <v>1</v>
      </c>
    </row>
    <row r="2037" spans="1:29" x14ac:dyDescent="0.25">
      <c r="A2037" s="1">
        <v>1092.9100000000001</v>
      </c>
      <c r="B2037">
        <v>20</v>
      </c>
      <c r="D2037" s="2">
        <v>91498.8</v>
      </c>
      <c r="E2037">
        <v>27380</v>
      </c>
      <c r="F2037" t="s">
        <v>15</v>
      </c>
      <c r="G2037" t="s">
        <v>23</v>
      </c>
      <c r="H2037">
        <v>118879</v>
      </c>
      <c r="I2037" t="s">
        <v>17</v>
      </c>
      <c r="J2037" t="s">
        <v>23</v>
      </c>
      <c r="K2037">
        <v>27380.31</v>
      </c>
      <c r="L2037">
        <v>118879.3</v>
      </c>
      <c r="M2037">
        <v>21</v>
      </c>
      <c r="Y2037" s="1">
        <f t="shared" si="155"/>
        <v>1092.9100000000001</v>
      </c>
      <c r="Z2037" s="2">
        <f t="shared" si="156"/>
        <v>91498.8</v>
      </c>
      <c r="AA2037" s="2">
        <f t="shared" si="157"/>
        <v>91498.842539641861</v>
      </c>
      <c r="AB2037" s="1">
        <f t="shared" si="158"/>
        <v>9.1860190930470875E-2</v>
      </c>
      <c r="AC2037" s="1" t="b">
        <f t="shared" si="159"/>
        <v>1</v>
      </c>
    </row>
    <row r="2038" spans="1:29" x14ac:dyDescent="0.25">
      <c r="A2038" s="1">
        <v>1092.529</v>
      </c>
      <c r="B2038">
        <v>2</v>
      </c>
      <c r="C2038" t="s">
        <v>27</v>
      </c>
      <c r="D2038" s="2">
        <v>91530.8</v>
      </c>
      <c r="E2038">
        <v>21238</v>
      </c>
      <c r="F2038" t="s">
        <v>15</v>
      </c>
      <c r="G2038" t="s">
        <v>50</v>
      </c>
      <c r="H2038">
        <v>112769</v>
      </c>
      <c r="I2038" t="s">
        <v>17</v>
      </c>
      <c r="J2038" t="s">
        <v>50</v>
      </c>
      <c r="K2038">
        <v>21238.78</v>
      </c>
      <c r="L2038">
        <v>112769.7</v>
      </c>
      <c r="M2038">
        <v>21</v>
      </c>
      <c r="Y2038" s="1">
        <f t="shared" si="155"/>
        <v>1092.529</v>
      </c>
      <c r="Z2038" s="2">
        <f t="shared" si="156"/>
        <v>91530.8</v>
      </c>
      <c r="AA2038" s="2">
        <f t="shared" si="157"/>
        <v>91530.751128802993</v>
      </c>
      <c r="AB2038" s="1">
        <f t="shared" si="158"/>
        <v>9.1889392011014356E-2</v>
      </c>
      <c r="AC2038" s="1" t="b">
        <f t="shared" si="159"/>
        <v>1</v>
      </c>
    </row>
    <row r="2039" spans="1:29" x14ac:dyDescent="0.25">
      <c r="A2039" s="1">
        <v>1092.529</v>
      </c>
      <c r="B2039">
        <v>2</v>
      </c>
      <c r="C2039" t="s">
        <v>27</v>
      </c>
      <c r="D2039" s="2">
        <v>91530.8</v>
      </c>
      <c r="E2039">
        <v>36683</v>
      </c>
      <c r="F2039" t="s">
        <v>15</v>
      </c>
      <c r="G2039" t="s">
        <v>258</v>
      </c>
      <c r="H2039">
        <v>128214</v>
      </c>
      <c r="I2039" t="s">
        <v>17</v>
      </c>
      <c r="J2039" t="s">
        <v>29</v>
      </c>
      <c r="K2039">
        <v>36683.21</v>
      </c>
      <c r="L2039">
        <v>128214.2</v>
      </c>
      <c r="M2039">
        <v>21</v>
      </c>
      <c r="Y2039" s="1">
        <f t="shared" si="155"/>
        <v>1092.529</v>
      </c>
      <c r="Z2039" s="2">
        <f t="shared" si="156"/>
        <v>91530.8</v>
      </c>
      <c r="AA2039" s="2">
        <f t="shared" si="157"/>
        <v>91530.751128802993</v>
      </c>
      <c r="AB2039" s="1">
        <f t="shared" si="158"/>
        <v>9.1889392011014356E-2</v>
      </c>
      <c r="AC2039" s="1" t="b">
        <f t="shared" si="159"/>
        <v>1</v>
      </c>
    </row>
    <row r="2040" spans="1:29" x14ac:dyDescent="0.25">
      <c r="A2040" s="1">
        <v>1092.481</v>
      </c>
      <c r="B2040">
        <v>6</v>
      </c>
      <c r="D2040" s="2">
        <v>91534.8</v>
      </c>
      <c r="M2040">
        <v>21</v>
      </c>
      <c r="Y2040" s="1">
        <f t="shared" si="155"/>
        <v>1092.481</v>
      </c>
      <c r="Z2040" s="2">
        <f t="shared" si="156"/>
        <v>91534.8</v>
      </c>
      <c r="AA2040" s="2">
        <f t="shared" si="157"/>
        <v>91534.772687122255</v>
      </c>
      <c r="AB2040" s="1">
        <f t="shared" si="158"/>
        <v>9.1893073054415714E-2</v>
      </c>
      <c r="AC2040" s="1" t="b">
        <f t="shared" si="159"/>
        <v>1</v>
      </c>
    </row>
    <row r="2041" spans="1:29" x14ac:dyDescent="0.25">
      <c r="A2041" s="1">
        <v>1092.325</v>
      </c>
      <c r="B2041">
        <v>20</v>
      </c>
      <c r="C2041" t="s">
        <v>628</v>
      </c>
      <c r="D2041" s="2">
        <v>91547.8</v>
      </c>
      <c r="E2041">
        <v>22277</v>
      </c>
      <c r="F2041" t="s">
        <v>15</v>
      </c>
      <c r="G2041" t="s">
        <v>29</v>
      </c>
      <c r="H2041">
        <v>113825</v>
      </c>
      <c r="I2041" t="s">
        <v>17</v>
      </c>
      <c r="J2041" t="s">
        <v>29</v>
      </c>
      <c r="K2041">
        <v>22277.66</v>
      </c>
      <c r="L2041">
        <v>113825.5</v>
      </c>
      <c r="M2041">
        <v>21</v>
      </c>
      <c r="Y2041" s="1">
        <f t="shared" si="155"/>
        <v>1092.325</v>
      </c>
      <c r="Z2041" s="2">
        <f t="shared" si="156"/>
        <v>91547.8</v>
      </c>
      <c r="AA2041" s="2">
        <f t="shared" si="157"/>
        <v>91547.84519259377</v>
      </c>
      <c r="AB2041" s="1">
        <f t="shared" si="158"/>
        <v>9.190503979703557E-2</v>
      </c>
      <c r="AC2041" s="1" t="b">
        <f t="shared" si="159"/>
        <v>1</v>
      </c>
    </row>
    <row r="2042" spans="1:29" x14ac:dyDescent="0.25">
      <c r="A2042" s="1">
        <v>1092.325</v>
      </c>
      <c r="B2042">
        <v>20</v>
      </c>
      <c r="C2042" t="s">
        <v>628</v>
      </c>
      <c r="D2042" s="2">
        <v>91547.8</v>
      </c>
      <c r="E2042">
        <v>29835</v>
      </c>
      <c r="F2042" t="s">
        <v>15</v>
      </c>
      <c r="G2042" t="s">
        <v>16</v>
      </c>
      <c r="H2042">
        <v>121382</v>
      </c>
      <c r="I2042" t="s">
        <v>17</v>
      </c>
      <c r="J2042" t="s">
        <v>16</v>
      </c>
      <c r="K2042">
        <v>29835.09</v>
      </c>
      <c r="L2042">
        <v>121382.6</v>
      </c>
      <c r="M2042">
        <v>21</v>
      </c>
      <c r="Y2042" s="1">
        <f t="shared" si="155"/>
        <v>1092.325</v>
      </c>
      <c r="Z2042" s="2">
        <f t="shared" si="156"/>
        <v>91547.8</v>
      </c>
      <c r="AA2042" s="2">
        <f t="shared" si="157"/>
        <v>91547.84519259377</v>
      </c>
      <c r="AB2042" s="1">
        <f t="shared" si="158"/>
        <v>9.190503979703557E-2</v>
      </c>
      <c r="AC2042" s="1" t="b">
        <f t="shared" si="159"/>
        <v>1</v>
      </c>
    </row>
    <row r="2043" spans="1:29" x14ac:dyDescent="0.25">
      <c r="A2043" s="1">
        <v>1092.3009999999999</v>
      </c>
      <c r="B2043">
        <v>20</v>
      </c>
      <c r="C2043" t="s">
        <v>628</v>
      </c>
      <c r="D2043" s="2">
        <v>91549.9</v>
      </c>
      <c r="E2043">
        <v>22080</v>
      </c>
      <c r="F2043" t="s">
        <v>15</v>
      </c>
      <c r="G2043" t="s">
        <v>18</v>
      </c>
      <c r="H2043">
        <v>113630</v>
      </c>
      <c r="I2043" t="s">
        <v>17</v>
      </c>
      <c r="J2043" t="s">
        <v>18</v>
      </c>
      <c r="K2043">
        <v>22080.94</v>
      </c>
      <c r="L2043">
        <v>113630.9</v>
      </c>
      <c r="M2043">
        <v>21</v>
      </c>
      <c r="Y2043" s="1">
        <f t="shared" si="155"/>
        <v>1092.3009999999999</v>
      </c>
      <c r="Z2043" s="2">
        <f t="shared" si="156"/>
        <v>91549.9</v>
      </c>
      <c r="AA2043" s="2">
        <f t="shared" si="157"/>
        <v>91549.856678699376</v>
      </c>
      <c r="AB2043" s="1">
        <f t="shared" si="158"/>
        <v>9.1906881289451986E-2</v>
      </c>
      <c r="AC2043" s="1" t="b">
        <f t="shared" si="159"/>
        <v>1</v>
      </c>
    </row>
    <row r="2044" spans="1:29" x14ac:dyDescent="0.25">
      <c r="A2044" s="1">
        <v>1092.3009999999999</v>
      </c>
      <c r="B2044">
        <v>20</v>
      </c>
      <c r="C2044" t="s">
        <v>628</v>
      </c>
      <c r="D2044" s="2">
        <v>91549.9</v>
      </c>
      <c r="E2044">
        <v>24250</v>
      </c>
      <c r="F2044" t="s">
        <v>15</v>
      </c>
      <c r="G2044" t="s">
        <v>29</v>
      </c>
      <c r="H2044">
        <v>115800</v>
      </c>
      <c r="I2044" t="s">
        <v>17</v>
      </c>
      <c r="J2044" t="s">
        <v>28</v>
      </c>
      <c r="K2044">
        <v>24250.62</v>
      </c>
      <c r="L2044">
        <v>115800</v>
      </c>
      <c r="M2044">
        <v>21</v>
      </c>
      <c r="Y2044" s="1">
        <f t="shared" si="155"/>
        <v>1092.3009999999999</v>
      </c>
      <c r="Z2044" s="2">
        <f t="shared" si="156"/>
        <v>91549.9</v>
      </c>
      <c r="AA2044" s="2">
        <f t="shared" si="157"/>
        <v>91549.856678699376</v>
      </c>
      <c r="AB2044" s="1">
        <f t="shared" si="158"/>
        <v>9.1906881289451986E-2</v>
      </c>
      <c r="AC2044" s="1" t="b">
        <f t="shared" si="159"/>
        <v>1</v>
      </c>
    </row>
    <row r="2045" spans="1:29" x14ac:dyDescent="0.25">
      <c r="A2045" s="1">
        <v>1092.0319999999999</v>
      </c>
      <c r="B2045">
        <v>2</v>
      </c>
      <c r="D2045" s="2">
        <v>91572.4</v>
      </c>
      <c r="E2045">
        <v>19308</v>
      </c>
      <c r="F2045" t="s">
        <v>15</v>
      </c>
      <c r="G2045" t="s">
        <v>23</v>
      </c>
      <c r="H2045">
        <v>110881</v>
      </c>
      <c r="I2045" t="s">
        <v>17</v>
      </c>
      <c r="J2045" t="s">
        <v>23</v>
      </c>
      <c r="K2045">
        <v>19308.93</v>
      </c>
      <c r="L2045">
        <v>110881.1</v>
      </c>
      <c r="M2045">
        <v>21</v>
      </c>
      <c r="Y2045" s="1">
        <f t="shared" si="155"/>
        <v>1092.0319999999999</v>
      </c>
      <c r="Z2045" s="2">
        <f t="shared" si="156"/>
        <v>91572.4</v>
      </c>
      <c r="AA2045" s="2">
        <f t="shared" si="157"/>
        <v>91572.408134560159</v>
      </c>
      <c r="AB2045" s="1">
        <f t="shared" si="158"/>
        <v>9.1927529657812312E-2</v>
      </c>
      <c r="AC2045" s="1" t="b">
        <f t="shared" si="159"/>
        <v>1</v>
      </c>
    </row>
    <row r="2046" spans="1:29" x14ac:dyDescent="0.25">
      <c r="A2046" s="1">
        <v>1091.9829999999999</v>
      </c>
      <c r="B2046">
        <v>3</v>
      </c>
      <c r="D2046" s="2">
        <v>91576.5</v>
      </c>
      <c r="E2046">
        <v>23844</v>
      </c>
      <c r="F2046" t="s">
        <v>15</v>
      </c>
      <c r="G2046" t="s">
        <v>16</v>
      </c>
      <c r="H2046">
        <v>115420</v>
      </c>
      <c r="I2046" t="s">
        <v>17</v>
      </c>
      <c r="J2046" t="s">
        <v>18</v>
      </c>
      <c r="K2046">
        <v>23844.58</v>
      </c>
      <c r="L2046">
        <v>115420.8</v>
      </c>
      <c r="M2046">
        <v>21</v>
      </c>
      <c r="Y2046" s="1">
        <f t="shared" si="155"/>
        <v>1091.9829999999999</v>
      </c>
      <c r="Z2046" s="2">
        <f t="shared" si="156"/>
        <v>91576.5</v>
      </c>
      <c r="AA2046" s="2">
        <f t="shared" si="157"/>
        <v>91576.517216843131</v>
      </c>
      <c r="AB2046" s="1">
        <f t="shared" si="158"/>
        <v>9.193129252783383E-2</v>
      </c>
      <c r="AC2046" s="1" t="b">
        <f t="shared" si="159"/>
        <v>1</v>
      </c>
    </row>
    <row r="2047" spans="1:29" x14ac:dyDescent="0.25">
      <c r="A2047" s="1">
        <v>1091.6759999999999</v>
      </c>
      <c r="B2047">
        <v>1</v>
      </c>
      <c r="D2047" s="2">
        <v>91602.3</v>
      </c>
      <c r="M2047">
        <v>21</v>
      </c>
      <c r="Y2047" s="1">
        <f t="shared" si="155"/>
        <v>1091.6759999999999</v>
      </c>
      <c r="Z2047" s="2">
        <f t="shared" si="156"/>
        <v>91602.3</v>
      </c>
      <c r="AA2047" s="2">
        <f t="shared" si="157"/>
        <v>91602.270270666399</v>
      </c>
      <c r="AB2047" s="1">
        <f t="shared" si="158"/>
        <v>9.1954879593701078E-2</v>
      </c>
      <c r="AC2047" s="1" t="b">
        <f t="shared" si="159"/>
        <v>1</v>
      </c>
    </row>
    <row r="2048" spans="1:29" x14ac:dyDescent="0.25">
      <c r="A2048" s="1">
        <v>1091.5550000000001</v>
      </c>
      <c r="B2048">
        <v>30</v>
      </c>
      <c r="D2048" s="2">
        <v>91612.4</v>
      </c>
      <c r="M2048">
        <v>21</v>
      </c>
      <c r="Y2048" s="1">
        <f t="shared" si="155"/>
        <v>1091.5550000000001</v>
      </c>
      <c r="Z2048" s="2">
        <f t="shared" si="156"/>
        <v>91612.4</v>
      </c>
      <c r="AA2048" s="2">
        <f t="shared" si="157"/>
        <v>91612.42447700756</v>
      </c>
      <c r="AB2048" s="1">
        <f t="shared" si="158"/>
        <v>9.1964181592777083E-2</v>
      </c>
      <c r="AC2048" s="1" t="b">
        <f t="shared" si="159"/>
        <v>1</v>
      </c>
    </row>
    <row r="2049" spans="1:29" x14ac:dyDescent="0.25">
      <c r="A2049" s="1">
        <v>1091.4770000000001</v>
      </c>
      <c r="B2049">
        <v>70</v>
      </c>
      <c r="D2049" s="2">
        <v>91619</v>
      </c>
      <c r="M2049">
        <v>21</v>
      </c>
      <c r="Y2049" s="1">
        <f t="shared" si="155"/>
        <v>1091.4770000000001</v>
      </c>
      <c r="Z2049" s="2">
        <f t="shared" si="156"/>
        <v>91619</v>
      </c>
      <c r="AA2049" s="2">
        <f t="shared" si="157"/>
        <v>91618.971357160975</v>
      </c>
      <c r="AB2049" s="1">
        <f t="shared" si="158"/>
        <v>9.197017956272141E-2</v>
      </c>
      <c r="AC2049" s="1" t="b">
        <f t="shared" si="159"/>
        <v>1</v>
      </c>
    </row>
    <row r="2050" spans="1:29" x14ac:dyDescent="0.25">
      <c r="A2050" s="1">
        <v>1091.43</v>
      </c>
      <c r="B2050">
        <v>30</v>
      </c>
      <c r="C2050" t="s">
        <v>123</v>
      </c>
      <c r="D2050" s="2">
        <v>91622.9</v>
      </c>
      <c r="M2050">
        <v>21</v>
      </c>
      <c r="Y2050" s="1">
        <f t="shared" si="155"/>
        <v>1091.43</v>
      </c>
      <c r="Z2050" s="2">
        <f t="shared" si="156"/>
        <v>91622.9</v>
      </c>
      <c r="AA2050" s="2">
        <f t="shared" si="157"/>
        <v>91622.91672393099</v>
      </c>
      <c r="AB2050" s="1">
        <f t="shared" si="158"/>
        <v>9.1973794345001969E-2</v>
      </c>
      <c r="AC2050" s="1" t="b">
        <f t="shared" si="159"/>
        <v>1</v>
      </c>
    </row>
    <row r="2051" spans="1:29" x14ac:dyDescent="0.25">
      <c r="A2051" s="1">
        <v>1091.2929999999999</v>
      </c>
      <c r="B2051">
        <v>2</v>
      </c>
      <c r="C2051" t="s">
        <v>27</v>
      </c>
      <c r="D2051" s="2">
        <v>91634.4</v>
      </c>
      <c r="E2051">
        <v>25409</v>
      </c>
      <c r="F2051" t="s">
        <v>15</v>
      </c>
      <c r="G2051" t="s">
        <v>18</v>
      </c>
      <c r="H2051">
        <v>117044</v>
      </c>
      <c r="I2051" t="s">
        <v>17</v>
      </c>
      <c r="J2051" t="s">
        <v>18</v>
      </c>
      <c r="K2051">
        <v>25409.74</v>
      </c>
      <c r="L2051">
        <v>117044.6</v>
      </c>
      <c r="M2051">
        <v>21</v>
      </c>
      <c r="Y2051" s="1">
        <f t="shared" ref="Y2051:Y2114" si="160">ROUND($A2051,3)+0</f>
        <v>1091.2929999999999</v>
      </c>
      <c r="Z2051" s="2">
        <f t="shared" ref="Z2051:Z2114" si="161">ROUND($D2051,1)+0</f>
        <v>91634.4</v>
      </c>
      <c r="AA2051" s="2">
        <f t="shared" ref="AA2051:AA2114" si="162">100000000/Y2051</f>
        <v>91634.418987384692</v>
      </c>
      <c r="AB2051" s="1">
        <f t="shared" ref="AB2051:AB2114" si="163">0.0005/$Y2051*AA2051+0.05</f>
        <v>9.1984333715777855E-2</v>
      </c>
      <c r="AC2051" s="1" t="b">
        <f t="shared" ref="AC2051:AC2114" si="164">ABS(Z2051-AA2051)&lt;AB2051</f>
        <v>1</v>
      </c>
    </row>
    <row r="2052" spans="1:29" x14ac:dyDescent="0.25">
      <c r="A2052" s="1">
        <v>1091.2929999999999</v>
      </c>
      <c r="B2052">
        <v>2</v>
      </c>
      <c r="C2052" t="s">
        <v>27</v>
      </c>
      <c r="D2052" s="2">
        <v>91634.4</v>
      </c>
      <c r="E2052">
        <v>26446</v>
      </c>
      <c r="F2052" t="s">
        <v>15</v>
      </c>
      <c r="G2052" t="s">
        <v>18</v>
      </c>
      <c r="H2052">
        <v>118081</v>
      </c>
      <c r="I2052" t="s">
        <v>17</v>
      </c>
      <c r="J2052" t="s">
        <v>16</v>
      </c>
      <c r="K2052">
        <v>26446.97</v>
      </c>
      <c r="L2052">
        <v>118081.1</v>
      </c>
      <c r="M2052">
        <v>21</v>
      </c>
      <c r="Y2052" s="1">
        <f t="shared" si="160"/>
        <v>1091.2929999999999</v>
      </c>
      <c r="Z2052" s="2">
        <f t="shared" si="161"/>
        <v>91634.4</v>
      </c>
      <c r="AA2052" s="2">
        <f t="shared" si="162"/>
        <v>91634.418987384692</v>
      </c>
      <c r="AB2052" s="1">
        <f t="shared" si="163"/>
        <v>9.1984333715777855E-2</v>
      </c>
      <c r="AC2052" s="1" t="b">
        <f t="shared" si="164"/>
        <v>1</v>
      </c>
    </row>
    <row r="2053" spans="1:29" x14ac:dyDescent="0.25">
      <c r="A2053" s="1">
        <v>1091.097</v>
      </c>
      <c r="B2053">
        <v>1</v>
      </c>
      <c r="D2053" s="2">
        <v>91650.9</v>
      </c>
      <c r="M2053">
        <v>21</v>
      </c>
      <c r="Y2053" s="1">
        <f t="shared" si="160"/>
        <v>1091.097</v>
      </c>
      <c r="Z2053" s="2">
        <f t="shared" si="161"/>
        <v>91650.9</v>
      </c>
      <c r="AA2053" s="2">
        <f t="shared" si="162"/>
        <v>91650.879802620664</v>
      </c>
      <c r="AB2053" s="1">
        <f t="shared" si="163"/>
        <v>9.1999418842972108E-2</v>
      </c>
      <c r="AC2053" s="1" t="b">
        <f t="shared" si="164"/>
        <v>1</v>
      </c>
    </row>
    <row r="2054" spans="1:29" x14ac:dyDescent="0.25">
      <c r="A2054" s="1">
        <v>1091.047</v>
      </c>
      <c r="B2054">
        <v>2</v>
      </c>
      <c r="D2054" s="2">
        <v>91655.1</v>
      </c>
      <c r="E2054">
        <v>23844</v>
      </c>
      <c r="F2054" t="s">
        <v>15</v>
      </c>
      <c r="G2054" t="s">
        <v>16</v>
      </c>
      <c r="H2054">
        <v>115499</v>
      </c>
      <c r="I2054" t="s">
        <v>17</v>
      </c>
      <c r="J2054" t="s">
        <v>16</v>
      </c>
      <c r="K2054">
        <v>23844.58</v>
      </c>
      <c r="L2054">
        <v>115499.8</v>
      </c>
      <c r="M2054">
        <v>21</v>
      </c>
      <c r="Y2054" s="1">
        <f t="shared" si="160"/>
        <v>1091.047</v>
      </c>
      <c r="Z2054" s="2">
        <f t="shared" si="161"/>
        <v>91655.1</v>
      </c>
      <c r="AA2054" s="2">
        <f t="shared" si="162"/>
        <v>91655.079936977971</v>
      </c>
      <c r="AB2054" s="1">
        <f t="shared" si="163"/>
        <v>9.20032683912691E-2</v>
      </c>
      <c r="AC2054" s="1" t="b">
        <f t="shared" si="164"/>
        <v>1</v>
      </c>
    </row>
    <row r="2055" spans="1:29" x14ac:dyDescent="0.25">
      <c r="A2055" s="1">
        <v>1090.876</v>
      </c>
      <c r="B2055">
        <v>2</v>
      </c>
      <c r="D2055" s="2">
        <v>91669.4</v>
      </c>
      <c r="M2055">
        <v>21</v>
      </c>
      <c r="Y2055" s="1">
        <f t="shared" si="160"/>
        <v>1090.876</v>
      </c>
      <c r="Z2055" s="2">
        <f t="shared" si="161"/>
        <v>91669.4</v>
      </c>
      <c r="AA2055" s="2">
        <f t="shared" si="162"/>
        <v>91669.447306568298</v>
      </c>
      <c r="AB2055" s="1">
        <f t="shared" si="163"/>
        <v>9.2016437847458513E-2</v>
      </c>
      <c r="AC2055" s="1" t="b">
        <f t="shared" si="164"/>
        <v>1</v>
      </c>
    </row>
    <row r="2056" spans="1:29" x14ac:dyDescent="0.25">
      <c r="A2056" s="1">
        <v>1090.8389999999999</v>
      </c>
      <c r="B2056">
        <v>2</v>
      </c>
      <c r="D2056" s="2">
        <v>91672.6</v>
      </c>
      <c r="E2056">
        <v>23651</v>
      </c>
      <c r="F2056" t="s">
        <v>15</v>
      </c>
      <c r="G2056" t="s">
        <v>18</v>
      </c>
      <c r="H2056">
        <v>115324</v>
      </c>
      <c r="I2056" t="s">
        <v>17</v>
      </c>
      <c r="J2056" t="s">
        <v>16</v>
      </c>
      <c r="K2056">
        <v>23651.88</v>
      </c>
      <c r="L2056">
        <v>115324.3</v>
      </c>
      <c r="M2056">
        <v>21</v>
      </c>
      <c r="Y2056" s="1">
        <f t="shared" si="160"/>
        <v>1090.8389999999999</v>
      </c>
      <c r="Z2056" s="2">
        <f t="shared" si="161"/>
        <v>91672.6</v>
      </c>
      <c r="AA2056" s="2">
        <f t="shared" si="162"/>
        <v>91672.556628430044</v>
      </c>
      <c r="AB2056" s="1">
        <f t="shared" si="163"/>
        <v>9.2019288193963572E-2</v>
      </c>
      <c r="AC2056" s="1" t="b">
        <f t="shared" si="164"/>
        <v>1</v>
      </c>
    </row>
    <row r="2057" spans="1:29" x14ac:dyDescent="0.25">
      <c r="A2057" s="1">
        <v>1090.739</v>
      </c>
      <c r="B2057">
        <v>5</v>
      </c>
      <c r="D2057" s="2">
        <v>91681</v>
      </c>
      <c r="E2057">
        <v>21611</v>
      </c>
      <c r="F2057" t="s">
        <v>15</v>
      </c>
      <c r="G2057" t="s">
        <v>28</v>
      </c>
      <c r="H2057">
        <v>113291</v>
      </c>
      <c r="I2057" t="s">
        <v>17</v>
      </c>
      <c r="J2057" t="s">
        <v>18</v>
      </c>
      <c r="K2057">
        <v>21611.19</v>
      </c>
      <c r="L2057">
        <v>113291.8</v>
      </c>
      <c r="M2057">
        <v>21</v>
      </c>
      <c r="Y2057" s="1">
        <f t="shared" si="160"/>
        <v>1090.739</v>
      </c>
      <c r="Z2057" s="2">
        <f t="shared" si="161"/>
        <v>91681</v>
      </c>
      <c r="AA2057" s="2">
        <f t="shared" si="162"/>
        <v>91680.961256542578</v>
      </c>
      <c r="AB2057" s="1">
        <f t="shared" si="163"/>
        <v>9.2026993284618303E-2</v>
      </c>
      <c r="AC2057" s="1" t="b">
        <f t="shared" si="164"/>
        <v>1</v>
      </c>
    </row>
    <row r="2058" spans="1:29" x14ac:dyDescent="0.25">
      <c r="A2058" s="1">
        <v>1090.626</v>
      </c>
      <c r="B2058">
        <v>50</v>
      </c>
      <c r="D2058" s="2">
        <v>91690.5</v>
      </c>
      <c r="M2058">
        <v>21</v>
      </c>
      <c r="Y2058" s="1">
        <f t="shared" si="160"/>
        <v>1090.626</v>
      </c>
      <c r="Z2058" s="2">
        <f t="shared" si="161"/>
        <v>91690.5</v>
      </c>
      <c r="AA2058" s="2">
        <f t="shared" si="162"/>
        <v>91690.460341125188</v>
      </c>
      <c r="AB2058" s="1">
        <f t="shared" si="163"/>
        <v>9.2035702587837248E-2</v>
      </c>
      <c r="AC2058" s="1" t="b">
        <f t="shared" si="164"/>
        <v>1</v>
      </c>
    </row>
    <row r="2059" spans="1:29" x14ac:dyDescent="0.25">
      <c r="A2059" s="1">
        <v>1090.5360000000001</v>
      </c>
      <c r="B2059">
        <v>200</v>
      </c>
      <c r="D2059" s="2">
        <v>91698</v>
      </c>
      <c r="E2059">
        <v>29835</v>
      </c>
      <c r="F2059" t="s">
        <v>15</v>
      </c>
      <c r="G2059" t="s">
        <v>16</v>
      </c>
      <c r="H2059">
        <v>121532</v>
      </c>
      <c r="I2059" t="s">
        <v>17</v>
      </c>
      <c r="J2059" t="s">
        <v>23</v>
      </c>
      <c r="K2059">
        <v>29835.09</v>
      </c>
      <c r="L2059">
        <v>121532.5</v>
      </c>
      <c r="M2059">
        <v>21</v>
      </c>
      <c r="Y2059" s="1">
        <f t="shared" si="160"/>
        <v>1090.5360000000001</v>
      </c>
      <c r="Z2059" s="2">
        <f t="shared" si="161"/>
        <v>91698</v>
      </c>
      <c r="AA2059" s="2">
        <f t="shared" si="162"/>
        <v>91698.027392034739</v>
      </c>
      <c r="AB2059" s="1">
        <f t="shared" si="163"/>
        <v>9.2042641137951769E-2</v>
      </c>
      <c r="AC2059" s="1" t="b">
        <f t="shared" si="164"/>
        <v>1</v>
      </c>
    </row>
    <row r="2060" spans="1:29" x14ac:dyDescent="0.25">
      <c r="A2060" s="1">
        <v>1090.366</v>
      </c>
      <c r="B2060">
        <v>10</v>
      </c>
      <c r="C2060" t="s">
        <v>27</v>
      </c>
      <c r="D2060" s="2">
        <v>91712.3</v>
      </c>
      <c r="E2060">
        <v>25934</v>
      </c>
      <c r="F2060" t="s">
        <v>15</v>
      </c>
      <c r="G2060" t="s">
        <v>28</v>
      </c>
      <c r="H2060">
        <v>117647</v>
      </c>
      <c r="I2060" t="s">
        <v>17</v>
      </c>
      <c r="J2060" t="s">
        <v>18</v>
      </c>
      <c r="K2060">
        <v>25934.98</v>
      </c>
      <c r="L2060">
        <v>117647.2</v>
      </c>
      <c r="M2060">
        <v>21</v>
      </c>
      <c r="Y2060" s="1">
        <f t="shared" si="160"/>
        <v>1090.366</v>
      </c>
      <c r="Z2060" s="2">
        <f t="shared" si="161"/>
        <v>91712.3</v>
      </c>
      <c r="AA2060" s="2">
        <f t="shared" si="162"/>
        <v>91712.32411869042</v>
      </c>
      <c r="AB2060" s="1">
        <f t="shared" si="163"/>
        <v>9.2055751976258621E-2</v>
      </c>
      <c r="AC2060" s="1" t="b">
        <f t="shared" si="164"/>
        <v>1</v>
      </c>
    </row>
    <row r="2061" spans="1:29" x14ac:dyDescent="0.25">
      <c r="A2061" s="1">
        <v>1090.366</v>
      </c>
      <c r="B2061">
        <v>10</v>
      </c>
      <c r="C2061" t="s">
        <v>27</v>
      </c>
      <c r="D2061" s="2">
        <v>91712.3</v>
      </c>
      <c r="E2061">
        <v>36640</v>
      </c>
      <c r="F2061" t="s">
        <v>15</v>
      </c>
      <c r="G2061" t="s">
        <v>18</v>
      </c>
      <c r="H2061">
        <v>128352</v>
      </c>
      <c r="I2061" t="s">
        <v>17</v>
      </c>
      <c r="J2061" t="s">
        <v>16</v>
      </c>
      <c r="K2061">
        <v>36640.379999999997</v>
      </c>
      <c r="L2061">
        <v>128352.8</v>
      </c>
      <c r="M2061">
        <v>21</v>
      </c>
      <c r="Y2061" s="1">
        <f t="shared" si="160"/>
        <v>1090.366</v>
      </c>
      <c r="Z2061" s="2">
        <f t="shared" si="161"/>
        <v>91712.3</v>
      </c>
      <c r="AA2061" s="2">
        <f t="shared" si="162"/>
        <v>91712.32411869042</v>
      </c>
      <c r="AB2061" s="1">
        <f t="shared" si="163"/>
        <v>9.2055751976258621E-2</v>
      </c>
      <c r="AC2061" s="1" t="b">
        <f t="shared" si="164"/>
        <v>1</v>
      </c>
    </row>
    <row r="2062" spans="1:29" x14ac:dyDescent="0.25">
      <c r="A2062" s="1">
        <v>1090.0060000000001</v>
      </c>
      <c r="B2062">
        <v>15</v>
      </c>
      <c r="D2062" s="2">
        <v>91742.6</v>
      </c>
      <c r="M2062">
        <v>21</v>
      </c>
      <c r="Y2062" s="1">
        <f t="shared" si="160"/>
        <v>1090.0060000000001</v>
      </c>
      <c r="Z2062" s="2">
        <f t="shared" si="161"/>
        <v>91742.6</v>
      </c>
      <c r="AA2062" s="2">
        <f t="shared" si="162"/>
        <v>91742.61426083892</v>
      </c>
      <c r="AB2062" s="1">
        <f t="shared" si="163"/>
        <v>9.2083536357065426E-2</v>
      </c>
      <c r="AC2062" s="1" t="b">
        <f t="shared" si="164"/>
        <v>1</v>
      </c>
    </row>
    <row r="2063" spans="1:29" x14ac:dyDescent="0.25">
      <c r="A2063" s="1">
        <v>1089.921</v>
      </c>
      <c r="B2063">
        <v>1</v>
      </c>
      <c r="D2063" s="2">
        <v>91749.8</v>
      </c>
      <c r="E2063">
        <v>19360</v>
      </c>
      <c r="F2063" t="s">
        <v>15</v>
      </c>
      <c r="G2063" t="s">
        <v>50</v>
      </c>
      <c r="H2063">
        <v>111110</v>
      </c>
      <c r="I2063" t="s">
        <v>17</v>
      </c>
      <c r="J2063" t="s">
        <v>50</v>
      </c>
      <c r="K2063">
        <v>19360.099999999999</v>
      </c>
      <c r="L2063">
        <v>111110.3</v>
      </c>
      <c r="M2063">
        <v>21</v>
      </c>
      <c r="Y2063" s="1">
        <f t="shared" si="160"/>
        <v>1089.921</v>
      </c>
      <c r="Z2063" s="2">
        <f t="shared" si="161"/>
        <v>91749.8</v>
      </c>
      <c r="AA2063" s="2">
        <f t="shared" si="162"/>
        <v>91749.769019956482</v>
      </c>
      <c r="AB2063" s="1">
        <f t="shared" si="163"/>
        <v>9.2090100576076833E-2</v>
      </c>
      <c r="AC2063" s="1" t="b">
        <f t="shared" si="164"/>
        <v>1</v>
      </c>
    </row>
    <row r="2064" spans="1:29" x14ac:dyDescent="0.25">
      <c r="A2064" s="1">
        <v>1089.8440000000001</v>
      </c>
      <c r="B2064">
        <v>4</v>
      </c>
      <c r="C2064" t="s">
        <v>27</v>
      </c>
      <c r="D2064" s="2">
        <v>91756.2</v>
      </c>
      <c r="E2064">
        <v>21535</v>
      </c>
      <c r="F2064" t="s">
        <v>15</v>
      </c>
      <c r="G2064" t="s">
        <v>16</v>
      </c>
      <c r="H2064">
        <v>113291</v>
      </c>
      <c r="I2064" t="s">
        <v>17</v>
      </c>
      <c r="J2064" t="s">
        <v>18</v>
      </c>
      <c r="K2064">
        <v>21535.17</v>
      </c>
      <c r="L2064">
        <v>113291.8</v>
      </c>
      <c r="M2064">
        <v>21</v>
      </c>
      <c r="Y2064" s="1">
        <f t="shared" si="160"/>
        <v>1089.8440000000001</v>
      </c>
      <c r="Z2064" s="2">
        <f t="shared" si="161"/>
        <v>91756.2</v>
      </c>
      <c r="AA2064" s="2">
        <f t="shared" si="162"/>
        <v>91756.251353404703</v>
      </c>
      <c r="AB2064" s="1">
        <f t="shared" si="163"/>
        <v>9.2096048312145906E-2</v>
      </c>
      <c r="AC2064" s="1" t="b">
        <f t="shared" si="164"/>
        <v>1</v>
      </c>
    </row>
    <row r="2065" spans="1:29" x14ac:dyDescent="0.25">
      <c r="A2065" s="1">
        <v>1089.8440000000001</v>
      </c>
      <c r="B2065">
        <v>4</v>
      </c>
      <c r="C2065" t="s">
        <v>27</v>
      </c>
      <c r="D2065" s="2">
        <v>91756.2</v>
      </c>
      <c r="E2065">
        <v>23647</v>
      </c>
      <c r="F2065" t="s">
        <v>15</v>
      </c>
      <c r="G2065" t="s">
        <v>50</v>
      </c>
      <c r="H2065">
        <v>115403</v>
      </c>
      <c r="I2065" t="s">
        <v>17</v>
      </c>
      <c r="J2065" t="s">
        <v>23</v>
      </c>
      <c r="K2065">
        <v>23647.77</v>
      </c>
      <c r="L2065">
        <v>115403.3</v>
      </c>
      <c r="M2065">
        <v>21</v>
      </c>
      <c r="Y2065" s="1">
        <f t="shared" si="160"/>
        <v>1089.8440000000001</v>
      </c>
      <c r="Z2065" s="2">
        <f t="shared" si="161"/>
        <v>91756.2</v>
      </c>
      <c r="AA2065" s="2">
        <f t="shared" si="162"/>
        <v>91756.251353404703</v>
      </c>
      <c r="AB2065" s="1">
        <f t="shared" si="163"/>
        <v>9.2096048312145906E-2</v>
      </c>
      <c r="AC2065" s="1" t="b">
        <f t="shared" si="164"/>
        <v>1</v>
      </c>
    </row>
    <row r="2066" spans="1:29" x14ac:dyDescent="0.25">
      <c r="A2066" s="1">
        <v>1089.5709999999999</v>
      </c>
      <c r="B2066">
        <v>20</v>
      </c>
      <c r="D2066" s="2">
        <v>91779.199999999997</v>
      </c>
      <c r="M2066">
        <v>21</v>
      </c>
      <c r="Y2066" s="1">
        <f t="shared" si="160"/>
        <v>1089.5709999999999</v>
      </c>
      <c r="Z2066" s="2">
        <f t="shared" si="161"/>
        <v>91779.199999999997</v>
      </c>
      <c r="AA2066" s="2">
        <f t="shared" si="162"/>
        <v>91779.241554703651</v>
      </c>
      <c r="AB2066" s="1">
        <f t="shared" si="163"/>
        <v>9.2117145901783215E-2</v>
      </c>
      <c r="AC2066" s="1" t="b">
        <f t="shared" si="164"/>
        <v>1</v>
      </c>
    </row>
    <row r="2067" spans="1:29" x14ac:dyDescent="0.25">
      <c r="A2067" s="1">
        <v>1089.4639999999999</v>
      </c>
      <c r="B2067">
        <v>15</v>
      </c>
      <c r="D2067" s="2">
        <v>91788.2</v>
      </c>
      <c r="M2067">
        <v>21</v>
      </c>
      <c r="Y2067" s="1">
        <f t="shared" si="160"/>
        <v>1089.4639999999999</v>
      </c>
      <c r="Z2067" s="2">
        <f t="shared" si="161"/>
        <v>91788.2</v>
      </c>
      <c r="AA2067" s="2">
        <f t="shared" si="162"/>
        <v>91788.255509131108</v>
      </c>
      <c r="AB2067" s="1">
        <f t="shared" si="163"/>
        <v>9.2125419247047688E-2</v>
      </c>
      <c r="AC2067" s="1" t="b">
        <f t="shared" si="164"/>
        <v>1</v>
      </c>
    </row>
    <row r="2068" spans="1:29" x14ac:dyDescent="0.25">
      <c r="A2068" s="1">
        <v>1089.3119999999999</v>
      </c>
      <c r="B2068">
        <v>8</v>
      </c>
      <c r="C2068" t="s">
        <v>27</v>
      </c>
      <c r="D2068" s="2">
        <v>91801.1</v>
      </c>
      <c r="E2068">
        <v>19308</v>
      </c>
      <c r="F2068" t="s">
        <v>15</v>
      </c>
      <c r="G2068" t="s">
        <v>23</v>
      </c>
      <c r="H2068">
        <v>111110</v>
      </c>
      <c r="I2068" t="s">
        <v>17</v>
      </c>
      <c r="J2068" t="s">
        <v>50</v>
      </c>
      <c r="K2068">
        <v>19308.93</v>
      </c>
      <c r="L2068">
        <v>111110.3</v>
      </c>
      <c r="M2068">
        <v>21</v>
      </c>
      <c r="Y2068" s="1">
        <f t="shared" si="160"/>
        <v>1089.3119999999999</v>
      </c>
      <c r="Z2068" s="2">
        <f t="shared" si="161"/>
        <v>91801.1</v>
      </c>
      <c r="AA2068" s="2">
        <f t="shared" si="162"/>
        <v>91801.063423518703</v>
      </c>
      <c r="AB2068" s="1">
        <f t="shared" si="163"/>
        <v>9.2137176228444528E-2</v>
      </c>
      <c r="AC2068" s="1" t="b">
        <f t="shared" si="164"/>
        <v>1</v>
      </c>
    </row>
    <row r="2069" spans="1:29" x14ac:dyDescent="0.25">
      <c r="A2069" s="1">
        <v>1089.3119999999999</v>
      </c>
      <c r="B2069">
        <v>8</v>
      </c>
      <c r="C2069" t="s">
        <v>27</v>
      </c>
      <c r="D2069" s="2">
        <v>91801.1</v>
      </c>
      <c r="E2069">
        <v>36652</v>
      </c>
      <c r="F2069" t="s">
        <v>15</v>
      </c>
      <c r="G2069" t="s">
        <v>28</v>
      </c>
      <c r="H2069">
        <v>128453</v>
      </c>
      <c r="I2069" t="s">
        <v>17</v>
      </c>
      <c r="J2069" t="s">
        <v>18</v>
      </c>
      <c r="K2069">
        <v>36652.29</v>
      </c>
      <c r="L2069">
        <v>128453.2</v>
      </c>
      <c r="M2069" s="9">
        <v>21</v>
      </c>
      <c r="O2069" t="s">
        <v>1080</v>
      </c>
      <c r="Y2069" s="1">
        <f t="shared" si="160"/>
        <v>1089.3119999999999</v>
      </c>
      <c r="Z2069" s="2">
        <f t="shared" si="161"/>
        <v>91801.1</v>
      </c>
      <c r="AA2069" s="2">
        <f t="shared" si="162"/>
        <v>91801.063423518703</v>
      </c>
      <c r="AB2069" s="1">
        <f t="shared" si="163"/>
        <v>9.2137176228444528E-2</v>
      </c>
      <c r="AC2069" s="1" t="b">
        <f t="shared" si="164"/>
        <v>1</v>
      </c>
    </row>
    <row r="2070" spans="1:29" x14ac:dyDescent="0.25">
      <c r="A2070" s="1">
        <v>1089.1669999999999</v>
      </c>
      <c r="B2070">
        <v>1</v>
      </c>
      <c r="D2070" s="2">
        <v>91813.3</v>
      </c>
      <c r="E2070">
        <v>36640</v>
      </c>
      <c r="F2070" t="s">
        <v>15</v>
      </c>
      <c r="G2070" t="s">
        <v>18</v>
      </c>
      <c r="H2070">
        <v>128453</v>
      </c>
      <c r="I2070" t="s">
        <v>17</v>
      </c>
      <c r="J2070" t="s">
        <v>18</v>
      </c>
      <c r="K2070">
        <v>36640.379999999997</v>
      </c>
      <c r="L2070">
        <v>128453.2</v>
      </c>
      <c r="M2070">
        <v>21</v>
      </c>
      <c r="N2070" t="s">
        <v>1083</v>
      </c>
      <c r="Y2070" s="1">
        <f t="shared" si="160"/>
        <v>1089.1669999999999</v>
      </c>
      <c r="Z2070" s="2">
        <f t="shared" si="161"/>
        <v>91813.3</v>
      </c>
      <c r="AA2070" s="2">
        <f t="shared" si="162"/>
        <v>91813.284831435405</v>
      </c>
      <c r="AB2070" s="1">
        <f t="shared" si="163"/>
        <v>9.2148396357691439E-2</v>
      </c>
      <c r="AC2070" s="1" t="b">
        <f t="shared" si="164"/>
        <v>1</v>
      </c>
    </row>
    <row r="2071" spans="1:29" x14ac:dyDescent="0.25">
      <c r="A2071" s="1">
        <v>1088.933</v>
      </c>
      <c r="B2071">
        <v>30</v>
      </c>
      <c r="D2071" s="2">
        <v>91833</v>
      </c>
      <c r="E2071">
        <v>22080</v>
      </c>
      <c r="F2071" t="s">
        <v>15</v>
      </c>
      <c r="G2071" t="s">
        <v>18</v>
      </c>
      <c r="H2071">
        <v>113914</v>
      </c>
      <c r="I2071" t="s">
        <v>17</v>
      </c>
      <c r="J2071" t="s">
        <v>28</v>
      </c>
      <c r="K2071">
        <v>22080.94</v>
      </c>
      <c r="L2071">
        <v>113914.1</v>
      </c>
      <c r="M2071">
        <v>21</v>
      </c>
      <c r="Y2071" s="1">
        <f t="shared" si="160"/>
        <v>1088.933</v>
      </c>
      <c r="Z2071" s="2">
        <f t="shared" si="161"/>
        <v>91833</v>
      </c>
      <c r="AA2071" s="2">
        <f t="shared" si="162"/>
        <v>91833.014519717923</v>
      </c>
      <c r="AB2071" s="1">
        <f t="shared" si="163"/>
        <v>9.2166512778893622E-2</v>
      </c>
      <c r="AC2071" s="1" t="b">
        <f t="shared" si="164"/>
        <v>1</v>
      </c>
    </row>
    <row r="2072" spans="1:29" x14ac:dyDescent="0.25">
      <c r="A2072" s="1">
        <v>1088.8789999999999</v>
      </c>
      <c r="B2072">
        <v>3</v>
      </c>
      <c r="D2072" s="2">
        <v>91837.6</v>
      </c>
      <c r="M2072">
        <v>21</v>
      </c>
      <c r="Y2072" s="1">
        <f t="shared" si="160"/>
        <v>1088.8789999999999</v>
      </c>
      <c r="Z2072" s="2">
        <f t="shared" si="161"/>
        <v>91837.6</v>
      </c>
      <c r="AA2072" s="2">
        <f t="shared" si="162"/>
        <v>91837.568728940503</v>
      </c>
      <c r="AB2072" s="1">
        <f t="shared" si="163"/>
        <v>9.2170695150214366E-2</v>
      </c>
      <c r="AC2072" s="1" t="b">
        <f t="shared" si="164"/>
        <v>1</v>
      </c>
    </row>
    <row r="2073" spans="1:29" x14ac:dyDescent="0.25">
      <c r="A2073" s="1">
        <v>1088.6590000000001</v>
      </c>
      <c r="B2073">
        <v>500</v>
      </c>
      <c r="D2073" s="2">
        <v>91856.1</v>
      </c>
      <c r="E2073">
        <v>29263</v>
      </c>
      <c r="F2073" t="s">
        <v>15</v>
      </c>
      <c r="G2073" t="s">
        <v>50</v>
      </c>
      <c r="H2073">
        <v>121119</v>
      </c>
      <c r="I2073" t="s">
        <v>17</v>
      </c>
      <c r="J2073" t="s">
        <v>57</v>
      </c>
      <c r="K2073">
        <v>29263.08</v>
      </c>
      <c r="L2073">
        <v>121119.2</v>
      </c>
      <c r="M2073">
        <v>21</v>
      </c>
      <c r="Y2073" s="1">
        <f t="shared" si="160"/>
        <v>1088.6590000000001</v>
      </c>
      <c r="Z2073" s="2">
        <f t="shared" si="161"/>
        <v>91856.1</v>
      </c>
      <c r="AA2073" s="2">
        <f t="shared" si="162"/>
        <v>91856.127584486967</v>
      </c>
      <c r="AB2073" s="1">
        <f t="shared" si="163"/>
        <v>9.2187740874087737E-2</v>
      </c>
      <c r="AC2073" s="1" t="b">
        <f t="shared" si="164"/>
        <v>1</v>
      </c>
    </row>
    <row r="2074" spans="1:29" x14ac:dyDescent="0.25">
      <c r="A2074" s="1">
        <v>1088.5719999999999</v>
      </c>
      <c r="B2074">
        <v>20</v>
      </c>
      <c r="D2074" s="2">
        <v>91863.5</v>
      </c>
      <c r="E2074">
        <v>21294</v>
      </c>
      <c r="F2074" t="s">
        <v>15</v>
      </c>
      <c r="G2074" t="s">
        <v>18</v>
      </c>
      <c r="H2074">
        <v>113158</v>
      </c>
      <c r="I2074" t="s">
        <v>17</v>
      </c>
      <c r="J2074" t="s">
        <v>16</v>
      </c>
      <c r="K2074">
        <v>21294.89</v>
      </c>
      <c r="L2074">
        <v>113158.8</v>
      </c>
      <c r="M2074">
        <v>21</v>
      </c>
      <c r="Y2074" s="1">
        <f t="shared" si="160"/>
        <v>1088.5719999999999</v>
      </c>
      <c r="Z2074" s="2">
        <f t="shared" si="161"/>
        <v>91863.5</v>
      </c>
      <c r="AA2074" s="2">
        <f t="shared" si="162"/>
        <v>91863.468838074114</v>
      </c>
      <c r="AB2074" s="1">
        <f t="shared" si="163"/>
        <v>9.2194484534819071E-2</v>
      </c>
      <c r="AC2074" s="1" t="b">
        <f t="shared" si="164"/>
        <v>1</v>
      </c>
    </row>
    <row r="2075" spans="1:29" x14ac:dyDescent="0.25">
      <c r="A2075" s="1">
        <v>1088.3530000000001</v>
      </c>
      <c r="B2075">
        <v>10</v>
      </c>
      <c r="D2075" s="2">
        <v>91881.9</v>
      </c>
      <c r="E2075">
        <v>23442</v>
      </c>
      <c r="F2075" t="s">
        <v>15</v>
      </c>
      <c r="G2075" t="s">
        <v>23</v>
      </c>
      <c r="H2075">
        <v>115324</v>
      </c>
      <c r="I2075" t="s">
        <v>17</v>
      </c>
      <c r="J2075" t="s">
        <v>16</v>
      </c>
      <c r="K2075">
        <v>23442.25</v>
      </c>
      <c r="L2075">
        <v>115324.3</v>
      </c>
      <c r="M2075">
        <v>21</v>
      </c>
      <c r="Y2075" s="1">
        <f t="shared" si="160"/>
        <v>1088.3530000000001</v>
      </c>
      <c r="Z2075" s="2">
        <f t="shared" si="161"/>
        <v>91881.9</v>
      </c>
      <c r="AA2075" s="2">
        <f t="shared" si="162"/>
        <v>91881.95374111156</v>
      </c>
      <c r="AB2075" s="1">
        <f t="shared" si="163"/>
        <v>9.2211467116418824E-2</v>
      </c>
      <c r="AC2075" s="1" t="b">
        <f t="shared" si="164"/>
        <v>1</v>
      </c>
    </row>
    <row r="2076" spans="1:29" x14ac:dyDescent="0.25">
      <c r="A2076" s="1">
        <v>1088.2840000000001</v>
      </c>
      <c r="B2076">
        <v>10</v>
      </c>
      <c r="D2076" s="2">
        <v>91887.8</v>
      </c>
      <c r="E2076">
        <v>23532</v>
      </c>
      <c r="F2076" t="s">
        <v>15</v>
      </c>
      <c r="G2076" t="s">
        <v>28</v>
      </c>
      <c r="H2076">
        <v>115420</v>
      </c>
      <c r="I2076" t="s">
        <v>17</v>
      </c>
      <c r="J2076" t="s">
        <v>18</v>
      </c>
      <c r="K2076">
        <v>23532.86</v>
      </c>
      <c r="L2076">
        <v>115420.8</v>
      </c>
      <c r="M2076">
        <v>21</v>
      </c>
      <c r="Y2076" s="1">
        <f t="shared" si="160"/>
        <v>1088.2840000000001</v>
      </c>
      <c r="Z2076" s="2">
        <f t="shared" si="161"/>
        <v>91887.8</v>
      </c>
      <c r="AA2076" s="2">
        <f t="shared" si="162"/>
        <v>91887.77929290515</v>
      </c>
      <c r="AB2076" s="1">
        <f t="shared" si="163"/>
        <v>9.2216819916908249E-2</v>
      </c>
      <c r="AC2076" s="1" t="b">
        <f t="shared" si="164"/>
        <v>1</v>
      </c>
    </row>
    <row r="2077" spans="1:29" x14ac:dyDescent="0.25">
      <c r="A2077" s="1">
        <v>1088.125</v>
      </c>
      <c r="B2077">
        <v>70</v>
      </c>
      <c r="D2077" s="2">
        <v>91901.2</v>
      </c>
      <c r="M2077">
        <v>21</v>
      </c>
      <c r="Y2077" s="1">
        <f t="shared" si="160"/>
        <v>1088.125</v>
      </c>
      <c r="Z2077" s="2">
        <f t="shared" si="161"/>
        <v>91901.2</v>
      </c>
      <c r="AA2077" s="2">
        <f t="shared" si="162"/>
        <v>91901.206203331414</v>
      </c>
      <c r="AB2077" s="1">
        <f t="shared" si="163"/>
        <v>9.2229158508136205E-2</v>
      </c>
      <c r="AC2077" s="1" t="b">
        <f t="shared" si="164"/>
        <v>1</v>
      </c>
    </row>
    <row r="2078" spans="1:29" x14ac:dyDescent="0.25">
      <c r="A2078" s="1">
        <v>1087.8040000000001</v>
      </c>
      <c r="B2078">
        <v>100</v>
      </c>
      <c r="D2078" s="2">
        <v>91928.3</v>
      </c>
      <c r="E2078">
        <v>36640</v>
      </c>
      <c r="F2078" t="s">
        <v>15</v>
      </c>
      <c r="G2078" t="s">
        <v>18</v>
      </c>
      <c r="H2078">
        <v>128568</v>
      </c>
      <c r="I2078" t="s">
        <v>17</v>
      </c>
      <c r="J2078" t="s">
        <v>16</v>
      </c>
      <c r="K2078">
        <v>36640.379999999997</v>
      </c>
      <c r="L2078">
        <v>128568.6</v>
      </c>
      <c r="M2078">
        <v>21</v>
      </c>
      <c r="Y2078" s="1">
        <f t="shared" si="160"/>
        <v>1087.8040000000001</v>
      </c>
      <c r="Z2078" s="2">
        <f t="shared" si="161"/>
        <v>91928.3</v>
      </c>
      <c r="AA2078" s="2">
        <f t="shared" si="162"/>
        <v>91928.325323311918</v>
      </c>
      <c r="AB2078" s="1">
        <f t="shared" si="163"/>
        <v>9.2254084983743351E-2</v>
      </c>
      <c r="AC2078" s="1" t="b">
        <f t="shared" si="164"/>
        <v>1</v>
      </c>
    </row>
    <row r="2079" spans="1:29" x14ac:dyDescent="0.25">
      <c r="A2079" s="1">
        <v>1087.6010000000001</v>
      </c>
      <c r="B2079">
        <v>4</v>
      </c>
      <c r="D2079" s="2">
        <v>91945.5</v>
      </c>
      <c r="E2079">
        <v>21611</v>
      </c>
      <c r="F2079" t="s">
        <v>15</v>
      </c>
      <c r="G2079" t="s">
        <v>28</v>
      </c>
      <c r="H2079">
        <v>113556</v>
      </c>
      <c r="I2079" t="s">
        <v>17</v>
      </c>
      <c r="J2079" t="s">
        <v>28</v>
      </c>
      <c r="K2079">
        <v>21611.19</v>
      </c>
      <c r="L2079">
        <v>113556.8</v>
      </c>
      <c r="M2079">
        <v>21</v>
      </c>
      <c r="Y2079" s="1">
        <f t="shared" si="160"/>
        <v>1087.6010000000001</v>
      </c>
      <c r="Z2079" s="2">
        <f t="shared" si="161"/>
        <v>91945.5</v>
      </c>
      <c r="AA2079" s="2">
        <f t="shared" si="162"/>
        <v>91945.483683814178</v>
      </c>
      <c r="AB2079" s="1">
        <f t="shared" si="163"/>
        <v>9.2269859849252706E-2</v>
      </c>
      <c r="AC2079" s="1" t="b">
        <f t="shared" si="164"/>
        <v>1</v>
      </c>
    </row>
    <row r="2080" spans="1:29" x14ac:dyDescent="0.25">
      <c r="A2080" s="1">
        <v>1087.5630000000001</v>
      </c>
      <c r="B2080">
        <v>1</v>
      </c>
      <c r="D2080" s="2">
        <v>91948.7</v>
      </c>
      <c r="M2080">
        <v>21</v>
      </c>
      <c r="Y2080" s="1">
        <f t="shared" si="160"/>
        <v>1087.5630000000001</v>
      </c>
      <c r="Z2080" s="2">
        <f t="shared" si="161"/>
        <v>91948.7</v>
      </c>
      <c r="AA2080" s="2">
        <f t="shared" si="162"/>
        <v>91948.696305409423</v>
      </c>
      <c r="AB2080" s="1">
        <f t="shared" si="163"/>
        <v>9.227281376132207E-2</v>
      </c>
      <c r="AC2080" s="1" t="b">
        <f t="shared" si="164"/>
        <v>1</v>
      </c>
    </row>
    <row r="2081" spans="1:29" x14ac:dyDescent="0.25">
      <c r="A2081" s="1">
        <v>1087.4649999999999</v>
      </c>
      <c r="B2081">
        <v>2</v>
      </c>
      <c r="D2081" s="2">
        <v>91957</v>
      </c>
      <c r="M2081">
        <v>21</v>
      </c>
      <c r="Y2081" s="1">
        <f t="shared" si="160"/>
        <v>1087.4649999999999</v>
      </c>
      <c r="Z2081" s="2">
        <f t="shared" si="161"/>
        <v>91957</v>
      </c>
      <c r="AA2081" s="2">
        <f t="shared" si="162"/>
        <v>91956.982523575483</v>
      </c>
      <c r="AB2081" s="1">
        <f t="shared" si="163"/>
        <v>9.2280433174205839E-2</v>
      </c>
      <c r="AC2081" s="1" t="b">
        <f t="shared" si="164"/>
        <v>1</v>
      </c>
    </row>
    <row r="2082" spans="1:29" x14ac:dyDescent="0.25">
      <c r="A2082" s="1">
        <v>1087.4179999999999</v>
      </c>
      <c r="B2082">
        <v>2</v>
      </c>
      <c r="D2082" s="2">
        <v>91961</v>
      </c>
      <c r="E2082">
        <v>23442</v>
      </c>
      <c r="F2082" t="s">
        <v>15</v>
      </c>
      <c r="G2082" t="s">
        <v>23</v>
      </c>
      <c r="H2082">
        <v>115403</v>
      </c>
      <c r="I2082" t="s">
        <v>17</v>
      </c>
      <c r="J2082" t="s">
        <v>23</v>
      </c>
      <c r="K2082">
        <v>23442.25</v>
      </c>
      <c r="L2082">
        <v>115403.3</v>
      </c>
      <c r="M2082">
        <v>21</v>
      </c>
      <c r="Y2082" s="1">
        <f t="shared" si="160"/>
        <v>1087.4179999999999</v>
      </c>
      <c r="Z2082" s="2">
        <f t="shared" si="161"/>
        <v>91961</v>
      </c>
      <c r="AA2082" s="2">
        <f t="shared" si="162"/>
        <v>91960.957056072279</v>
      </c>
      <c r="AB2082" s="1">
        <f t="shared" si="163"/>
        <v>9.2284088113343848E-2</v>
      </c>
      <c r="AC2082" s="1" t="b">
        <f t="shared" si="164"/>
        <v>1</v>
      </c>
    </row>
    <row r="2083" spans="1:29" x14ac:dyDescent="0.25">
      <c r="A2083" s="1">
        <v>1087.3620000000001</v>
      </c>
      <c r="B2083">
        <v>1</v>
      </c>
      <c r="D2083" s="2">
        <v>91965.7</v>
      </c>
      <c r="E2083">
        <v>23442</v>
      </c>
      <c r="F2083" t="s">
        <v>15</v>
      </c>
      <c r="G2083" t="s">
        <v>23</v>
      </c>
      <c r="H2083">
        <v>115408</v>
      </c>
      <c r="I2083" t="s">
        <v>17</v>
      </c>
      <c r="J2083" t="s">
        <v>50</v>
      </c>
      <c r="K2083">
        <v>23442.25</v>
      </c>
      <c r="L2083">
        <v>115408.4</v>
      </c>
      <c r="M2083">
        <v>21</v>
      </c>
      <c r="Y2083" s="1">
        <f t="shared" si="160"/>
        <v>1087.3620000000001</v>
      </c>
      <c r="Z2083" s="2">
        <f t="shared" si="161"/>
        <v>91965.7</v>
      </c>
      <c r="AA2083" s="2">
        <f t="shared" si="162"/>
        <v>91965.693117839313</v>
      </c>
      <c r="AB2083" s="1">
        <f t="shared" si="163"/>
        <v>9.2288443553222993E-2</v>
      </c>
      <c r="AC2083" s="1" t="b">
        <f t="shared" si="164"/>
        <v>1</v>
      </c>
    </row>
    <row r="2084" spans="1:29" x14ac:dyDescent="0.25">
      <c r="A2084" s="1">
        <f>$P2084</f>
        <v>1087.252</v>
      </c>
      <c r="B2084">
        <v>4</v>
      </c>
      <c r="D2084" s="6">
        <f>ROUND($Q2084,1)</f>
        <v>91975</v>
      </c>
      <c r="E2084">
        <v>19360</v>
      </c>
      <c r="F2084" t="s">
        <v>15</v>
      </c>
      <c r="G2084" t="s">
        <v>50</v>
      </c>
      <c r="H2084">
        <v>111335</v>
      </c>
      <c r="I2084" t="s">
        <v>17</v>
      </c>
      <c r="J2084" t="s">
        <v>57</v>
      </c>
      <c r="K2084">
        <v>19360.099999999999</v>
      </c>
      <c r="L2084">
        <v>111335.1</v>
      </c>
      <c r="M2084">
        <v>21</v>
      </c>
      <c r="N2084" s="4" t="s">
        <v>629</v>
      </c>
      <c r="O2084" s="4" t="s">
        <v>1082</v>
      </c>
      <c r="P2084">
        <f>RIGHT($N2084,8)+0</f>
        <v>1087.252</v>
      </c>
      <c r="Q2084" s="2">
        <f>100000000/P2084</f>
        <v>91974.997516675066</v>
      </c>
      <c r="R2084" s="2">
        <f>$L2084-$K2084</f>
        <v>91975</v>
      </c>
      <c r="S2084" s="5">
        <f>100000000/91974</f>
        <v>1087.2637919412007</v>
      </c>
      <c r="T2084" s="1">
        <f>100000000/R2084</f>
        <v>1087.2519706441967</v>
      </c>
      <c r="U2084" s="1"/>
      <c r="V2084" s="1"/>
      <c r="W2084" s="1"/>
      <c r="X2084" s="1"/>
      <c r="Y2084" s="1">
        <f t="shared" si="160"/>
        <v>1087.252</v>
      </c>
      <c r="Z2084" s="2">
        <f t="shared" si="161"/>
        <v>91975</v>
      </c>
      <c r="AA2084" s="2">
        <f t="shared" si="162"/>
        <v>91974.997516675066</v>
      </c>
      <c r="AB2084" s="1">
        <f t="shared" si="163"/>
        <v>9.2297000840961929E-2</v>
      </c>
      <c r="AC2084" s="1" t="b">
        <f t="shared" si="164"/>
        <v>1</v>
      </c>
    </row>
    <row r="2085" spans="1:29" x14ac:dyDescent="0.25">
      <c r="A2085" s="1">
        <v>1087.164</v>
      </c>
      <c r="B2085">
        <v>4</v>
      </c>
      <c r="D2085" s="2">
        <v>91982.399999999994</v>
      </c>
      <c r="E2085">
        <v>24470</v>
      </c>
      <c r="F2085" t="s">
        <v>15</v>
      </c>
      <c r="G2085" t="s">
        <v>18</v>
      </c>
      <c r="H2085">
        <v>116453</v>
      </c>
      <c r="I2085" t="s">
        <v>17</v>
      </c>
      <c r="J2085" t="s">
        <v>16</v>
      </c>
      <c r="K2085">
        <v>24470.9</v>
      </c>
      <c r="L2085">
        <v>116453.2</v>
      </c>
      <c r="M2085">
        <v>21</v>
      </c>
      <c r="Y2085" s="1">
        <f t="shared" si="160"/>
        <v>1087.164</v>
      </c>
      <c r="Z2085" s="2">
        <f t="shared" si="161"/>
        <v>91982.399999999994</v>
      </c>
      <c r="AA2085" s="2">
        <f t="shared" si="162"/>
        <v>91982.442391396326</v>
      </c>
      <c r="AB2085" s="1">
        <f t="shared" si="163"/>
        <v>9.2303848541432726E-2</v>
      </c>
      <c r="AC2085" s="1" t="b">
        <f t="shared" si="164"/>
        <v>1</v>
      </c>
    </row>
    <row r="2086" spans="1:29" x14ac:dyDescent="0.25">
      <c r="A2086" s="1">
        <v>1087.0630000000001</v>
      </c>
      <c r="B2086">
        <v>1</v>
      </c>
      <c r="D2086" s="2">
        <v>91991</v>
      </c>
      <c r="M2086">
        <v>21</v>
      </c>
      <c r="Y2086" s="1">
        <f t="shared" si="160"/>
        <v>1087.0630000000001</v>
      </c>
      <c r="Z2086" s="2">
        <f t="shared" si="161"/>
        <v>91991</v>
      </c>
      <c r="AA2086" s="2">
        <f t="shared" si="162"/>
        <v>91990.98856276038</v>
      </c>
      <c r="AB2086" s="1">
        <f t="shared" si="163"/>
        <v>9.2311709883769549E-2</v>
      </c>
      <c r="AC2086" s="1" t="b">
        <f t="shared" si="164"/>
        <v>1</v>
      </c>
    </row>
    <row r="2087" spans="1:29" x14ac:dyDescent="0.25">
      <c r="A2087" s="1">
        <v>1086.9929999999999</v>
      </c>
      <c r="B2087">
        <v>5</v>
      </c>
      <c r="D2087" s="2">
        <v>91996.9</v>
      </c>
      <c r="E2087">
        <v>21294</v>
      </c>
      <c r="F2087" t="s">
        <v>15</v>
      </c>
      <c r="G2087" t="s">
        <v>18</v>
      </c>
      <c r="H2087">
        <v>113291</v>
      </c>
      <c r="I2087" t="s">
        <v>17</v>
      </c>
      <c r="J2087" t="s">
        <v>18</v>
      </c>
      <c r="K2087">
        <v>21294.89</v>
      </c>
      <c r="L2087">
        <v>113291.8</v>
      </c>
      <c r="M2087">
        <v>21</v>
      </c>
      <c r="Y2087" s="1">
        <f t="shared" si="160"/>
        <v>1086.9929999999999</v>
      </c>
      <c r="Z2087" s="2">
        <f t="shared" si="161"/>
        <v>91996.9</v>
      </c>
      <c r="AA2087" s="2">
        <f t="shared" si="162"/>
        <v>91996.912583613695</v>
      </c>
      <c r="AB2087" s="1">
        <f t="shared" si="163"/>
        <v>9.231715962458531E-2</v>
      </c>
      <c r="AC2087" s="1" t="b">
        <f t="shared" si="164"/>
        <v>1</v>
      </c>
    </row>
    <row r="2088" spans="1:29" x14ac:dyDescent="0.25">
      <c r="A2088" s="1">
        <v>1086.7</v>
      </c>
      <c r="B2088">
        <v>40</v>
      </c>
      <c r="D2088" s="2">
        <v>92021.7</v>
      </c>
      <c r="E2088">
        <v>26446</v>
      </c>
      <c r="F2088" t="s">
        <v>15</v>
      </c>
      <c r="G2088" t="s">
        <v>18</v>
      </c>
      <c r="H2088">
        <v>118468</v>
      </c>
      <c r="I2088" t="s">
        <v>17</v>
      </c>
      <c r="J2088" t="s">
        <v>16</v>
      </c>
      <c r="K2088">
        <v>26446.97</v>
      </c>
      <c r="L2088">
        <v>118468.8</v>
      </c>
      <c r="M2088">
        <v>21</v>
      </c>
      <c r="Y2088" s="1">
        <f t="shared" si="160"/>
        <v>1086.7</v>
      </c>
      <c r="Z2088" s="2">
        <f t="shared" si="161"/>
        <v>92021.7</v>
      </c>
      <c r="AA2088" s="2">
        <f t="shared" si="162"/>
        <v>92021.717125241557</v>
      </c>
      <c r="AB2088" s="1">
        <f t="shared" si="163"/>
        <v>9.2339982113389868E-2</v>
      </c>
      <c r="AC2088" s="1" t="b">
        <f t="shared" si="164"/>
        <v>1</v>
      </c>
    </row>
    <row r="2089" spans="1:29" x14ac:dyDescent="0.25">
      <c r="A2089" s="1">
        <v>1086.598</v>
      </c>
      <c r="B2089">
        <v>10</v>
      </c>
      <c r="D2089" s="2">
        <v>92030.399999999994</v>
      </c>
      <c r="M2089">
        <v>21</v>
      </c>
      <c r="Y2089" s="1">
        <f t="shared" si="160"/>
        <v>1086.598</v>
      </c>
      <c r="Z2089" s="2">
        <f t="shared" si="161"/>
        <v>92030.399999999994</v>
      </c>
      <c r="AA2089" s="2">
        <f t="shared" si="162"/>
        <v>92030.35529238965</v>
      </c>
      <c r="AB2089" s="1">
        <f t="shared" si="163"/>
        <v>9.2347931476217365E-2</v>
      </c>
      <c r="AC2089" s="1" t="b">
        <f t="shared" si="164"/>
        <v>1</v>
      </c>
    </row>
    <row r="2090" spans="1:29" x14ac:dyDescent="0.25">
      <c r="A2090" s="1">
        <v>1086.538</v>
      </c>
      <c r="B2090">
        <v>1</v>
      </c>
      <c r="D2090" s="2">
        <v>92035.4</v>
      </c>
      <c r="M2090">
        <v>21</v>
      </c>
      <c r="Y2090" s="1">
        <f t="shared" si="160"/>
        <v>1086.538</v>
      </c>
      <c r="Z2090" s="2">
        <f t="shared" si="161"/>
        <v>92035.4</v>
      </c>
      <c r="AA2090" s="2">
        <f t="shared" si="162"/>
        <v>92035.437324787534</v>
      </c>
      <c r="AB2090" s="1">
        <f t="shared" si="163"/>
        <v>9.2352608617824475E-2</v>
      </c>
      <c r="AC2090" s="1" t="b">
        <f t="shared" si="164"/>
        <v>1</v>
      </c>
    </row>
    <row r="2091" spans="1:29" x14ac:dyDescent="0.25">
      <c r="A2091" s="1">
        <v>1086.3879999999999</v>
      </c>
      <c r="B2091">
        <v>2</v>
      </c>
      <c r="D2091" s="2">
        <v>92048.1</v>
      </c>
      <c r="M2091">
        <v>21</v>
      </c>
      <c r="Y2091" s="1">
        <f t="shared" si="160"/>
        <v>1086.3879999999999</v>
      </c>
      <c r="Z2091" s="2">
        <f t="shared" si="161"/>
        <v>92048.1</v>
      </c>
      <c r="AA2091" s="2">
        <f t="shared" si="162"/>
        <v>92048.144861688459</v>
      </c>
      <c r="AB2091" s="1">
        <f t="shared" si="163"/>
        <v>9.2364304862391916E-2</v>
      </c>
      <c r="AC2091" s="1" t="b">
        <f t="shared" si="164"/>
        <v>1</v>
      </c>
    </row>
    <row r="2092" spans="1:29" x14ac:dyDescent="0.25">
      <c r="A2092" s="1">
        <v>1086.3209999999999</v>
      </c>
      <c r="B2092">
        <v>3</v>
      </c>
      <c r="D2092" s="2">
        <v>92053.8</v>
      </c>
      <c r="E2092">
        <v>18241</v>
      </c>
      <c r="F2092" t="s">
        <v>15</v>
      </c>
      <c r="G2092" t="s">
        <v>23</v>
      </c>
      <c r="H2092">
        <v>110295</v>
      </c>
      <c r="I2092" t="s">
        <v>17</v>
      </c>
      <c r="J2092" t="s">
        <v>23</v>
      </c>
      <c r="K2092">
        <v>18241.54</v>
      </c>
      <c r="L2092">
        <v>110295.1</v>
      </c>
      <c r="M2092">
        <v>21</v>
      </c>
      <c r="Y2092" s="1">
        <f t="shared" si="160"/>
        <v>1086.3209999999999</v>
      </c>
      <c r="Z2092" s="2">
        <f t="shared" si="161"/>
        <v>92053.8</v>
      </c>
      <c r="AA2092" s="2">
        <f t="shared" si="162"/>
        <v>92053.822028663722</v>
      </c>
      <c r="AB2092" s="1">
        <f t="shared" si="163"/>
        <v>9.2369530750424478E-2</v>
      </c>
      <c r="AC2092" s="1" t="b">
        <f t="shared" si="164"/>
        <v>1</v>
      </c>
    </row>
    <row r="2093" spans="1:29" x14ac:dyDescent="0.25">
      <c r="A2093" s="1">
        <v>1086.28</v>
      </c>
      <c r="B2093">
        <v>2</v>
      </c>
      <c r="D2093" s="2">
        <v>92057.3</v>
      </c>
      <c r="E2093">
        <v>23442</v>
      </c>
      <c r="F2093" t="s">
        <v>15</v>
      </c>
      <c r="G2093" t="s">
        <v>23</v>
      </c>
      <c r="H2093">
        <v>115499</v>
      </c>
      <c r="I2093" t="s">
        <v>17</v>
      </c>
      <c r="J2093" t="s">
        <v>16</v>
      </c>
      <c r="K2093">
        <v>23442.25</v>
      </c>
      <c r="L2093">
        <v>115499.8</v>
      </c>
      <c r="M2093">
        <v>21</v>
      </c>
      <c r="Y2093" s="1">
        <f t="shared" si="160"/>
        <v>1086.28</v>
      </c>
      <c r="Z2093" s="2">
        <f t="shared" si="161"/>
        <v>92057.3</v>
      </c>
      <c r="AA2093" s="2">
        <f t="shared" si="162"/>
        <v>92057.296461317528</v>
      </c>
      <c r="AB2093" s="1">
        <f t="shared" si="163"/>
        <v>9.237272915883453E-2</v>
      </c>
      <c r="AC2093" s="1" t="b">
        <f t="shared" si="164"/>
        <v>1</v>
      </c>
    </row>
    <row r="2094" spans="1:29" x14ac:dyDescent="0.25">
      <c r="A2094" s="1">
        <v>1085.915</v>
      </c>
      <c r="B2094">
        <v>40</v>
      </c>
      <c r="D2094" s="2">
        <v>92088.2</v>
      </c>
      <c r="E2094">
        <v>23844</v>
      </c>
      <c r="F2094" t="s">
        <v>15</v>
      </c>
      <c r="G2094" t="s">
        <v>16</v>
      </c>
      <c r="H2094">
        <v>115933</v>
      </c>
      <c r="I2094" t="s">
        <v>17</v>
      </c>
      <c r="J2094" t="s">
        <v>23</v>
      </c>
      <c r="K2094">
        <v>23844.58</v>
      </c>
      <c r="L2094">
        <v>115933.2</v>
      </c>
      <c r="M2094">
        <v>21</v>
      </c>
      <c r="Y2094" s="1">
        <f t="shared" si="160"/>
        <v>1085.915</v>
      </c>
      <c r="Z2094" s="2">
        <f t="shared" si="161"/>
        <v>92088.2</v>
      </c>
      <c r="AA2094" s="2">
        <f t="shared" si="162"/>
        <v>92088.238950562431</v>
      </c>
      <c r="AB2094" s="1">
        <f t="shared" si="163"/>
        <v>9.2401218765079424E-2</v>
      </c>
      <c r="AC2094" s="1" t="b">
        <f t="shared" si="164"/>
        <v>1</v>
      </c>
    </row>
    <row r="2095" spans="1:29" x14ac:dyDescent="0.25">
      <c r="A2095" s="1">
        <v>1085.828</v>
      </c>
      <c r="B2095">
        <v>20</v>
      </c>
      <c r="D2095" s="2">
        <v>92095.6</v>
      </c>
      <c r="E2095">
        <v>21535</v>
      </c>
      <c r="F2095" t="s">
        <v>15</v>
      </c>
      <c r="G2095" t="s">
        <v>16</v>
      </c>
      <c r="H2095">
        <v>113630</v>
      </c>
      <c r="I2095" t="s">
        <v>17</v>
      </c>
      <c r="J2095" t="s">
        <v>18</v>
      </c>
      <c r="K2095">
        <v>21535.17</v>
      </c>
      <c r="L2095">
        <v>113630.9</v>
      </c>
      <c r="M2095">
        <v>21</v>
      </c>
      <c r="Y2095" s="1">
        <f t="shared" si="160"/>
        <v>1085.828</v>
      </c>
      <c r="Z2095" s="2">
        <f t="shared" si="161"/>
        <v>92095.6</v>
      </c>
      <c r="AA2095" s="2">
        <f t="shared" si="162"/>
        <v>92095.617353761365</v>
      </c>
      <c r="AB2095" s="1">
        <f t="shared" si="163"/>
        <v>9.2408013678852166E-2</v>
      </c>
      <c r="AC2095" s="1" t="b">
        <f t="shared" si="164"/>
        <v>1</v>
      </c>
    </row>
    <row r="2096" spans="1:29" x14ac:dyDescent="0.25">
      <c r="A2096" s="1">
        <v>1085.5309999999999</v>
      </c>
      <c r="B2096">
        <v>20</v>
      </c>
      <c r="D2096" s="2">
        <v>92120.8</v>
      </c>
      <c r="E2096">
        <v>19872</v>
      </c>
      <c r="F2096" t="s">
        <v>15</v>
      </c>
      <c r="G2096" t="s">
        <v>18</v>
      </c>
      <c r="H2096">
        <v>111993</v>
      </c>
      <c r="I2096" t="s">
        <v>17</v>
      </c>
      <c r="J2096" t="s">
        <v>16</v>
      </c>
      <c r="K2096">
        <v>19872.43</v>
      </c>
      <c r="L2096">
        <v>111993</v>
      </c>
      <c r="M2096">
        <v>21</v>
      </c>
      <c r="Y2096" s="1">
        <f t="shared" si="160"/>
        <v>1085.5309999999999</v>
      </c>
      <c r="Z2096" s="2">
        <f t="shared" si="161"/>
        <v>92120.8</v>
      </c>
      <c r="AA2096" s="2">
        <f t="shared" si="162"/>
        <v>92120.814605939406</v>
      </c>
      <c r="AB2096" s="1">
        <f t="shared" si="163"/>
        <v>9.2431222418309297E-2</v>
      </c>
      <c r="AC2096" s="1" t="b">
        <f t="shared" si="164"/>
        <v>1</v>
      </c>
    </row>
    <row r="2097" spans="1:29" x14ac:dyDescent="0.25">
      <c r="A2097" s="1">
        <v>1085.4349999999999</v>
      </c>
      <c r="B2097">
        <v>1</v>
      </c>
      <c r="D2097" s="2">
        <v>92129</v>
      </c>
      <c r="E2097">
        <v>21535</v>
      </c>
      <c r="F2097" t="s">
        <v>15</v>
      </c>
      <c r="G2097" t="s">
        <v>16</v>
      </c>
      <c r="H2097">
        <v>113664</v>
      </c>
      <c r="I2097" t="s">
        <v>17</v>
      </c>
      <c r="J2097" t="s">
        <v>23</v>
      </c>
      <c r="K2097">
        <v>21535.17</v>
      </c>
      <c r="L2097">
        <v>113664.3</v>
      </c>
      <c r="M2097">
        <v>21</v>
      </c>
      <c r="Y2097" s="1">
        <f t="shared" si="160"/>
        <v>1085.4349999999999</v>
      </c>
      <c r="Z2097" s="2">
        <f t="shared" si="161"/>
        <v>92129</v>
      </c>
      <c r="AA2097" s="2">
        <f t="shared" si="162"/>
        <v>92128.962121177232</v>
      </c>
      <c r="AB2097" s="1">
        <f t="shared" si="163"/>
        <v>9.2438728307626547E-2</v>
      </c>
      <c r="AC2097" s="1" t="b">
        <f t="shared" si="164"/>
        <v>1</v>
      </c>
    </row>
    <row r="2098" spans="1:29" x14ac:dyDescent="0.25">
      <c r="A2098" s="1">
        <v>1085.3800000000001</v>
      </c>
      <c r="B2098">
        <v>1</v>
      </c>
      <c r="D2098" s="2">
        <v>92133.6</v>
      </c>
      <c r="M2098">
        <v>21</v>
      </c>
      <c r="Y2098" s="1">
        <f t="shared" si="160"/>
        <v>1085.3800000000001</v>
      </c>
      <c r="Z2098" s="2">
        <f t="shared" si="161"/>
        <v>92133.6</v>
      </c>
      <c r="AA2098" s="2">
        <f t="shared" si="162"/>
        <v>92133.630617848117</v>
      </c>
      <c r="AB2098" s="1">
        <f t="shared" si="163"/>
        <v>9.244302945413041E-2</v>
      </c>
      <c r="AC2098" s="1" t="b">
        <f t="shared" si="164"/>
        <v>1</v>
      </c>
    </row>
    <row r="2099" spans="1:29" x14ac:dyDescent="0.25">
      <c r="A2099" s="1">
        <v>1085.2829999999999</v>
      </c>
      <c r="B2099">
        <v>2</v>
      </c>
      <c r="D2099" s="2">
        <v>92141.9</v>
      </c>
      <c r="M2099">
        <v>21</v>
      </c>
      <c r="Y2099" s="1">
        <f t="shared" si="160"/>
        <v>1085.2829999999999</v>
      </c>
      <c r="Z2099" s="2">
        <f t="shared" si="161"/>
        <v>92141.9</v>
      </c>
      <c r="AA2099" s="2">
        <f t="shared" si="162"/>
        <v>92141.865301492799</v>
      </c>
      <c r="AB2099" s="1">
        <f t="shared" si="163"/>
        <v>9.2450616706192215E-2</v>
      </c>
      <c r="AC2099" s="1" t="b">
        <f t="shared" si="164"/>
        <v>1</v>
      </c>
    </row>
    <row r="2100" spans="1:29" x14ac:dyDescent="0.25">
      <c r="A2100" s="1">
        <v>1085.2360000000001</v>
      </c>
      <c r="B2100">
        <v>10</v>
      </c>
      <c r="D2100" s="2">
        <v>92145.8</v>
      </c>
      <c r="M2100">
        <v>21</v>
      </c>
      <c r="Y2100" s="1">
        <f t="shared" si="160"/>
        <v>1085.2360000000001</v>
      </c>
      <c r="Z2100" s="2">
        <f t="shared" si="161"/>
        <v>92145.8</v>
      </c>
      <c r="AA2100" s="2">
        <f t="shared" si="162"/>
        <v>92145.855832279791</v>
      </c>
      <c r="AB2100" s="1">
        <f t="shared" si="163"/>
        <v>9.2454293735316467E-2</v>
      </c>
      <c r="AC2100" s="1" t="b">
        <f t="shared" si="164"/>
        <v>1</v>
      </c>
    </row>
    <row r="2101" spans="1:29" x14ac:dyDescent="0.25">
      <c r="A2101" s="1" t="s">
        <v>630</v>
      </c>
      <c r="B2101">
        <v>8</v>
      </c>
      <c r="D2101" s="2">
        <v>92156.4</v>
      </c>
      <c r="M2101">
        <v>22</v>
      </c>
      <c r="Y2101" s="1">
        <f t="shared" si="160"/>
        <v>1085.1120000000001</v>
      </c>
      <c r="Z2101" s="2">
        <f t="shared" si="161"/>
        <v>92156.4</v>
      </c>
      <c r="AA2101" s="2">
        <f t="shared" si="162"/>
        <v>92156.38570027794</v>
      </c>
      <c r="AB2101" s="1">
        <f t="shared" si="163"/>
        <v>9.2463997126691955E-2</v>
      </c>
      <c r="AC2101" s="1" t="b">
        <f t="shared" si="164"/>
        <v>1</v>
      </c>
    </row>
    <row r="2102" spans="1:29" x14ac:dyDescent="0.25">
      <c r="A2102" s="1" t="s">
        <v>631</v>
      </c>
      <c r="B2102">
        <v>15</v>
      </c>
      <c r="D2102" s="2">
        <v>92167.9</v>
      </c>
      <c r="E2102">
        <v>29263</v>
      </c>
      <c r="F2102" t="s">
        <v>15</v>
      </c>
      <c r="G2102" t="s">
        <v>50</v>
      </c>
      <c r="H2102">
        <v>121431</v>
      </c>
      <c r="I2102" t="s">
        <v>17</v>
      </c>
      <c r="J2102" t="s">
        <v>50</v>
      </c>
      <c r="K2102">
        <v>29263.08</v>
      </c>
      <c r="L2102">
        <v>121431.2</v>
      </c>
      <c r="M2102">
        <v>22</v>
      </c>
      <c r="Y2102" s="1">
        <f t="shared" si="160"/>
        <v>1084.9760000000001</v>
      </c>
      <c r="Z2102" s="2">
        <f t="shared" si="161"/>
        <v>92167.9</v>
      </c>
      <c r="AA2102" s="2">
        <f t="shared" si="162"/>
        <v>92167.937355296322</v>
      </c>
      <c r="AB2102" s="1">
        <f t="shared" si="163"/>
        <v>9.2474643381649138E-2</v>
      </c>
      <c r="AC2102" s="1" t="b">
        <f t="shared" si="164"/>
        <v>1</v>
      </c>
    </row>
    <row r="2103" spans="1:29" x14ac:dyDescent="0.25">
      <c r="A2103" s="1" t="s">
        <v>632</v>
      </c>
      <c r="B2103">
        <v>10</v>
      </c>
      <c r="C2103" t="s">
        <v>27</v>
      </c>
      <c r="D2103" s="2">
        <v>92176.7</v>
      </c>
      <c r="E2103">
        <v>23844</v>
      </c>
      <c r="F2103" t="s">
        <v>15</v>
      </c>
      <c r="G2103" t="s">
        <v>16</v>
      </c>
      <c r="H2103">
        <v>116021</v>
      </c>
      <c r="I2103" t="s">
        <v>17</v>
      </c>
      <c r="J2103" t="s">
        <v>18</v>
      </c>
      <c r="K2103">
        <v>23844.58</v>
      </c>
      <c r="L2103">
        <v>116021.8</v>
      </c>
      <c r="M2103">
        <v>22</v>
      </c>
      <c r="Y2103" s="1">
        <f t="shared" si="160"/>
        <v>1084.873</v>
      </c>
      <c r="Z2103" s="2">
        <f t="shared" si="161"/>
        <v>92176.7</v>
      </c>
      <c r="AA2103" s="2">
        <f t="shared" si="162"/>
        <v>92176.687962554133</v>
      </c>
      <c r="AB2103" s="1">
        <f t="shared" si="163"/>
        <v>9.2482709018730375E-2</v>
      </c>
      <c r="AC2103" s="1" t="b">
        <f t="shared" si="164"/>
        <v>1</v>
      </c>
    </row>
    <row r="2104" spans="1:29" x14ac:dyDescent="0.25">
      <c r="A2104" s="1" t="s">
        <v>632</v>
      </c>
      <c r="B2104">
        <v>10</v>
      </c>
      <c r="C2104" t="s">
        <v>27</v>
      </c>
      <c r="D2104" s="2">
        <v>92176.7</v>
      </c>
      <c r="E2104">
        <v>26095</v>
      </c>
      <c r="F2104" t="s">
        <v>15</v>
      </c>
      <c r="G2104" t="s">
        <v>23</v>
      </c>
      <c r="H2104">
        <v>118271</v>
      </c>
      <c r="I2104" t="s">
        <v>17</v>
      </c>
      <c r="J2104" t="s">
        <v>23</v>
      </c>
      <c r="K2104">
        <v>26095.23</v>
      </c>
      <c r="L2104">
        <v>118271.6</v>
      </c>
      <c r="M2104">
        <v>22</v>
      </c>
      <c r="Y2104" s="1">
        <f t="shared" si="160"/>
        <v>1084.873</v>
      </c>
      <c r="Z2104" s="2">
        <f t="shared" si="161"/>
        <v>92176.7</v>
      </c>
      <c r="AA2104" s="2">
        <f t="shared" si="162"/>
        <v>92176.687962554133</v>
      </c>
      <c r="AB2104" s="1">
        <f t="shared" si="163"/>
        <v>9.2482709018730375E-2</v>
      </c>
      <c r="AC2104" s="1" t="b">
        <f t="shared" si="164"/>
        <v>1</v>
      </c>
    </row>
    <row r="2105" spans="1:29" x14ac:dyDescent="0.25">
      <c r="A2105" s="1" t="s">
        <v>633</v>
      </c>
      <c r="B2105">
        <v>500</v>
      </c>
      <c r="D2105" s="2">
        <v>92215.4</v>
      </c>
      <c r="E2105">
        <v>41026</v>
      </c>
      <c r="F2105" t="s">
        <v>15</v>
      </c>
      <c r="G2105" t="s">
        <v>528</v>
      </c>
      <c r="H2105">
        <v>133242</v>
      </c>
      <c r="I2105" t="s">
        <v>17</v>
      </c>
      <c r="J2105" t="s">
        <v>634</v>
      </c>
      <c r="K2105">
        <v>41026.870000000003</v>
      </c>
      <c r="L2105">
        <v>133242.29999999999</v>
      </c>
      <c r="M2105">
        <v>22</v>
      </c>
      <c r="Y2105" s="1">
        <f t="shared" si="160"/>
        <v>1084.4169999999999</v>
      </c>
      <c r="Z2105" s="2">
        <f t="shared" si="161"/>
        <v>92215.4</v>
      </c>
      <c r="AA2105" s="2">
        <f t="shared" si="162"/>
        <v>92215.448485222936</v>
      </c>
      <c r="AB2105" s="1">
        <f t="shared" si="163"/>
        <v>9.2518444696654031E-2</v>
      </c>
      <c r="AC2105" s="1" t="b">
        <f t="shared" si="164"/>
        <v>1</v>
      </c>
    </row>
    <row r="2106" spans="1:29" x14ac:dyDescent="0.25">
      <c r="A2106" s="1" t="s">
        <v>635</v>
      </c>
      <c r="B2106">
        <v>8</v>
      </c>
      <c r="C2106" t="s">
        <v>124</v>
      </c>
      <c r="D2106" s="2">
        <v>92228.6</v>
      </c>
      <c r="E2106">
        <v>23175</v>
      </c>
      <c r="F2106" t="s">
        <v>15</v>
      </c>
      <c r="G2106" t="s">
        <v>50</v>
      </c>
      <c r="H2106">
        <v>115403</v>
      </c>
      <c r="I2106" t="s">
        <v>17</v>
      </c>
      <c r="J2106" t="s">
        <v>23</v>
      </c>
      <c r="K2106">
        <v>23175.09</v>
      </c>
      <c r="L2106">
        <v>115403.3</v>
      </c>
      <c r="M2106">
        <v>22</v>
      </c>
      <c r="Y2106" s="1">
        <f t="shared" si="160"/>
        <v>1084.2619999999999</v>
      </c>
      <c r="Z2106" s="2">
        <f t="shared" si="161"/>
        <v>92228.6</v>
      </c>
      <c r="AA2106" s="2">
        <f t="shared" si="162"/>
        <v>92228.631087320231</v>
      </c>
      <c r="AB2106" s="1">
        <f t="shared" si="163"/>
        <v>9.253060196120505E-2</v>
      </c>
      <c r="AC2106" s="1" t="b">
        <f t="shared" si="164"/>
        <v>1</v>
      </c>
    </row>
    <row r="2107" spans="1:29" x14ac:dyDescent="0.25">
      <c r="A2107" s="1" t="s">
        <v>636</v>
      </c>
      <c r="B2107">
        <v>7</v>
      </c>
      <c r="D2107" s="2">
        <v>92233.600000000006</v>
      </c>
      <c r="E2107">
        <v>23175</v>
      </c>
      <c r="F2107" t="s">
        <v>15</v>
      </c>
      <c r="G2107" t="s">
        <v>50</v>
      </c>
      <c r="H2107">
        <v>115408</v>
      </c>
      <c r="I2107" t="s">
        <v>17</v>
      </c>
      <c r="J2107" t="s">
        <v>50</v>
      </c>
      <c r="K2107">
        <v>23175.09</v>
      </c>
      <c r="L2107">
        <v>115408.4</v>
      </c>
      <c r="M2107">
        <v>22</v>
      </c>
      <c r="Y2107" s="1">
        <f t="shared" si="160"/>
        <v>1084.204</v>
      </c>
      <c r="Z2107" s="2">
        <f t="shared" si="161"/>
        <v>92233.600000000006</v>
      </c>
      <c r="AA2107" s="2">
        <f t="shared" si="162"/>
        <v>92233.564901070276</v>
      </c>
      <c r="AB2107" s="1">
        <f t="shared" si="163"/>
        <v>9.253515247179972E-2</v>
      </c>
      <c r="AC2107" s="1" t="b">
        <f t="shared" si="164"/>
        <v>1</v>
      </c>
    </row>
    <row r="2108" spans="1:29" x14ac:dyDescent="0.25">
      <c r="A2108" s="1" t="s">
        <v>637</v>
      </c>
      <c r="B2108">
        <v>20</v>
      </c>
      <c r="D2108" s="2">
        <v>92237.6</v>
      </c>
      <c r="E2108">
        <v>25409</v>
      </c>
      <c r="F2108" t="s">
        <v>15</v>
      </c>
      <c r="G2108" t="s">
        <v>18</v>
      </c>
      <c r="H2108">
        <v>117647</v>
      </c>
      <c r="I2108" t="s">
        <v>17</v>
      </c>
      <c r="J2108" t="s">
        <v>18</v>
      </c>
      <c r="K2108">
        <v>25409.74</v>
      </c>
      <c r="L2108">
        <v>117647.2</v>
      </c>
      <c r="M2108">
        <v>22</v>
      </c>
      <c r="Y2108" s="1">
        <f t="shared" si="160"/>
        <v>1084.1569999999999</v>
      </c>
      <c r="Z2108" s="2">
        <f t="shared" si="161"/>
        <v>92237.6</v>
      </c>
      <c r="AA2108" s="2">
        <f t="shared" si="162"/>
        <v>92237.563378735736</v>
      </c>
      <c r="AB2108" s="1">
        <f t="shared" si="163"/>
        <v>9.2538840490231464E-2</v>
      </c>
      <c r="AC2108" s="1" t="b">
        <f t="shared" si="164"/>
        <v>1</v>
      </c>
    </row>
    <row r="2109" spans="1:29" x14ac:dyDescent="0.25">
      <c r="A2109" s="1" t="s">
        <v>638</v>
      </c>
      <c r="B2109">
        <v>1</v>
      </c>
      <c r="D2109" s="2">
        <v>92244.9</v>
      </c>
      <c r="E2109">
        <v>21535</v>
      </c>
      <c r="F2109" t="s">
        <v>15</v>
      </c>
      <c r="G2109" t="s">
        <v>16</v>
      </c>
      <c r="H2109">
        <v>113780</v>
      </c>
      <c r="I2109" t="s">
        <v>17</v>
      </c>
      <c r="J2109" t="s">
        <v>16</v>
      </c>
      <c r="K2109">
        <v>21535.17</v>
      </c>
      <c r="L2109">
        <v>113780.5</v>
      </c>
      <c r="M2109">
        <v>22</v>
      </c>
      <c r="Y2109" s="1">
        <f t="shared" si="160"/>
        <v>1084.0709999999999</v>
      </c>
      <c r="Z2109" s="2">
        <f t="shared" si="161"/>
        <v>92244.9</v>
      </c>
      <c r="AA2109" s="2">
        <f t="shared" si="162"/>
        <v>92244.880639736701</v>
      </c>
      <c r="AB2109" s="1">
        <f t="shared" si="163"/>
        <v>9.2545590021196361E-2</v>
      </c>
      <c r="AC2109" s="1" t="b">
        <f t="shared" si="164"/>
        <v>1</v>
      </c>
    </row>
    <row r="2110" spans="1:29" x14ac:dyDescent="0.25">
      <c r="A2110" s="1" t="s">
        <v>639</v>
      </c>
      <c r="B2110">
        <v>20</v>
      </c>
      <c r="C2110" s="4" t="s">
        <v>27</v>
      </c>
      <c r="D2110" s="2">
        <v>92256.4</v>
      </c>
      <c r="E2110">
        <v>24470</v>
      </c>
      <c r="F2110" t="s">
        <v>15</v>
      </c>
      <c r="G2110" t="s">
        <v>18</v>
      </c>
      <c r="H2110">
        <v>116727</v>
      </c>
      <c r="I2110" t="s">
        <v>17</v>
      </c>
      <c r="J2110" t="s">
        <v>28</v>
      </c>
      <c r="K2110">
        <v>24470.9</v>
      </c>
      <c r="L2110">
        <v>116727.1</v>
      </c>
      <c r="M2110">
        <v>22</v>
      </c>
      <c r="Y2110" s="1">
        <f t="shared" si="160"/>
        <v>1083.9359999999999</v>
      </c>
      <c r="Z2110" s="2">
        <f t="shared" si="161"/>
        <v>92256.4</v>
      </c>
      <c r="AA2110" s="2">
        <f t="shared" si="162"/>
        <v>92256.369379741984</v>
      </c>
      <c r="AB2110" s="1">
        <f t="shared" si="163"/>
        <v>9.2556188455656968E-2</v>
      </c>
      <c r="AC2110" s="1" t="b">
        <f t="shared" si="164"/>
        <v>1</v>
      </c>
    </row>
    <row r="2111" spans="1:29" x14ac:dyDescent="0.25">
      <c r="A2111" s="5" t="s">
        <v>639</v>
      </c>
      <c r="B2111" s="4">
        <v>20</v>
      </c>
      <c r="C2111" t="s">
        <v>27</v>
      </c>
      <c r="D2111" s="6">
        <v>92256.4</v>
      </c>
      <c r="E2111">
        <v>24788</v>
      </c>
      <c r="F2111" t="s">
        <v>15</v>
      </c>
      <c r="G2111" t="s">
        <v>16</v>
      </c>
      <c r="H2111">
        <v>117044</v>
      </c>
      <c r="I2111" t="s">
        <v>17</v>
      </c>
      <c r="J2111" t="s">
        <v>18</v>
      </c>
      <c r="K2111">
        <v>24788.02</v>
      </c>
      <c r="L2111">
        <v>117044.6</v>
      </c>
      <c r="M2111" s="9">
        <v>22</v>
      </c>
      <c r="N2111" s="4" t="s">
        <v>641</v>
      </c>
      <c r="O2111" t="s">
        <v>1084</v>
      </c>
      <c r="R2111" s="2">
        <f>$L2111-$K2111</f>
        <v>92256.58</v>
      </c>
      <c r="Y2111" s="1">
        <f t="shared" si="160"/>
        <v>1083.9359999999999</v>
      </c>
      <c r="Z2111" s="2">
        <f t="shared" si="161"/>
        <v>92256.4</v>
      </c>
      <c r="AA2111" s="2">
        <f t="shared" si="162"/>
        <v>92256.369379741984</v>
      </c>
      <c r="AB2111" s="1">
        <f t="shared" si="163"/>
        <v>9.2556188455656968E-2</v>
      </c>
      <c r="AC2111" s="1" t="b">
        <f t="shared" si="164"/>
        <v>1</v>
      </c>
    </row>
    <row r="2112" spans="1:29" x14ac:dyDescent="0.25">
      <c r="A2112" s="1" t="s">
        <v>640</v>
      </c>
      <c r="B2112">
        <v>40</v>
      </c>
      <c r="C2112" s="4"/>
      <c r="D2112" s="2">
        <v>92261.5</v>
      </c>
      <c r="E2112">
        <v>21294</v>
      </c>
      <c r="F2112" t="s">
        <v>15</v>
      </c>
      <c r="G2112" t="s">
        <v>18</v>
      </c>
      <c r="H2112">
        <v>113556</v>
      </c>
      <c r="I2112" t="s">
        <v>17</v>
      </c>
      <c r="J2112" t="s">
        <v>28</v>
      </c>
      <c r="K2112">
        <v>21294.89</v>
      </c>
      <c r="L2112">
        <v>113556.8</v>
      </c>
      <c r="M2112">
        <v>22</v>
      </c>
      <c r="O2112" t="s">
        <v>1085</v>
      </c>
      <c r="Y2112" s="1">
        <f t="shared" si="160"/>
        <v>1083.876</v>
      </c>
      <c r="Z2112" s="2">
        <f t="shared" si="161"/>
        <v>92261.5</v>
      </c>
      <c r="AA2112" s="2">
        <f t="shared" si="162"/>
        <v>92261.476405050023</v>
      </c>
      <c r="AB2112" s="1">
        <f t="shared" si="163"/>
        <v>9.2560900142198005E-2</v>
      </c>
      <c r="AC2112" s="1" t="b">
        <f t="shared" si="164"/>
        <v>1</v>
      </c>
    </row>
    <row r="2113" spans="1:29" x14ac:dyDescent="0.25">
      <c r="A2113" s="1" t="s">
        <v>642</v>
      </c>
      <c r="B2113">
        <v>10</v>
      </c>
      <c r="C2113" t="s">
        <v>27</v>
      </c>
      <c r="D2113" s="2">
        <v>92266.7</v>
      </c>
      <c r="E2113">
        <v>23532</v>
      </c>
      <c r="F2113" t="s">
        <v>15</v>
      </c>
      <c r="G2113" t="s">
        <v>28</v>
      </c>
      <c r="H2113">
        <v>115800</v>
      </c>
      <c r="I2113" t="s">
        <v>17</v>
      </c>
      <c r="J2113" t="s">
        <v>28</v>
      </c>
      <c r="K2113">
        <v>23532.86</v>
      </c>
      <c r="L2113">
        <v>115800</v>
      </c>
      <c r="M2113">
        <v>22</v>
      </c>
      <c r="Y2113" s="1">
        <f t="shared" si="160"/>
        <v>1083.8150000000001</v>
      </c>
      <c r="Z2113" s="2">
        <f t="shared" si="161"/>
        <v>92266.7</v>
      </c>
      <c r="AA2113" s="2">
        <f t="shared" si="162"/>
        <v>92266.669127111178</v>
      </c>
      <c r="AB2113" s="1">
        <f t="shared" si="163"/>
        <v>9.2565691159059049E-2</v>
      </c>
      <c r="AC2113" s="1" t="b">
        <f t="shared" si="164"/>
        <v>1</v>
      </c>
    </row>
    <row r="2114" spans="1:29" x14ac:dyDescent="0.25">
      <c r="A2114" s="1" t="s">
        <v>642</v>
      </c>
      <c r="B2114">
        <v>10</v>
      </c>
      <c r="C2114" t="s">
        <v>27</v>
      </c>
      <c r="D2114" s="2">
        <v>92266.7</v>
      </c>
      <c r="E2114">
        <v>25934</v>
      </c>
      <c r="F2114" t="s">
        <v>15</v>
      </c>
      <c r="G2114" t="s">
        <v>28</v>
      </c>
      <c r="H2114">
        <v>118201</v>
      </c>
      <c r="I2114" t="s">
        <v>17</v>
      </c>
      <c r="J2114" t="s">
        <v>29</v>
      </c>
      <c r="K2114">
        <v>25934.98</v>
      </c>
      <c r="L2114">
        <v>118201.4</v>
      </c>
      <c r="M2114">
        <v>22</v>
      </c>
      <c r="Y2114" s="1">
        <f t="shared" si="160"/>
        <v>1083.8150000000001</v>
      </c>
      <c r="Z2114" s="2">
        <f t="shared" si="161"/>
        <v>92266.7</v>
      </c>
      <c r="AA2114" s="2">
        <f t="shared" si="162"/>
        <v>92266.669127111178</v>
      </c>
      <c r="AB2114" s="1">
        <f t="shared" si="163"/>
        <v>9.2565691159059049E-2</v>
      </c>
      <c r="AC2114" s="1" t="b">
        <f t="shared" si="164"/>
        <v>1</v>
      </c>
    </row>
    <row r="2115" spans="1:29" x14ac:dyDescent="0.25">
      <c r="A2115" s="1" t="s">
        <v>643</v>
      </c>
      <c r="B2115">
        <v>20</v>
      </c>
      <c r="D2115" s="2">
        <v>92272.4</v>
      </c>
      <c r="M2115">
        <v>22</v>
      </c>
      <c r="Y2115" s="1">
        <f t="shared" ref="Y2115:Y2178" si="165">ROUND($A2115,3)+0</f>
        <v>1083.7470000000001</v>
      </c>
      <c r="Z2115" s="2">
        <f t="shared" ref="Z2115:Z2178" si="166">ROUND($D2115,1)+0</f>
        <v>92272.4</v>
      </c>
      <c r="AA2115" s="2">
        <f t="shared" ref="AA2115:AA2178" si="167">100000000/Y2115</f>
        <v>92272.458424337034</v>
      </c>
      <c r="AB2115" s="1">
        <f t="shared" ref="AB2115:AB2178" si="168">0.0005/$Y2115*AA2115+0.05</f>
        <v>9.2571032918355042E-2</v>
      </c>
      <c r="AC2115" s="1" t="b">
        <f t="shared" ref="AC2115:AC2178" si="169">ABS(Z2115-AA2115)&lt;AB2115</f>
        <v>1</v>
      </c>
    </row>
    <row r="2116" spans="1:29" x14ac:dyDescent="0.25">
      <c r="A2116" s="1" t="s">
        <v>644</v>
      </c>
      <c r="B2116">
        <v>2</v>
      </c>
      <c r="D2116" s="2">
        <v>92276.7</v>
      </c>
      <c r="E2116">
        <v>25409</v>
      </c>
      <c r="F2116" t="s">
        <v>15</v>
      </c>
      <c r="G2116" t="s">
        <v>18</v>
      </c>
      <c r="H2116">
        <v>117686</v>
      </c>
      <c r="I2116" t="s">
        <v>17</v>
      </c>
      <c r="J2116" t="s">
        <v>28</v>
      </c>
      <c r="K2116">
        <v>25409.74</v>
      </c>
      <c r="L2116">
        <v>117686.39999999999</v>
      </c>
      <c r="M2116">
        <v>22</v>
      </c>
      <c r="Y2116" s="1">
        <f t="shared" si="165"/>
        <v>1083.6969999999999</v>
      </c>
      <c r="Z2116" s="2">
        <f t="shared" si="166"/>
        <v>92276.7</v>
      </c>
      <c r="AA2116" s="2">
        <f t="shared" si="167"/>
        <v>92276.71572404464</v>
      </c>
      <c r="AB2116" s="1">
        <f t="shared" si="168"/>
        <v>9.2574961324080746E-2</v>
      </c>
      <c r="AC2116" s="1" t="b">
        <f t="shared" si="169"/>
        <v>1</v>
      </c>
    </row>
    <row r="2117" spans="1:29" x14ac:dyDescent="0.25">
      <c r="A2117" s="1" t="s">
        <v>645</v>
      </c>
      <c r="B2117">
        <v>5</v>
      </c>
      <c r="C2117" t="s">
        <v>27</v>
      </c>
      <c r="D2117" s="2">
        <v>92289.4</v>
      </c>
      <c r="E2117">
        <v>18241</v>
      </c>
      <c r="F2117" t="s">
        <v>15</v>
      </c>
      <c r="G2117" t="s">
        <v>23</v>
      </c>
      <c r="H2117">
        <v>110530</v>
      </c>
      <c r="I2117" t="s">
        <v>17</v>
      </c>
      <c r="J2117" t="s">
        <v>50</v>
      </c>
      <c r="K2117">
        <v>18241.54</v>
      </c>
      <c r="L2117">
        <v>110530.9</v>
      </c>
      <c r="M2117">
        <v>22</v>
      </c>
      <c r="Y2117" s="1">
        <f t="shared" si="165"/>
        <v>1083.548</v>
      </c>
      <c r="Z2117" s="2">
        <f t="shared" si="166"/>
        <v>92289.4</v>
      </c>
      <c r="AA2117" s="2">
        <f t="shared" si="167"/>
        <v>92289.404807170518</v>
      </c>
      <c r="AB2117" s="1">
        <f t="shared" si="168"/>
        <v>9.2586671198308948E-2</v>
      </c>
      <c r="AC2117" s="1" t="b">
        <f t="shared" si="169"/>
        <v>1</v>
      </c>
    </row>
    <row r="2118" spans="1:29" x14ac:dyDescent="0.25">
      <c r="A2118" s="1" t="s">
        <v>645</v>
      </c>
      <c r="B2118">
        <v>5</v>
      </c>
      <c r="C2118" t="s">
        <v>27</v>
      </c>
      <c r="D2118" s="2">
        <v>92289.4</v>
      </c>
      <c r="E2118">
        <v>25033</v>
      </c>
      <c r="F2118" t="s">
        <v>15</v>
      </c>
      <c r="G2118" t="s">
        <v>16</v>
      </c>
      <c r="H2118">
        <v>117323</v>
      </c>
      <c r="I2118" t="s">
        <v>17</v>
      </c>
      <c r="J2118" t="s">
        <v>23</v>
      </c>
      <c r="K2118">
        <v>25033.91</v>
      </c>
      <c r="L2118">
        <v>117323.1</v>
      </c>
      <c r="M2118">
        <v>22</v>
      </c>
      <c r="Y2118" s="1">
        <f t="shared" si="165"/>
        <v>1083.548</v>
      </c>
      <c r="Z2118" s="2">
        <f t="shared" si="166"/>
        <v>92289.4</v>
      </c>
      <c r="AA2118" s="2">
        <f t="shared" si="167"/>
        <v>92289.404807170518</v>
      </c>
      <c r="AB2118" s="1">
        <f t="shared" si="168"/>
        <v>9.2586671198308948E-2</v>
      </c>
      <c r="AC2118" s="1" t="b">
        <f t="shared" si="169"/>
        <v>1</v>
      </c>
    </row>
    <row r="2119" spans="1:29" x14ac:dyDescent="0.25">
      <c r="A2119" s="1" t="s">
        <v>646</v>
      </c>
      <c r="B2119">
        <v>10</v>
      </c>
      <c r="D2119" s="2">
        <v>92302.6</v>
      </c>
      <c r="E2119">
        <v>21611</v>
      </c>
      <c r="F2119" t="s">
        <v>15</v>
      </c>
      <c r="G2119" t="s">
        <v>28</v>
      </c>
      <c r="H2119">
        <v>113914</v>
      </c>
      <c r="I2119" t="s">
        <v>17</v>
      </c>
      <c r="J2119" t="s">
        <v>28</v>
      </c>
      <c r="K2119">
        <v>21611.19</v>
      </c>
      <c r="L2119">
        <v>113914.1</v>
      </c>
      <c r="M2119">
        <v>22</v>
      </c>
      <c r="Y2119" s="1">
        <f t="shared" si="165"/>
        <v>1083.393</v>
      </c>
      <c r="Z2119" s="2">
        <f t="shared" si="166"/>
        <v>92302.6</v>
      </c>
      <c r="AA2119" s="2">
        <f t="shared" si="167"/>
        <v>92302.608564020629</v>
      </c>
      <c r="AB2119" s="1">
        <f t="shared" si="168"/>
        <v>9.2598857738614065E-2</v>
      </c>
      <c r="AC2119" s="1" t="b">
        <f t="shared" si="169"/>
        <v>1</v>
      </c>
    </row>
    <row r="2120" spans="1:29" x14ac:dyDescent="0.25">
      <c r="A2120" s="1" t="s">
        <v>647</v>
      </c>
      <c r="B2120">
        <v>20</v>
      </c>
      <c r="D2120" s="2">
        <v>92306.4</v>
      </c>
      <c r="M2120">
        <v>22</v>
      </c>
      <c r="Y2120" s="1">
        <f t="shared" si="165"/>
        <v>1083.348</v>
      </c>
      <c r="Z2120" s="2">
        <f t="shared" si="166"/>
        <v>92306.4</v>
      </c>
      <c r="AA2120" s="2">
        <f t="shared" si="167"/>
        <v>92306.442620469141</v>
      </c>
      <c r="AB2120" s="1">
        <f t="shared" si="168"/>
        <v>9.2602396746229818E-2</v>
      </c>
      <c r="AC2120" s="1" t="b">
        <f t="shared" si="169"/>
        <v>1</v>
      </c>
    </row>
    <row r="2121" spans="1:29" x14ac:dyDescent="0.25">
      <c r="A2121" s="1" t="s">
        <v>648</v>
      </c>
      <c r="B2121">
        <v>1</v>
      </c>
      <c r="D2121" s="2">
        <v>92311.8</v>
      </c>
      <c r="M2121">
        <v>22</v>
      </c>
      <c r="Y2121" s="1">
        <f t="shared" si="165"/>
        <v>1083.2850000000001</v>
      </c>
      <c r="Z2121" s="2">
        <f t="shared" si="166"/>
        <v>92311.8</v>
      </c>
      <c r="AA2121" s="2">
        <f t="shared" si="167"/>
        <v>92311.810834637232</v>
      </c>
      <c r="AB2121" s="1">
        <f t="shared" si="168"/>
        <v>9.2607352097849246E-2</v>
      </c>
      <c r="AC2121" s="1" t="b">
        <f t="shared" si="169"/>
        <v>1</v>
      </c>
    </row>
    <row r="2122" spans="1:29" x14ac:dyDescent="0.25">
      <c r="A2122" s="1" t="s">
        <v>649</v>
      </c>
      <c r="B2122">
        <v>10</v>
      </c>
      <c r="D2122" s="2">
        <v>92336</v>
      </c>
      <c r="E2122">
        <v>21294</v>
      </c>
      <c r="F2122" t="s">
        <v>15</v>
      </c>
      <c r="G2122" t="s">
        <v>18</v>
      </c>
      <c r="H2122">
        <v>113630</v>
      </c>
      <c r="I2122" t="s">
        <v>17</v>
      </c>
      <c r="J2122" t="s">
        <v>18</v>
      </c>
      <c r="K2122">
        <v>21294.89</v>
      </c>
      <c r="L2122">
        <v>113630.9</v>
      </c>
      <c r="M2122">
        <v>22</v>
      </c>
      <c r="Y2122" s="1">
        <f t="shared" si="165"/>
        <v>1083.001</v>
      </c>
      <c r="Z2122" s="2">
        <f t="shared" si="166"/>
        <v>92336</v>
      </c>
      <c r="AA2122" s="2">
        <f t="shared" si="167"/>
        <v>92336.018156954611</v>
      </c>
      <c r="AB2122" s="1">
        <f t="shared" si="168"/>
        <v>9.2629701245407259E-2</v>
      </c>
      <c r="AC2122" s="1" t="b">
        <f t="shared" si="169"/>
        <v>1</v>
      </c>
    </row>
    <row r="2123" spans="1:29" x14ac:dyDescent="0.25">
      <c r="A2123" s="1" t="s">
        <v>650</v>
      </c>
      <c r="B2123">
        <v>40</v>
      </c>
      <c r="D2123" s="2">
        <v>92346.2</v>
      </c>
      <c r="E2123">
        <v>41026</v>
      </c>
      <c r="F2123" t="s">
        <v>15</v>
      </c>
      <c r="G2123" t="s">
        <v>528</v>
      </c>
      <c r="H2123">
        <v>133373</v>
      </c>
      <c r="I2123" t="s">
        <v>17</v>
      </c>
      <c r="J2123" t="s">
        <v>528</v>
      </c>
      <c r="K2123">
        <v>41026.870000000003</v>
      </c>
      <c r="L2123">
        <v>133373</v>
      </c>
      <c r="M2123">
        <v>22</v>
      </c>
      <c r="Y2123" s="1">
        <f t="shared" si="165"/>
        <v>1082.8810000000001</v>
      </c>
      <c r="Z2123" s="2">
        <f t="shared" si="166"/>
        <v>92346.2</v>
      </c>
      <c r="AA2123" s="2">
        <f t="shared" si="167"/>
        <v>92346.250419021104</v>
      </c>
      <c r="AB2123" s="1">
        <f t="shared" si="168"/>
        <v>9.263914983226279E-2</v>
      </c>
      <c r="AC2123" s="1" t="b">
        <f t="shared" si="169"/>
        <v>1</v>
      </c>
    </row>
    <row r="2124" spans="1:29" x14ac:dyDescent="0.25">
      <c r="A2124" s="1" t="s">
        <v>651</v>
      </c>
      <c r="B2124">
        <v>8</v>
      </c>
      <c r="D2124" s="2">
        <v>92351.1</v>
      </c>
      <c r="M2124">
        <v>22</v>
      </c>
      <c r="Y2124" s="1">
        <f t="shared" si="165"/>
        <v>1082.8240000000001</v>
      </c>
      <c r="Z2124" s="2">
        <f t="shared" si="166"/>
        <v>92351.1</v>
      </c>
      <c r="AA2124" s="2">
        <f t="shared" si="167"/>
        <v>92351.111537978461</v>
      </c>
      <c r="AB2124" s="1">
        <f t="shared" si="168"/>
        <v>9.2643639011500689E-2</v>
      </c>
      <c r="AC2124" s="1" t="b">
        <f t="shared" si="169"/>
        <v>1</v>
      </c>
    </row>
    <row r="2125" spans="1:29" x14ac:dyDescent="0.25">
      <c r="A2125" s="1" t="s">
        <v>652</v>
      </c>
      <c r="B2125">
        <v>50</v>
      </c>
      <c r="D2125" s="2">
        <v>92361.4</v>
      </c>
      <c r="E2125">
        <v>21238</v>
      </c>
      <c r="F2125" t="s">
        <v>15</v>
      </c>
      <c r="G2125" t="s">
        <v>50</v>
      </c>
      <c r="H2125">
        <v>113600</v>
      </c>
      <c r="I2125" t="s">
        <v>17</v>
      </c>
      <c r="J2125" t="s">
        <v>50</v>
      </c>
      <c r="K2125">
        <v>21238.78</v>
      </c>
      <c r="L2125">
        <v>113600.3</v>
      </c>
      <c r="M2125">
        <v>22</v>
      </c>
      <c r="Y2125" s="1">
        <f t="shared" si="165"/>
        <v>1082.704</v>
      </c>
      <c r="Z2125" s="2">
        <f t="shared" si="166"/>
        <v>92361.4</v>
      </c>
      <c r="AA2125" s="2">
        <f t="shared" si="167"/>
        <v>92361.347145664928</v>
      </c>
      <c r="AB2125" s="1">
        <f t="shared" si="168"/>
        <v>9.2653092232810139E-2</v>
      </c>
      <c r="AC2125" s="1" t="b">
        <f t="shared" si="169"/>
        <v>1</v>
      </c>
    </row>
    <row r="2126" spans="1:29" x14ac:dyDescent="0.25">
      <c r="A2126" s="1" t="s">
        <v>653</v>
      </c>
      <c r="B2126">
        <v>8</v>
      </c>
      <c r="D2126" s="2">
        <v>92383.4</v>
      </c>
      <c r="E2126">
        <v>25934</v>
      </c>
      <c r="F2126" t="s">
        <v>15</v>
      </c>
      <c r="G2126" t="s">
        <v>28</v>
      </c>
      <c r="H2126">
        <v>118318</v>
      </c>
      <c r="I2126" t="s">
        <v>17</v>
      </c>
      <c r="J2126" t="s">
        <v>18</v>
      </c>
      <c r="K2126">
        <v>25934.98</v>
      </c>
      <c r="L2126">
        <v>118318.6</v>
      </c>
      <c r="M2126">
        <v>22</v>
      </c>
      <c r="Y2126" s="1">
        <f t="shared" si="165"/>
        <v>1082.4449999999999</v>
      </c>
      <c r="Z2126" s="2">
        <f t="shared" si="166"/>
        <v>92383.4</v>
      </c>
      <c r="AA2126" s="2">
        <f t="shared" si="167"/>
        <v>92383.4467340142</v>
      </c>
      <c r="AB2126" s="1">
        <f t="shared" si="168"/>
        <v>9.2673506152282203E-2</v>
      </c>
      <c r="AC2126" s="1" t="b">
        <f t="shared" si="169"/>
        <v>1</v>
      </c>
    </row>
    <row r="2127" spans="1:29" x14ac:dyDescent="0.25">
      <c r="A2127" s="1" t="s">
        <v>654</v>
      </c>
      <c r="B2127">
        <v>20</v>
      </c>
      <c r="D2127" s="2">
        <v>92413.7</v>
      </c>
      <c r="E2127">
        <v>18921</v>
      </c>
      <c r="F2127" t="s">
        <v>15</v>
      </c>
      <c r="G2127" t="s">
        <v>57</v>
      </c>
      <c r="H2127">
        <v>111335</v>
      </c>
      <c r="I2127" t="s">
        <v>17</v>
      </c>
      <c r="J2127" t="s">
        <v>57</v>
      </c>
      <c r="K2127">
        <v>18921.240000000002</v>
      </c>
      <c r="L2127">
        <v>111335.1</v>
      </c>
      <c r="M2127">
        <v>22</v>
      </c>
      <c r="Y2127" s="1">
        <f t="shared" si="165"/>
        <v>1082.0909999999999</v>
      </c>
      <c r="Z2127" s="2">
        <f t="shared" si="166"/>
        <v>92413.7</v>
      </c>
      <c r="AA2127" s="2">
        <f t="shared" si="167"/>
        <v>92413.669460331905</v>
      </c>
      <c r="AB2127" s="1">
        <f t="shared" si="168"/>
        <v>9.2701431515617411E-2</v>
      </c>
      <c r="AC2127" s="1" t="b">
        <f t="shared" si="169"/>
        <v>1</v>
      </c>
    </row>
    <row r="2128" spans="1:29" x14ac:dyDescent="0.25">
      <c r="A2128" s="1" t="s">
        <v>655</v>
      </c>
      <c r="B2128">
        <v>10</v>
      </c>
      <c r="D2128" s="2">
        <v>92417.600000000006</v>
      </c>
      <c r="E2128">
        <v>24309</v>
      </c>
      <c r="F2128" t="s">
        <v>15</v>
      </c>
      <c r="G2128" t="s">
        <v>29</v>
      </c>
      <c r="H2128">
        <v>116727</v>
      </c>
      <c r="I2128" t="s">
        <v>17</v>
      </c>
      <c r="J2128" t="s">
        <v>28</v>
      </c>
      <c r="K2128">
        <v>24309.200000000001</v>
      </c>
      <c r="L2128">
        <v>116727.1</v>
      </c>
      <c r="M2128">
        <v>22</v>
      </c>
      <c r="Y2128" s="1">
        <f t="shared" si="165"/>
        <v>1082.0450000000001</v>
      </c>
      <c r="Z2128" s="2">
        <f t="shared" si="166"/>
        <v>92417.600000000006</v>
      </c>
      <c r="AA2128" s="2">
        <f t="shared" si="167"/>
        <v>92417.598159041445</v>
      </c>
      <c r="AB2128" s="1">
        <f t="shared" si="168"/>
        <v>9.2705062247430303E-2</v>
      </c>
      <c r="AC2128" s="1" t="b">
        <f t="shared" si="169"/>
        <v>1</v>
      </c>
    </row>
    <row r="2129" spans="1:29" x14ac:dyDescent="0.25">
      <c r="A2129" s="1" t="s">
        <v>656</v>
      </c>
      <c r="B2129">
        <v>3</v>
      </c>
      <c r="D2129" s="2">
        <v>92437.9</v>
      </c>
      <c r="M2129">
        <v>22</v>
      </c>
      <c r="Y2129" s="1">
        <f t="shared" si="165"/>
        <v>1081.807</v>
      </c>
      <c r="Z2129" s="2">
        <f t="shared" si="166"/>
        <v>92437.9</v>
      </c>
      <c r="AA2129" s="2">
        <f t="shared" si="167"/>
        <v>92437.930240791567</v>
      </c>
      <c r="AB2129" s="1">
        <f t="shared" si="168"/>
        <v>9.272385473600725E-2</v>
      </c>
      <c r="AC2129" s="1" t="b">
        <f t="shared" si="169"/>
        <v>1</v>
      </c>
    </row>
    <row r="2130" spans="1:29" x14ac:dyDescent="0.25">
      <c r="A2130" s="1" t="s">
        <v>657</v>
      </c>
      <c r="B2130">
        <v>10</v>
      </c>
      <c r="D2130" s="2">
        <v>92443.1</v>
      </c>
      <c r="E2130">
        <v>20848</v>
      </c>
      <c r="F2130" t="s">
        <v>15</v>
      </c>
      <c r="G2130" t="s">
        <v>28</v>
      </c>
      <c r="H2130">
        <v>113291</v>
      </c>
      <c r="I2130" t="s">
        <v>17</v>
      </c>
      <c r="J2130" t="s">
        <v>18</v>
      </c>
      <c r="K2130">
        <v>20848.39</v>
      </c>
      <c r="L2130">
        <v>113291.8</v>
      </c>
      <c r="M2130">
        <v>22</v>
      </c>
      <c r="Y2130" s="1">
        <f t="shared" si="165"/>
        <v>1081.7460000000001</v>
      </c>
      <c r="Z2130" s="2">
        <f t="shared" si="166"/>
        <v>92443.1</v>
      </c>
      <c r="AA2130" s="2">
        <f t="shared" si="167"/>
        <v>92443.142844993185</v>
      </c>
      <c r="AB2130" s="1">
        <f t="shared" si="168"/>
        <v>9.2728673295299074E-2</v>
      </c>
      <c r="AC2130" s="1" t="b">
        <f t="shared" si="169"/>
        <v>1</v>
      </c>
    </row>
    <row r="2131" spans="1:29" x14ac:dyDescent="0.25">
      <c r="A2131" s="1" t="s">
        <v>658</v>
      </c>
      <c r="B2131">
        <v>3</v>
      </c>
      <c r="D2131" s="2">
        <v>92457.8</v>
      </c>
      <c r="M2131">
        <v>22</v>
      </c>
      <c r="Y2131" s="1">
        <f t="shared" si="165"/>
        <v>1081.5740000000001</v>
      </c>
      <c r="Z2131" s="2">
        <f t="shared" si="166"/>
        <v>92457.8</v>
      </c>
      <c r="AA2131" s="2">
        <f t="shared" si="167"/>
        <v>92457.84384609836</v>
      </c>
      <c r="AB2131" s="1">
        <f t="shared" si="168"/>
        <v>9.2742264443347544E-2</v>
      </c>
      <c r="AC2131" s="1" t="b">
        <f t="shared" si="169"/>
        <v>1</v>
      </c>
    </row>
    <row r="2132" spans="1:29" x14ac:dyDescent="0.25">
      <c r="A2132" s="1" t="s">
        <v>659</v>
      </c>
      <c r="B2132">
        <v>20</v>
      </c>
      <c r="D2132" s="2">
        <v>92476.5</v>
      </c>
      <c r="E2132">
        <v>24250</v>
      </c>
      <c r="F2132" t="s">
        <v>15</v>
      </c>
      <c r="G2132" t="s">
        <v>29</v>
      </c>
      <c r="H2132">
        <v>116727</v>
      </c>
      <c r="I2132" t="s">
        <v>17</v>
      </c>
      <c r="J2132" t="s">
        <v>28</v>
      </c>
      <c r="K2132">
        <v>24250.62</v>
      </c>
      <c r="L2132">
        <v>116727.1</v>
      </c>
      <c r="M2132">
        <v>22</v>
      </c>
      <c r="Y2132" s="1">
        <f t="shared" si="165"/>
        <v>1081.356</v>
      </c>
      <c r="Z2132" s="2">
        <f t="shared" si="166"/>
        <v>92476.5</v>
      </c>
      <c r="AA2132" s="2">
        <f t="shared" si="167"/>
        <v>92476.483230314538</v>
      </c>
      <c r="AB2132" s="1">
        <f t="shared" si="168"/>
        <v>9.2759499753233221E-2</v>
      </c>
      <c r="AC2132" s="1" t="b">
        <f t="shared" si="169"/>
        <v>1</v>
      </c>
    </row>
    <row r="2133" spans="1:29" x14ac:dyDescent="0.25">
      <c r="A2133" s="1" t="s">
        <v>660</v>
      </c>
      <c r="B2133">
        <v>5</v>
      </c>
      <c r="D2133" s="2">
        <v>92485.4</v>
      </c>
      <c r="E2133">
        <v>21294</v>
      </c>
      <c r="F2133" t="s">
        <v>15</v>
      </c>
      <c r="G2133" t="s">
        <v>18</v>
      </c>
      <c r="H2133">
        <v>113780</v>
      </c>
      <c r="I2133" t="s">
        <v>17</v>
      </c>
      <c r="J2133" t="s">
        <v>16</v>
      </c>
      <c r="K2133">
        <v>21294.89</v>
      </c>
      <c r="L2133">
        <v>113780.5</v>
      </c>
      <c r="M2133">
        <v>22</v>
      </c>
      <c r="Y2133" s="1">
        <f t="shared" si="165"/>
        <v>1081.252</v>
      </c>
      <c r="Z2133" s="2">
        <f t="shared" si="166"/>
        <v>92485.4</v>
      </c>
      <c r="AA2133" s="2">
        <f t="shared" si="167"/>
        <v>92485.37806172845</v>
      </c>
      <c r="AB2133" s="1">
        <f t="shared" si="168"/>
        <v>9.2767725776104204E-2</v>
      </c>
      <c r="AC2133" s="1" t="b">
        <f t="shared" si="169"/>
        <v>1</v>
      </c>
    </row>
    <row r="2134" spans="1:29" x14ac:dyDescent="0.25">
      <c r="A2134" s="1" t="s">
        <v>661</v>
      </c>
      <c r="B2134">
        <v>5</v>
      </c>
      <c r="D2134" s="2">
        <v>92489</v>
      </c>
      <c r="E2134">
        <v>23532</v>
      </c>
      <c r="F2134" t="s">
        <v>15</v>
      </c>
      <c r="G2134" t="s">
        <v>28</v>
      </c>
      <c r="H2134">
        <v>116021</v>
      </c>
      <c r="I2134" t="s">
        <v>17</v>
      </c>
      <c r="J2134" t="s">
        <v>18</v>
      </c>
      <c r="K2134">
        <v>23532.86</v>
      </c>
      <c r="L2134">
        <v>116021.8</v>
      </c>
      <c r="M2134">
        <v>22</v>
      </c>
      <c r="Y2134" s="1">
        <f t="shared" si="165"/>
        <v>1081.21</v>
      </c>
      <c r="Z2134" s="2">
        <f t="shared" si="166"/>
        <v>92489</v>
      </c>
      <c r="AA2134" s="2">
        <f t="shared" si="167"/>
        <v>92488.970690245187</v>
      </c>
      <c r="AB2134" s="1">
        <f t="shared" si="168"/>
        <v>9.2771048496705172E-2</v>
      </c>
      <c r="AC2134" s="1" t="b">
        <f t="shared" si="169"/>
        <v>1</v>
      </c>
    </row>
    <row r="2135" spans="1:29" x14ac:dyDescent="0.25">
      <c r="A2135" s="1" t="s">
        <v>662</v>
      </c>
      <c r="B2135">
        <v>100</v>
      </c>
      <c r="D2135" s="2">
        <v>92515.7</v>
      </c>
      <c r="E2135">
        <v>26095</v>
      </c>
      <c r="F2135" t="s">
        <v>15</v>
      </c>
      <c r="G2135" t="s">
        <v>23</v>
      </c>
      <c r="H2135">
        <v>118610</v>
      </c>
      <c r="I2135" t="s">
        <v>17</v>
      </c>
      <c r="J2135" t="s">
        <v>50</v>
      </c>
      <c r="K2135">
        <v>26095.23</v>
      </c>
      <c r="L2135">
        <v>118610.9</v>
      </c>
      <c r="M2135">
        <v>22</v>
      </c>
      <c r="Y2135" s="1">
        <f t="shared" si="165"/>
        <v>1080.8979999999999</v>
      </c>
      <c r="Z2135" s="2">
        <f t="shared" si="166"/>
        <v>92515.7</v>
      </c>
      <c r="AA2135" s="2">
        <f t="shared" si="167"/>
        <v>92515.667528295919</v>
      </c>
      <c r="AB2135" s="1">
        <f t="shared" si="168"/>
        <v>9.2795743691030941E-2</v>
      </c>
      <c r="AC2135" s="1" t="b">
        <f t="shared" si="169"/>
        <v>1</v>
      </c>
    </row>
    <row r="2136" spans="1:29" x14ac:dyDescent="0.25">
      <c r="A2136" s="1" t="s">
        <v>663</v>
      </c>
      <c r="B2136">
        <v>6</v>
      </c>
      <c r="D2136" s="2">
        <v>92524.3</v>
      </c>
      <c r="E2136">
        <v>35828</v>
      </c>
      <c r="F2136" t="s">
        <v>15</v>
      </c>
      <c r="G2136" t="s">
        <v>16</v>
      </c>
      <c r="H2136">
        <v>128352</v>
      </c>
      <c r="I2136" t="s">
        <v>17</v>
      </c>
      <c r="J2136" t="s">
        <v>16</v>
      </c>
      <c r="K2136">
        <v>35828.46</v>
      </c>
      <c r="L2136">
        <v>128352.8</v>
      </c>
      <c r="M2136">
        <v>22</v>
      </c>
      <c r="Y2136" s="1">
        <f t="shared" si="165"/>
        <v>1080.797</v>
      </c>
      <c r="Z2136" s="2">
        <f t="shared" si="166"/>
        <v>92524.3</v>
      </c>
      <c r="AA2136" s="2">
        <f t="shared" si="167"/>
        <v>92524.313076368635</v>
      </c>
      <c r="AB2136" s="1">
        <f t="shared" si="168"/>
        <v>9.2803742551269414E-2</v>
      </c>
      <c r="AC2136" s="1" t="b">
        <f t="shared" si="169"/>
        <v>1</v>
      </c>
    </row>
    <row r="2137" spans="1:29" x14ac:dyDescent="0.25">
      <c r="A2137" s="1" t="s">
        <v>664</v>
      </c>
      <c r="B2137">
        <v>2</v>
      </c>
      <c r="D2137" s="2">
        <v>92545.2</v>
      </c>
      <c r="M2137">
        <v>22</v>
      </c>
      <c r="Y2137" s="1">
        <f t="shared" si="165"/>
        <v>1080.5530000000001</v>
      </c>
      <c r="Z2137" s="2">
        <f t="shared" si="166"/>
        <v>92545.2</v>
      </c>
      <c r="AA2137" s="2">
        <f t="shared" si="167"/>
        <v>92545.20601951037</v>
      </c>
      <c r="AB2137" s="1">
        <f t="shared" si="168"/>
        <v>9.2823075785968101E-2</v>
      </c>
      <c r="AC2137" s="1" t="b">
        <f t="shared" si="169"/>
        <v>1</v>
      </c>
    </row>
    <row r="2138" spans="1:29" x14ac:dyDescent="0.25">
      <c r="A2138" s="1" t="s">
        <v>665</v>
      </c>
      <c r="B2138">
        <v>300</v>
      </c>
      <c r="D2138" s="2">
        <v>92553.3</v>
      </c>
      <c r="E2138">
        <v>35828</v>
      </c>
      <c r="F2138" t="s">
        <v>15</v>
      </c>
      <c r="G2138" t="s">
        <v>16</v>
      </c>
      <c r="H2138">
        <v>128381</v>
      </c>
      <c r="I2138" t="s">
        <v>17</v>
      </c>
      <c r="J2138" t="s">
        <v>23</v>
      </c>
      <c r="K2138">
        <v>35828.46</v>
      </c>
      <c r="L2138">
        <v>128381.6</v>
      </c>
      <c r="M2138">
        <v>22</v>
      </c>
      <c r="Y2138" s="1">
        <f t="shared" si="165"/>
        <v>1080.4590000000001</v>
      </c>
      <c r="Z2138" s="2">
        <f t="shared" si="166"/>
        <v>92553.3</v>
      </c>
      <c r="AA2138" s="2">
        <f t="shared" si="167"/>
        <v>92553.25745817287</v>
      </c>
      <c r="AB2138" s="1">
        <f t="shared" si="168"/>
        <v>9.2830527330594159E-2</v>
      </c>
      <c r="AC2138" s="1" t="b">
        <f t="shared" si="169"/>
        <v>1</v>
      </c>
    </row>
    <row r="2139" spans="1:29" x14ac:dyDescent="0.25">
      <c r="A2139" s="1" t="s">
        <v>666</v>
      </c>
      <c r="B2139">
        <v>50</v>
      </c>
      <c r="D2139" s="2">
        <v>92576.6</v>
      </c>
      <c r="E2139">
        <v>22747</v>
      </c>
      <c r="F2139" t="s">
        <v>15</v>
      </c>
      <c r="G2139" t="s">
        <v>16</v>
      </c>
      <c r="H2139">
        <v>115324</v>
      </c>
      <c r="I2139" t="s">
        <v>17</v>
      </c>
      <c r="J2139" t="s">
        <v>16</v>
      </c>
      <c r="K2139">
        <v>22747.69</v>
      </c>
      <c r="L2139">
        <v>115324.3</v>
      </c>
      <c r="M2139">
        <v>22</v>
      </c>
      <c r="Y2139" s="1">
        <f t="shared" si="165"/>
        <v>1080.1869999999999</v>
      </c>
      <c r="Z2139" s="2">
        <f t="shared" si="166"/>
        <v>92576.6</v>
      </c>
      <c r="AA2139" s="2">
        <f t="shared" si="167"/>
        <v>92576.563132124356</v>
      </c>
      <c r="AB2139" s="1">
        <f t="shared" si="168"/>
        <v>9.285210020678103E-2</v>
      </c>
      <c r="AC2139" s="1" t="b">
        <f t="shared" si="169"/>
        <v>1</v>
      </c>
    </row>
    <row r="2140" spans="1:29" x14ac:dyDescent="0.25">
      <c r="A2140" s="1" t="s">
        <v>667</v>
      </c>
      <c r="B2140">
        <v>20</v>
      </c>
      <c r="D2140" s="2">
        <v>92583.2</v>
      </c>
      <c r="E2140">
        <v>24461</v>
      </c>
      <c r="F2140" t="s">
        <v>15</v>
      </c>
      <c r="G2140" t="s">
        <v>28</v>
      </c>
      <c r="H2140">
        <v>117044</v>
      </c>
      <c r="I2140" t="s">
        <v>17</v>
      </c>
      <c r="J2140" t="s">
        <v>18</v>
      </c>
      <c r="K2140">
        <v>24461.24</v>
      </c>
      <c r="L2140">
        <v>117044.6</v>
      </c>
      <c r="M2140">
        <v>22</v>
      </c>
      <c r="Y2140" s="1">
        <f t="shared" si="165"/>
        <v>1080.1099999999999</v>
      </c>
      <c r="Z2140" s="2">
        <f t="shared" si="166"/>
        <v>92583.2</v>
      </c>
      <c r="AA2140" s="2">
        <f t="shared" si="167"/>
        <v>92583.162826008469</v>
      </c>
      <c r="AB2140" s="1">
        <f t="shared" si="168"/>
        <v>9.2858210194335988E-2</v>
      </c>
      <c r="AC2140" s="1" t="b">
        <f t="shared" si="169"/>
        <v>1</v>
      </c>
    </row>
    <row r="2141" spans="1:29" x14ac:dyDescent="0.25">
      <c r="A2141" s="1" t="s">
        <v>668</v>
      </c>
      <c r="B2141">
        <v>2</v>
      </c>
      <c r="D2141" s="2">
        <v>92591</v>
      </c>
      <c r="M2141">
        <v>22</v>
      </c>
      <c r="Y2141" s="1">
        <f t="shared" si="165"/>
        <v>1080.019</v>
      </c>
      <c r="Z2141" s="2">
        <f t="shared" si="166"/>
        <v>92591</v>
      </c>
      <c r="AA2141" s="2">
        <f t="shared" si="167"/>
        <v>92590.963677490858</v>
      </c>
      <c r="AB2141" s="1">
        <f t="shared" si="168"/>
        <v>9.2865432773632156E-2</v>
      </c>
      <c r="AC2141" s="1" t="b">
        <f t="shared" si="169"/>
        <v>1</v>
      </c>
    </row>
    <row r="2142" spans="1:29" x14ac:dyDescent="0.25">
      <c r="A2142" s="1" t="s">
        <v>669</v>
      </c>
      <c r="B2142">
        <v>3</v>
      </c>
      <c r="D2142" s="2">
        <v>92597.1</v>
      </c>
      <c r="M2142">
        <v>22</v>
      </c>
      <c r="Y2142" s="1">
        <f t="shared" si="165"/>
        <v>1079.9469999999999</v>
      </c>
      <c r="Z2142" s="2">
        <f t="shared" si="166"/>
        <v>92597.1</v>
      </c>
      <c r="AA2142" s="2">
        <f t="shared" si="167"/>
        <v>92597.136711338622</v>
      </c>
      <c r="AB2142" s="1">
        <f t="shared" si="168"/>
        <v>9.287114863569168E-2</v>
      </c>
      <c r="AC2142" s="1" t="b">
        <f t="shared" si="169"/>
        <v>1</v>
      </c>
    </row>
    <row r="2143" spans="1:29" x14ac:dyDescent="0.25">
      <c r="A2143" s="1" t="s">
        <v>670</v>
      </c>
      <c r="B2143">
        <v>10</v>
      </c>
      <c r="D2143" s="2">
        <v>92599.4</v>
      </c>
      <c r="M2143">
        <v>22</v>
      </c>
      <c r="Y2143" s="1">
        <f t="shared" si="165"/>
        <v>1079.921</v>
      </c>
      <c r="Z2143" s="2">
        <f t="shared" si="166"/>
        <v>92599.4</v>
      </c>
      <c r="AA2143" s="2">
        <f t="shared" si="167"/>
        <v>92599.366064739923</v>
      </c>
      <c r="AB2143" s="1">
        <f t="shared" si="168"/>
        <v>9.2873212977958544E-2</v>
      </c>
      <c r="AC2143" s="1" t="b">
        <f t="shared" si="169"/>
        <v>1</v>
      </c>
    </row>
    <row r="2144" spans="1:29" x14ac:dyDescent="0.25">
      <c r="A2144" s="1" t="s">
        <v>671</v>
      </c>
      <c r="B2144">
        <v>10</v>
      </c>
      <c r="D2144" s="2">
        <v>92616</v>
      </c>
      <c r="M2144">
        <v>22</v>
      </c>
      <c r="Y2144" s="1">
        <f t="shared" si="165"/>
        <v>1079.7270000000001</v>
      </c>
      <c r="Z2144" s="2">
        <f t="shared" si="166"/>
        <v>92616</v>
      </c>
      <c r="AA2144" s="2">
        <f t="shared" si="167"/>
        <v>92616.00386023504</v>
      </c>
      <c r="AB2144" s="1">
        <f t="shared" si="168"/>
        <v>9.2888620855195364E-2</v>
      </c>
      <c r="AC2144" s="1" t="b">
        <f t="shared" si="169"/>
        <v>1</v>
      </c>
    </row>
    <row r="2145" spans="1:29" x14ac:dyDescent="0.25">
      <c r="A2145" s="1" t="s">
        <v>672</v>
      </c>
      <c r="B2145">
        <v>10</v>
      </c>
      <c r="D2145" s="2">
        <v>92618.5</v>
      </c>
      <c r="M2145">
        <v>22</v>
      </c>
      <c r="Y2145" s="1">
        <f t="shared" si="165"/>
        <v>1079.6980000000001</v>
      </c>
      <c r="Z2145" s="2">
        <f t="shared" si="166"/>
        <v>92618.5</v>
      </c>
      <c r="AA2145" s="2">
        <f t="shared" si="167"/>
        <v>92618.491467058368</v>
      </c>
      <c r="AB2145" s="1">
        <f t="shared" si="168"/>
        <v>9.2890924808167824E-2</v>
      </c>
      <c r="AC2145" s="1" t="b">
        <f t="shared" si="169"/>
        <v>1</v>
      </c>
    </row>
    <row r="2146" spans="1:29" x14ac:dyDescent="0.25">
      <c r="A2146" s="1" t="s">
        <v>673</v>
      </c>
      <c r="B2146">
        <v>100</v>
      </c>
      <c r="D2146" s="2">
        <v>92639.6</v>
      </c>
      <c r="E2146">
        <v>18241</v>
      </c>
      <c r="F2146" t="s">
        <v>15</v>
      </c>
      <c r="G2146" t="s">
        <v>23</v>
      </c>
      <c r="H2146">
        <v>110881</v>
      </c>
      <c r="I2146" t="s">
        <v>17</v>
      </c>
      <c r="J2146" t="s">
        <v>23</v>
      </c>
      <c r="K2146">
        <v>18241.54</v>
      </c>
      <c r="L2146">
        <v>110881.1</v>
      </c>
      <c r="M2146">
        <v>22</v>
      </c>
      <c r="Y2146" s="1">
        <f t="shared" si="165"/>
        <v>1079.452</v>
      </c>
      <c r="Z2146" s="2">
        <f t="shared" si="166"/>
        <v>92639.6</v>
      </c>
      <c r="AA2146" s="2">
        <f t="shared" si="167"/>
        <v>92639.598611147143</v>
      </c>
      <c r="AB2146" s="1">
        <f t="shared" si="168"/>
        <v>9.2910476154172278E-2</v>
      </c>
      <c r="AC2146" s="1" t="b">
        <f t="shared" si="169"/>
        <v>1</v>
      </c>
    </row>
    <row r="2147" spans="1:29" x14ac:dyDescent="0.25">
      <c r="A2147" s="1" t="s">
        <v>674</v>
      </c>
      <c r="B2147">
        <v>60</v>
      </c>
      <c r="D2147" s="2">
        <v>92655.4</v>
      </c>
      <c r="E2147">
        <v>22747</v>
      </c>
      <c r="F2147" t="s">
        <v>15</v>
      </c>
      <c r="G2147" t="s">
        <v>16</v>
      </c>
      <c r="H2147">
        <v>115403</v>
      </c>
      <c r="I2147" t="s">
        <v>17</v>
      </c>
      <c r="J2147" t="s">
        <v>23</v>
      </c>
      <c r="K2147">
        <v>22747.69</v>
      </c>
      <c r="L2147">
        <v>115403.3</v>
      </c>
      <c r="M2147">
        <v>22</v>
      </c>
      <c r="Y2147" s="1">
        <f t="shared" si="165"/>
        <v>1079.268</v>
      </c>
      <c r="Z2147" s="2">
        <f t="shared" si="166"/>
        <v>92655.4</v>
      </c>
      <c r="AA2147" s="2">
        <f t="shared" si="167"/>
        <v>92655.392358524477</v>
      </c>
      <c r="AB2147" s="1">
        <f t="shared" si="168"/>
        <v>9.2925108665560585E-2</v>
      </c>
      <c r="AC2147" s="1" t="b">
        <f t="shared" si="169"/>
        <v>1</v>
      </c>
    </row>
    <row r="2148" spans="1:29" x14ac:dyDescent="0.25">
      <c r="A2148" s="1" t="s">
        <v>675</v>
      </c>
      <c r="B2148">
        <v>1</v>
      </c>
      <c r="D2148" s="2">
        <v>92660.9</v>
      </c>
      <c r="E2148">
        <v>23647</v>
      </c>
      <c r="F2148" t="s">
        <v>15</v>
      </c>
      <c r="G2148" t="s">
        <v>50</v>
      </c>
      <c r="H2148">
        <v>116309</v>
      </c>
      <c r="I2148" t="s">
        <v>17</v>
      </c>
      <c r="J2148" t="s">
        <v>23</v>
      </c>
      <c r="K2148">
        <v>23647.77</v>
      </c>
      <c r="L2148">
        <v>116309.2</v>
      </c>
      <c r="M2148">
        <v>22</v>
      </c>
      <c r="Y2148" s="1">
        <f t="shared" si="165"/>
        <v>1079.204</v>
      </c>
      <c r="Z2148" s="2">
        <f t="shared" si="166"/>
        <v>92660.9</v>
      </c>
      <c r="AA2148" s="2">
        <f t="shared" si="167"/>
        <v>92660.887098268722</v>
      </c>
      <c r="AB2148" s="1">
        <f t="shared" si="168"/>
        <v>9.2930199989190526E-2</v>
      </c>
      <c r="AC2148" s="1" t="b">
        <f t="shared" si="169"/>
        <v>1</v>
      </c>
    </row>
    <row r="2149" spans="1:29" x14ac:dyDescent="0.25">
      <c r="A2149" s="1" t="s">
        <v>676</v>
      </c>
      <c r="B2149">
        <v>50</v>
      </c>
      <c r="C2149" t="s">
        <v>122</v>
      </c>
      <c r="D2149" s="2">
        <v>92671.7</v>
      </c>
      <c r="E2149">
        <v>25409</v>
      </c>
      <c r="F2149" t="s">
        <v>15</v>
      </c>
      <c r="G2149" t="s">
        <v>18</v>
      </c>
      <c r="H2149">
        <v>118081</v>
      </c>
      <c r="I2149" t="s">
        <v>17</v>
      </c>
      <c r="J2149" t="s">
        <v>16</v>
      </c>
      <c r="K2149">
        <v>25409.74</v>
      </c>
      <c r="L2149">
        <v>118081.1</v>
      </c>
      <c r="M2149">
        <v>22</v>
      </c>
      <c r="Y2149" s="1">
        <f t="shared" si="165"/>
        <v>1079.078</v>
      </c>
      <c r="Z2149" s="2">
        <f t="shared" si="166"/>
        <v>92671.7</v>
      </c>
      <c r="AA2149" s="2">
        <f t="shared" si="167"/>
        <v>92671.706771892306</v>
      </c>
      <c r="AB2149" s="1">
        <f t="shared" si="168"/>
        <v>9.2940226180077953E-2</v>
      </c>
      <c r="AC2149" s="1" t="b">
        <f t="shared" si="169"/>
        <v>1</v>
      </c>
    </row>
    <row r="2150" spans="1:29" x14ac:dyDescent="0.25">
      <c r="A2150" s="1" t="s">
        <v>677</v>
      </c>
      <c r="B2150">
        <v>50</v>
      </c>
      <c r="C2150" t="s">
        <v>122</v>
      </c>
      <c r="D2150" s="2">
        <v>92673.4</v>
      </c>
      <c r="E2150">
        <v>22747</v>
      </c>
      <c r="F2150" t="s">
        <v>15</v>
      </c>
      <c r="G2150" t="s">
        <v>16</v>
      </c>
      <c r="H2150">
        <v>115420</v>
      </c>
      <c r="I2150" t="s">
        <v>17</v>
      </c>
      <c r="J2150" t="s">
        <v>18</v>
      </c>
      <c r="K2150">
        <v>22747.69</v>
      </c>
      <c r="L2150">
        <v>115420.8</v>
      </c>
      <c r="M2150">
        <v>22</v>
      </c>
      <c r="Y2150" s="1">
        <f t="shared" si="165"/>
        <v>1079.058</v>
      </c>
      <c r="Z2150" s="2">
        <f t="shared" si="166"/>
        <v>92673.4</v>
      </c>
      <c r="AA2150" s="2">
        <f t="shared" si="167"/>
        <v>92673.424412774853</v>
      </c>
      <c r="AB2150" s="1">
        <f t="shared" si="168"/>
        <v>9.2941817961951473E-2</v>
      </c>
      <c r="AC2150" s="1" t="b">
        <f t="shared" si="169"/>
        <v>1</v>
      </c>
    </row>
    <row r="2151" spans="1:29" x14ac:dyDescent="0.25">
      <c r="A2151" s="1" t="s">
        <v>678</v>
      </c>
      <c r="B2151">
        <v>10</v>
      </c>
      <c r="D2151" s="2">
        <v>92677.3</v>
      </c>
      <c r="E2151">
        <v>21148</v>
      </c>
      <c r="F2151" t="s">
        <v>15</v>
      </c>
      <c r="G2151" t="s">
        <v>29</v>
      </c>
      <c r="H2151">
        <v>113825</v>
      </c>
      <c r="I2151" t="s">
        <v>17</v>
      </c>
      <c r="J2151" t="s">
        <v>29</v>
      </c>
      <c r="K2151">
        <v>21148.43</v>
      </c>
      <c r="L2151">
        <v>113825.5</v>
      </c>
      <c r="M2151">
        <v>22</v>
      </c>
      <c r="Y2151" s="1">
        <f t="shared" si="165"/>
        <v>1079.0129999999999</v>
      </c>
      <c r="Z2151" s="2">
        <f t="shared" si="166"/>
        <v>92677.3</v>
      </c>
      <c r="AA2151" s="2">
        <f t="shared" si="167"/>
        <v>92677.289337570546</v>
      </c>
      <c r="AB2151" s="1">
        <f t="shared" si="168"/>
        <v>9.294539979479885E-2</v>
      </c>
      <c r="AC2151" s="1" t="b">
        <f t="shared" si="169"/>
        <v>1</v>
      </c>
    </row>
    <row r="2152" spans="1:29" x14ac:dyDescent="0.25">
      <c r="A2152" s="1" t="s">
        <v>679</v>
      </c>
      <c r="B2152">
        <v>1</v>
      </c>
      <c r="D2152" s="2">
        <v>92706.6</v>
      </c>
      <c r="E2152">
        <v>17627</v>
      </c>
      <c r="F2152" t="s">
        <v>15</v>
      </c>
      <c r="G2152" t="s">
        <v>16</v>
      </c>
      <c r="H2152">
        <v>110333</v>
      </c>
      <c r="I2152" t="s">
        <v>17</v>
      </c>
      <c r="J2152" t="s">
        <v>18</v>
      </c>
      <c r="K2152">
        <v>17627</v>
      </c>
      <c r="L2152">
        <v>110333.5</v>
      </c>
      <c r="M2152">
        <v>22</v>
      </c>
      <c r="Y2152" s="1">
        <f t="shared" si="165"/>
        <v>1078.672</v>
      </c>
      <c r="Z2152" s="2">
        <f t="shared" si="166"/>
        <v>92706.6</v>
      </c>
      <c r="AA2152" s="2">
        <f t="shared" si="167"/>
        <v>92706.587359271405</v>
      </c>
      <c r="AB2152" s="1">
        <f t="shared" si="168"/>
        <v>9.2972556699011111E-2</v>
      </c>
      <c r="AC2152" s="1" t="b">
        <f t="shared" si="169"/>
        <v>1</v>
      </c>
    </row>
    <row r="2153" spans="1:29" x14ac:dyDescent="0.25">
      <c r="A2153" s="1" t="s">
        <v>680</v>
      </c>
      <c r="B2153">
        <v>2</v>
      </c>
      <c r="D2153" s="2">
        <v>92720</v>
      </c>
      <c r="M2153" s="9">
        <v>22</v>
      </c>
      <c r="O2153" t="s">
        <v>1086</v>
      </c>
      <c r="Y2153" s="1">
        <f t="shared" si="165"/>
        <v>1078.5160000000001</v>
      </c>
      <c r="Z2153" s="2">
        <f t="shared" si="166"/>
        <v>92720</v>
      </c>
      <c r="AA2153" s="2">
        <f t="shared" si="167"/>
        <v>92719.996736256115</v>
      </c>
      <c r="AB2153" s="1">
        <f t="shared" si="168"/>
        <v>9.2984988973856722E-2</v>
      </c>
      <c r="AC2153" s="1" t="b">
        <f t="shared" si="169"/>
        <v>1</v>
      </c>
    </row>
    <row r="2154" spans="1:29" x14ac:dyDescent="0.25">
      <c r="A2154" s="1" t="s">
        <v>681</v>
      </c>
      <c r="B2154">
        <v>2</v>
      </c>
      <c r="D2154" s="2">
        <v>92766.8</v>
      </c>
      <c r="M2154">
        <v>22</v>
      </c>
      <c r="Y2154" s="1">
        <f t="shared" si="165"/>
        <v>1077.972</v>
      </c>
      <c r="Z2154" s="2">
        <f t="shared" si="166"/>
        <v>92766.8</v>
      </c>
      <c r="AA2154" s="2">
        <f t="shared" si="167"/>
        <v>92766.788005625378</v>
      </c>
      <c r="AB2154" s="1">
        <f t="shared" si="168"/>
        <v>9.3028384784403201E-2</v>
      </c>
      <c r="AC2154" s="1" t="b">
        <f t="shared" si="169"/>
        <v>1</v>
      </c>
    </row>
    <row r="2155" spans="1:29" x14ac:dyDescent="0.25">
      <c r="A2155" s="1" t="s">
        <v>682</v>
      </c>
      <c r="B2155">
        <v>1</v>
      </c>
      <c r="D2155" s="2">
        <v>92777.2</v>
      </c>
      <c r="M2155">
        <v>22</v>
      </c>
      <c r="Y2155" s="1">
        <f t="shared" si="165"/>
        <v>1077.8510000000001</v>
      </c>
      <c r="Z2155" s="2">
        <f t="shared" si="166"/>
        <v>92777.2</v>
      </c>
      <c r="AA2155" s="2">
        <f t="shared" si="167"/>
        <v>92777.20204369619</v>
      </c>
      <c r="AB2155" s="1">
        <f t="shared" si="168"/>
        <v>9.3038046095284127E-2</v>
      </c>
      <c r="AC2155" s="1" t="b">
        <f t="shared" si="169"/>
        <v>1</v>
      </c>
    </row>
    <row r="2156" spans="1:29" x14ac:dyDescent="0.25">
      <c r="A2156" s="1" t="s">
        <v>683</v>
      </c>
      <c r="B2156">
        <v>40</v>
      </c>
      <c r="D2156" s="2">
        <v>92783.1</v>
      </c>
      <c r="M2156">
        <v>22</v>
      </c>
      <c r="Y2156" s="1">
        <f t="shared" si="165"/>
        <v>1077.7819999999999</v>
      </c>
      <c r="Z2156" s="2">
        <f t="shared" si="166"/>
        <v>92783.1</v>
      </c>
      <c r="AA2156" s="2">
        <f t="shared" si="167"/>
        <v>92783.141674290353</v>
      </c>
      <c r="AB2156" s="1">
        <f t="shared" si="168"/>
        <v>9.3043556894757184E-2</v>
      </c>
      <c r="AC2156" s="1" t="b">
        <f t="shared" si="169"/>
        <v>1</v>
      </c>
    </row>
    <row r="2157" spans="1:29" x14ac:dyDescent="0.25">
      <c r="A2157" s="1" t="s">
        <v>684</v>
      </c>
      <c r="B2157">
        <v>4</v>
      </c>
      <c r="D2157" s="2">
        <v>92786.6</v>
      </c>
      <c r="E2157">
        <v>24788</v>
      </c>
      <c r="F2157" t="s">
        <v>15</v>
      </c>
      <c r="G2157" t="s">
        <v>16</v>
      </c>
      <c r="H2157">
        <v>117574</v>
      </c>
      <c r="I2157" t="s">
        <v>17</v>
      </c>
      <c r="J2157" t="s">
        <v>23</v>
      </c>
      <c r="K2157">
        <v>24788.02</v>
      </c>
      <c r="L2157">
        <v>117574.5</v>
      </c>
      <c r="M2157">
        <v>22</v>
      </c>
      <c r="Y2157" s="1">
        <f t="shared" si="165"/>
        <v>1077.742</v>
      </c>
      <c r="Z2157" s="2">
        <f t="shared" si="166"/>
        <v>92786.6</v>
      </c>
      <c r="AA2157" s="2">
        <f t="shared" si="167"/>
        <v>92786.585286645597</v>
      </c>
      <c r="AB2157" s="1">
        <f t="shared" si="168"/>
        <v>9.3046752045779793E-2</v>
      </c>
      <c r="AC2157" s="1" t="b">
        <f t="shared" si="169"/>
        <v>1</v>
      </c>
    </row>
    <row r="2158" spans="1:29" x14ac:dyDescent="0.25">
      <c r="A2158" s="1" t="s">
        <v>685</v>
      </c>
      <c r="B2158">
        <v>2</v>
      </c>
      <c r="D2158" s="2">
        <v>92796.800000000003</v>
      </c>
      <c r="E2158">
        <v>22527</v>
      </c>
      <c r="F2158" t="s">
        <v>15</v>
      </c>
      <c r="G2158" t="s">
        <v>18</v>
      </c>
      <c r="H2158">
        <v>115324</v>
      </c>
      <c r="I2158" t="s">
        <v>17</v>
      </c>
      <c r="J2158" t="s">
        <v>16</v>
      </c>
      <c r="K2158">
        <v>22527.7</v>
      </c>
      <c r="L2158">
        <v>115324.3</v>
      </c>
      <c r="M2158">
        <v>22</v>
      </c>
      <c r="Y2158" s="1">
        <f t="shared" si="165"/>
        <v>1077.623</v>
      </c>
      <c r="Z2158" s="2">
        <f t="shared" si="166"/>
        <v>92796.800000000003</v>
      </c>
      <c r="AA2158" s="2">
        <f t="shared" si="167"/>
        <v>92796.831544983725</v>
      </c>
      <c r="AB2158" s="1">
        <f t="shared" si="168"/>
        <v>9.3056259723940438E-2</v>
      </c>
      <c r="AC2158" s="1" t="b">
        <f t="shared" si="169"/>
        <v>1</v>
      </c>
    </row>
    <row r="2159" spans="1:29" x14ac:dyDescent="0.25">
      <c r="A2159" s="1" t="s">
        <v>686</v>
      </c>
      <c r="B2159">
        <v>30</v>
      </c>
      <c r="D2159" s="2">
        <v>92801.3</v>
      </c>
      <c r="E2159">
        <v>23651</v>
      </c>
      <c r="F2159" t="s">
        <v>15</v>
      </c>
      <c r="G2159" t="s">
        <v>18</v>
      </c>
      <c r="H2159">
        <v>116453</v>
      </c>
      <c r="I2159" t="s">
        <v>17</v>
      </c>
      <c r="J2159" t="s">
        <v>16</v>
      </c>
      <c r="K2159">
        <v>23651.88</v>
      </c>
      <c r="L2159">
        <v>116453.2</v>
      </c>
      <c r="M2159">
        <v>22</v>
      </c>
      <c r="Y2159" s="1">
        <f t="shared" si="165"/>
        <v>1077.5709999999999</v>
      </c>
      <c r="Z2159" s="2">
        <f t="shared" si="166"/>
        <v>92801.3</v>
      </c>
      <c r="AA2159" s="2">
        <f t="shared" si="167"/>
        <v>92801.309612081255</v>
      </c>
      <c r="AB2159" s="1">
        <f t="shared" si="168"/>
        <v>9.3060415328586832E-2</v>
      </c>
      <c r="AC2159" s="1" t="b">
        <f t="shared" si="169"/>
        <v>1</v>
      </c>
    </row>
    <row r="2160" spans="1:29" x14ac:dyDescent="0.25">
      <c r="A2160" s="1" t="s">
        <v>687</v>
      </c>
      <c r="B2160">
        <v>10</v>
      </c>
      <c r="D2160" s="2">
        <v>92811.6</v>
      </c>
      <c r="E2160">
        <v>28720</v>
      </c>
      <c r="F2160" t="s">
        <v>15</v>
      </c>
      <c r="G2160" t="s">
        <v>16</v>
      </c>
      <c r="H2160">
        <v>121532</v>
      </c>
      <c r="I2160" t="s">
        <v>17</v>
      </c>
      <c r="J2160" t="s">
        <v>23</v>
      </c>
      <c r="K2160">
        <v>28720.71</v>
      </c>
      <c r="L2160">
        <v>121532.5</v>
      </c>
      <c r="M2160">
        <v>22</v>
      </c>
      <c r="Y2160" s="1">
        <f t="shared" si="165"/>
        <v>1077.451</v>
      </c>
      <c r="Z2160" s="2">
        <f t="shared" si="166"/>
        <v>92811.6</v>
      </c>
      <c r="AA2160" s="2">
        <f t="shared" si="167"/>
        <v>92811.645262754406</v>
      </c>
      <c r="AB2160" s="1">
        <f t="shared" si="168"/>
        <v>9.307000748189681E-2</v>
      </c>
      <c r="AC2160" s="1" t="b">
        <f t="shared" si="169"/>
        <v>1</v>
      </c>
    </row>
    <row r="2161" spans="1:29" x14ac:dyDescent="0.25">
      <c r="A2161" s="1" t="s">
        <v>688</v>
      </c>
      <c r="B2161">
        <v>20</v>
      </c>
      <c r="D2161" s="2">
        <v>92817.600000000006</v>
      </c>
      <c r="E2161">
        <v>18063</v>
      </c>
      <c r="F2161" t="s">
        <v>15</v>
      </c>
      <c r="G2161" t="s">
        <v>16</v>
      </c>
      <c r="H2161">
        <v>110881</v>
      </c>
      <c r="I2161" t="s">
        <v>17</v>
      </c>
      <c r="J2161" t="s">
        <v>23</v>
      </c>
      <c r="K2161">
        <v>18063.36</v>
      </c>
      <c r="L2161">
        <v>110881.1</v>
      </c>
      <c r="M2161">
        <v>22</v>
      </c>
      <c r="Y2161" s="1">
        <f t="shared" si="165"/>
        <v>1077.3820000000001</v>
      </c>
      <c r="Z2161" s="2">
        <f t="shared" si="166"/>
        <v>92817.600000000006</v>
      </c>
      <c r="AA2161" s="2">
        <f t="shared" si="167"/>
        <v>92817.589304443551</v>
      </c>
      <c r="AB2161" s="1">
        <f t="shared" si="168"/>
        <v>9.3075524421441763E-2</v>
      </c>
      <c r="AC2161" s="1" t="b">
        <f t="shared" si="169"/>
        <v>1</v>
      </c>
    </row>
    <row r="2162" spans="1:29" x14ac:dyDescent="0.25">
      <c r="A2162" s="1" t="s">
        <v>689</v>
      </c>
      <c r="B2162">
        <v>40</v>
      </c>
      <c r="C2162" t="s">
        <v>27</v>
      </c>
      <c r="D2162" s="6">
        <v>92859</v>
      </c>
      <c r="E2162">
        <v>18063</v>
      </c>
      <c r="F2162" t="s">
        <v>15</v>
      </c>
      <c r="G2162" t="s">
        <v>16</v>
      </c>
      <c r="H2162">
        <v>110922</v>
      </c>
      <c r="I2162" t="s">
        <v>17</v>
      </c>
      <c r="J2162" t="s">
        <v>16</v>
      </c>
      <c r="K2162">
        <v>18063.36</v>
      </c>
      <c r="L2162">
        <v>110922.5</v>
      </c>
      <c r="M2162">
        <v>22</v>
      </c>
      <c r="N2162" s="4" t="s">
        <v>690</v>
      </c>
      <c r="O2162" t="s">
        <v>1087</v>
      </c>
      <c r="P2162">
        <f>$A2162+0</f>
        <v>1076.902</v>
      </c>
      <c r="Q2162" s="2">
        <f t="shared" ref="Q2162:Q2163" si="170">100000000/P2162</f>
        <v>92858.960239650405</v>
      </c>
      <c r="R2162">
        <f t="shared" ref="R2162:R2163" si="171">$L2162-$K2162</f>
        <v>92859.14</v>
      </c>
      <c r="S2162" s="1">
        <v>1076.9363315240803</v>
      </c>
      <c r="T2162" s="1">
        <f>100000000/R2162</f>
        <v>1076.8999152910526</v>
      </c>
      <c r="U2162" s="1"/>
      <c r="V2162" s="1"/>
      <c r="W2162" s="1"/>
      <c r="X2162" s="1"/>
      <c r="Y2162" s="1">
        <f t="shared" si="165"/>
        <v>1076.902</v>
      </c>
      <c r="Z2162" s="2">
        <f t="shared" si="166"/>
        <v>92859</v>
      </c>
      <c r="AA2162" s="2">
        <f t="shared" si="167"/>
        <v>92858.960239650405</v>
      </c>
      <c r="AB2162" s="1">
        <f t="shared" si="168"/>
        <v>9.3113932483944867E-2</v>
      </c>
      <c r="AC2162" s="1" t="b">
        <f t="shared" si="169"/>
        <v>1</v>
      </c>
    </row>
    <row r="2163" spans="1:29" x14ac:dyDescent="0.25">
      <c r="A2163" s="1" t="s">
        <v>689</v>
      </c>
      <c r="B2163">
        <v>40</v>
      </c>
      <c r="C2163" t="s">
        <v>27</v>
      </c>
      <c r="D2163" s="6">
        <v>92859</v>
      </c>
      <c r="E2163">
        <v>24788</v>
      </c>
      <c r="F2163" t="s">
        <v>15</v>
      </c>
      <c r="G2163" t="s">
        <v>16</v>
      </c>
      <c r="H2163">
        <v>117647</v>
      </c>
      <c r="I2163" t="s">
        <v>17</v>
      </c>
      <c r="J2163" t="s">
        <v>18</v>
      </c>
      <c r="K2163">
        <v>24788.02</v>
      </c>
      <c r="L2163">
        <v>117647.2</v>
      </c>
      <c r="M2163">
        <v>22</v>
      </c>
      <c r="N2163" s="4" t="s">
        <v>691</v>
      </c>
      <c r="O2163" t="s">
        <v>1087</v>
      </c>
      <c r="P2163">
        <f>$A2163+0</f>
        <v>1076.902</v>
      </c>
      <c r="Q2163" s="2">
        <f t="shared" si="170"/>
        <v>92858.960239650405</v>
      </c>
      <c r="R2163">
        <f t="shared" si="171"/>
        <v>92859.18</v>
      </c>
      <c r="S2163" s="1">
        <v>1076.9363315240803</v>
      </c>
      <c r="T2163" s="1">
        <f>100000000/R2163</f>
        <v>1076.8994514058816</v>
      </c>
      <c r="U2163" s="1"/>
      <c r="V2163" s="1"/>
      <c r="W2163" s="1"/>
      <c r="X2163" s="1"/>
      <c r="Y2163" s="1">
        <f t="shared" si="165"/>
        <v>1076.902</v>
      </c>
      <c r="Z2163" s="2">
        <f t="shared" si="166"/>
        <v>92859</v>
      </c>
      <c r="AA2163" s="2">
        <f t="shared" si="167"/>
        <v>92858.960239650405</v>
      </c>
      <c r="AB2163" s="1">
        <f t="shared" si="168"/>
        <v>9.3113932483944867E-2</v>
      </c>
      <c r="AC2163" s="1" t="b">
        <f t="shared" si="169"/>
        <v>1</v>
      </c>
    </row>
    <row r="2164" spans="1:29" x14ac:dyDescent="0.25">
      <c r="A2164" s="1" t="s">
        <v>692</v>
      </c>
      <c r="B2164">
        <v>3</v>
      </c>
      <c r="D2164" s="2">
        <v>92865.1</v>
      </c>
      <c r="M2164">
        <v>22</v>
      </c>
      <c r="Y2164" s="1">
        <f t="shared" si="165"/>
        <v>1076.8309999999999</v>
      </c>
      <c r="Z2164" s="2">
        <f t="shared" si="166"/>
        <v>92865.1</v>
      </c>
      <c r="AA2164" s="2">
        <f t="shared" si="167"/>
        <v>92865.082821724121</v>
      </c>
      <c r="AB2164" s="1">
        <f t="shared" si="168"/>
        <v>9.3119618037428409E-2</v>
      </c>
      <c r="AC2164" s="1" t="b">
        <f t="shared" si="169"/>
        <v>1</v>
      </c>
    </row>
    <row r="2165" spans="1:29" x14ac:dyDescent="0.25">
      <c r="A2165" s="1" t="s">
        <v>693</v>
      </c>
      <c r="B2165">
        <v>10</v>
      </c>
      <c r="D2165" s="2">
        <v>92868.6</v>
      </c>
      <c r="E2165">
        <v>18241</v>
      </c>
      <c r="F2165" t="s">
        <v>15</v>
      </c>
      <c r="G2165" t="s">
        <v>23</v>
      </c>
      <c r="H2165">
        <v>111110</v>
      </c>
      <c r="I2165" t="s">
        <v>17</v>
      </c>
      <c r="J2165" t="s">
        <v>50</v>
      </c>
      <c r="K2165">
        <v>18241.54</v>
      </c>
      <c r="L2165">
        <v>111110.3</v>
      </c>
      <c r="M2165">
        <v>22</v>
      </c>
      <c r="Y2165" s="1">
        <f t="shared" si="165"/>
        <v>1076.79</v>
      </c>
      <c r="Z2165" s="2">
        <f t="shared" si="166"/>
        <v>92868.6</v>
      </c>
      <c r="AA2165" s="2">
        <f t="shared" si="167"/>
        <v>92868.618765033112</v>
      </c>
      <c r="AB2165" s="1">
        <f t="shared" si="168"/>
        <v>9.3122901756625298E-2</v>
      </c>
      <c r="AC2165" s="1" t="b">
        <f t="shared" si="169"/>
        <v>1</v>
      </c>
    </row>
    <row r="2166" spans="1:29" x14ac:dyDescent="0.25">
      <c r="A2166" s="1" t="s">
        <v>694</v>
      </c>
      <c r="B2166">
        <v>2</v>
      </c>
      <c r="D2166" s="2">
        <v>92875.7</v>
      </c>
      <c r="M2166">
        <v>22</v>
      </c>
      <c r="Y2166" s="1">
        <f t="shared" si="165"/>
        <v>1076.7080000000001</v>
      </c>
      <c r="Z2166" s="2">
        <f t="shared" si="166"/>
        <v>92875.7</v>
      </c>
      <c r="AA2166" s="2">
        <f t="shared" si="167"/>
        <v>92875.691459522903</v>
      </c>
      <c r="AB2166" s="1">
        <f t="shared" si="168"/>
        <v>9.3129470320422486E-2</v>
      </c>
      <c r="AC2166" s="1" t="b">
        <f t="shared" si="169"/>
        <v>1</v>
      </c>
    </row>
    <row r="2167" spans="1:29" x14ac:dyDescent="0.25">
      <c r="A2167" s="1" t="s">
        <v>695</v>
      </c>
      <c r="B2167">
        <v>30</v>
      </c>
      <c r="D2167" s="2">
        <v>92908.7</v>
      </c>
      <c r="E2167">
        <v>25409</v>
      </c>
      <c r="F2167" t="s">
        <v>15</v>
      </c>
      <c r="G2167" t="s">
        <v>18</v>
      </c>
      <c r="H2167">
        <v>118318</v>
      </c>
      <c r="I2167" t="s">
        <v>17</v>
      </c>
      <c r="J2167" t="s">
        <v>18</v>
      </c>
      <c r="K2167">
        <v>25409.74</v>
      </c>
      <c r="L2167">
        <v>118318.6</v>
      </c>
      <c r="M2167">
        <v>22</v>
      </c>
      <c r="Y2167" s="1">
        <f t="shared" si="165"/>
        <v>1076.325</v>
      </c>
      <c r="Z2167" s="2">
        <f t="shared" si="166"/>
        <v>92908.7</v>
      </c>
      <c r="AA2167" s="2">
        <f t="shared" si="167"/>
        <v>92908.740389752158</v>
      </c>
      <c r="AB2167" s="1">
        <f t="shared" si="168"/>
        <v>9.3160170204051818E-2</v>
      </c>
      <c r="AC2167" s="1" t="b">
        <f t="shared" si="169"/>
        <v>1</v>
      </c>
    </row>
    <row r="2168" spans="1:29" x14ac:dyDescent="0.25">
      <c r="A2168" s="1" t="s">
        <v>696</v>
      </c>
      <c r="B2168">
        <v>5</v>
      </c>
      <c r="D2168" s="2">
        <v>92925</v>
      </c>
      <c r="M2168">
        <v>22</v>
      </c>
      <c r="Y2168" s="1">
        <f t="shared" si="165"/>
        <v>1076.1369999999999</v>
      </c>
      <c r="Z2168" s="2">
        <f t="shared" si="166"/>
        <v>92925</v>
      </c>
      <c r="AA2168" s="2">
        <f t="shared" si="167"/>
        <v>92924.97144880252</v>
      </c>
      <c r="AB2168" s="1">
        <f t="shared" si="168"/>
        <v>9.3175251593803826E-2</v>
      </c>
      <c r="AC2168" s="1" t="b">
        <f t="shared" si="169"/>
        <v>1</v>
      </c>
    </row>
    <row r="2169" spans="1:29" x14ac:dyDescent="0.25">
      <c r="A2169" s="1" t="s">
        <v>697</v>
      </c>
      <c r="B2169">
        <v>100</v>
      </c>
      <c r="D2169" s="2">
        <v>92940.2</v>
      </c>
      <c r="M2169">
        <v>22</v>
      </c>
      <c r="Y2169" s="1">
        <f t="shared" si="165"/>
        <v>1075.961</v>
      </c>
      <c r="Z2169" s="2">
        <f t="shared" si="166"/>
        <v>92940.2</v>
      </c>
      <c r="AA2169" s="2">
        <f t="shared" si="167"/>
        <v>92940.171623320915</v>
      </c>
      <c r="AB2169" s="1">
        <f t="shared" si="168"/>
        <v>9.3189377506861737E-2</v>
      </c>
      <c r="AC2169" s="1" t="b">
        <f t="shared" si="169"/>
        <v>1</v>
      </c>
    </row>
    <row r="2170" spans="1:29" x14ac:dyDescent="0.25">
      <c r="A2170" s="1" t="s">
        <v>698</v>
      </c>
      <c r="B2170">
        <v>2</v>
      </c>
      <c r="D2170" s="2">
        <v>92962.1</v>
      </c>
      <c r="M2170">
        <v>22</v>
      </c>
      <c r="Y2170" s="1">
        <f t="shared" si="165"/>
        <v>1075.7070000000001</v>
      </c>
      <c r="Z2170" s="2">
        <f t="shared" si="166"/>
        <v>92962.1</v>
      </c>
      <c r="AA2170" s="2">
        <f t="shared" si="167"/>
        <v>92962.11700769818</v>
      </c>
      <c r="AB2170" s="1">
        <f t="shared" si="168"/>
        <v>9.3209775992764837E-2</v>
      </c>
      <c r="AC2170" s="1" t="b">
        <f t="shared" si="169"/>
        <v>1</v>
      </c>
    </row>
    <row r="2171" spans="1:29" x14ac:dyDescent="0.25">
      <c r="A2171" s="1" t="s">
        <v>699</v>
      </c>
      <c r="B2171">
        <v>10</v>
      </c>
      <c r="C2171" t="s">
        <v>122</v>
      </c>
      <c r="D2171" s="2">
        <v>92972.6</v>
      </c>
      <c r="E2171">
        <v>22527</v>
      </c>
      <c r="F2171" t="s">
        <v>15</v>
      </c>
      <c r="G2171" t="s">
        <v>18</v>
      </c>
      <c r="H2171">
        <v>115499</v>
      </c>
      <c r="I2171" t="s">
        <v>17</v>
      </c>
      <c r="J2171" t="s">
        <v>16</v>
      </c>
      <c r="K2171">
        <v>22527.7</v>
      </c>
      <c r="L2171">
        <v>115499.8</v>
      </c>
      <c r="M2171">
        <v>22</v>
      </c>
      <c r="Y2171" s="1">
        <f t="shared" si="165"/>
        <v>1075.586</v>
      </c>
      <c r="Z2171" s="2">
        <f t="shared" si="166"/>
        <v>92972.6</v>
      </c>
      <c r="AA2171" s="2">
        <f t="shared" si="167"/>
        <v>92972.574949841292</v>
      </c>
      <c r="AB2171" s="1">
        <f t="shared" si="168"/>
        <v>9.3219498464019293E-2</v>
      </c>
      <c r="AC2171" s="1" t="b">
        <f t="shared" si="169"/>
        <v>1</v>
      </c>
    </row>
    <row r="2172" spans="1:29" x14ac:dyDescent="0.25">
      <c r="A2172" s="1" t="s">
        <v>700</v>
      </c>
      <c r="B2172">
        <v>50</v>
      </c>
      <c r="C2172" t="s">
        <v>122</v>
      </c>
      <c r="D2172" s="2">
        <v>92974.399999999994</v>
      </c>
      <c r="M2172">
        <v>22</v>
      </c>
      <c r="Y2172" s="1">
        <f t="shared" si="165"/>
        <v>1075.5650000000001</v>
      </c>
      <c r="Z2172" s="2">
        <f t="shared" si="166"/>
        <v>92974.399999999994</v>
      </c>
      <c r="AA2172" s="2">
        <f t="shared" si="167"/>
        <v>92974.390204218245</v>
      </c>
      <c r="AB2172" s="1">
        <f t="shared" si="168"/>
        <v>9.3221186169231168E-2</v>
      </c>
      <c r="AC2172" s="1" t="b">
        <f t="shared" si="169"/>
        <v>1</v>
      </c>
    </row>
    <row r="2173" spans="1:29" x14ac:dyDescent="0.25">
      <c r="A2173" s="1" t="s">
        <v>701</v>
      </c>
      <c r="B2173">
        <v>10</v>
      </c>
      <c r="C2173" t="s">
        <v>122</v>
      </c>
      <c r="D2173" s="2">
        <v>92977.2</v>
      </c>
      <c r="E2173">
        <v>20848</v>
      </c>
      <c r="F2173" t="s">
        <v>15</v>
      </c>
      <c r="G2173" t="s">
        <v>28</v>
      </c>
      <c r="H2173">
        <v>113825</v>
      </c>
      <c r="I2173" t="s">
        <v>17</v>
      </c>
      <c r="J2173" t="s">
        <v>29</v>
      </c>
      <c r="K2173">
        <v>20848.39</v>
      </c>
      <c r="L2173">
        <v>113825.5</v>
      </c>
      <c r="M2173">
        <v>22</v>
      </c>
      <c r="Y2173" s="1">
        <f t="shared" si="165"/>
        <v>1075.5319999999999</v>
      </c>
      <c r="Z2173" s="2">
        <f t="shared" si="166"/>
        <v>92977.2</v>
      </c>
      <c r="AA2173" s="2">
        <f t="shared" si="167"/>
        <v>92977.242890030248</v>
      </c>
      <c r="AB2173" s="1">
        <f t="shared" si="168"/>
        <v>9.3223838477158399E-2</v>
      </c>
      <c r="AC2173" s="1" t="b">
        <f t="shared" si="169"/>
        <v>1</v>
      </c>
    </row>
    <row r="2174" spans="1:29" x14ac:dyDescent="0.25">
      <c r="A2174" s="1" t="s">
        <v>702</v>
      </c>
      <c r="B2174">
        <v>1</v>
      </c>
      <c r="D2174" s="2">
        <v>92984.5</v>
      </c>
      <c r="M2174">
        <v>22</v>
      </c>
      <c r="Y2174" s="1">
        <f t="shared" si="165"/>
        <v>1075.4480000000001</v>
      </c>
      <c r="Z2174" s="2">
        <f t="shared" si="166"/>
        <v>92984.5</v>
      </c>
      <c r="AA2174" s="2">
        <f t="shared" si="167"/>
        <v>92984.505062076452</v>
      </c>
      <c r="AB2174" s="1">
        <f t="shared" si="168"/>
        <v>9.3230590908196603E-2</v>
      </c>
      <c r="AC2174" s="1" t="b">
        <f t="shared" si="169"/>
        <v>1</v>
      </c>
    </row>
    <row r="2175" spans="1:29" x14ac:dyDescent="0.25">
      <c r="A2175" s="1" t="s">
        <v>703</v>
      </c>
      <c r="B2175">
        <v>1</v>
      </c>
      <c r="D2175" s="2">
        <v>93010.5</v>
      </c>
      <c r="E2175">
        <v>23442</v>
      </c>
      <c r="F2175" t="s">
        <v>15</v>
      </c>
      <c r="G2175" t="s">
        <v>23</v>
      </c>
      <c r="H2175">
        <v>116453</v>
      </c>
      <c r="I2175" t="s">
        <v>17</v>
      </c>
      <c r="J2175" t="s">
        <v>16</v>
      </c>
      <c r="K2175">
        <v>23442.25</v>
      </c>
      <c r="L2175">
        <v>116453.2</v>
      </c>
      <c r="M2175">
        <v>22</v>
      </c>
      <c r="Y2175" s="1">
        <f t="shared" si="165"/>
        <v>1075.1469999999999</v>
      </c>
      <c r="Z2175" s="2">
        <f t="shared" si="166"/>
        <v>93010.5</v>
      </c>
      <c r="AA2175" s="2">
        <f t="shared" si="167"/>
        <v>93010.537163755289</v>
      </c>
      <c r="AB2175" s="1">
        <f t="shared" si="168"/>
        <v>9.325480011745152E-2</v>
      </c>
      <c r="AC2175" s="1" t="b">
        <f t="shared" si="169"/>
        <v>1</v>
      </c>
    </row>
    <row r="2176" spans="1:29" x14ac:dyDescent="0.25">
      <c r="A2176" s="1" t="s">
        <v>704</v>
      </c>
      <c r="B2176">
        <v>100</v>
      </c>
      <c r="D2176" s="2">
        <v>93035.8</v>
      </c>
      <c r="M2176">
        <v>22</v>
      </c>
      <c r="Y2176" s="1">
        <f t="shared" si="165"/>
        <v>1074.855</v>
      </c>
      <c r="Z2176" s="2">
        <f t="shared" si="166"/>
        <v>93035.8</v>
      </c>
      <c r="AA2176" s="2">
        <f t="shared" si="167"/>
        <v>93035.804829488625</v>
      </c>
      <c r="AB2176" s="1">
        <f t="shared" si="168"/>
        <v>9.3278304901353498E-2</v>
      </c>
      <c r="AC2176" s="1" t="b">
        <f t="shared" si="169"/>
        <v>1</v>
      </c>
    </row>
    <row r="2177" spans="1:29" x14ac:dyDescent="0.25">
      <c r="A2177" s="1" t="s">
        <v>705</v>
      </c>
      <c r="B2177">
        <v>5</v>
      </c>
      <c r="D2177" s="2">
        <v>93047</v>
      </c>
      <c r="E2177">
        <v>25033</v>
      </c>
      <c r="F2177" t="s">
        <v>15</v>
      </c>
      <c r="G2177" t="s">
        <v>16</v>
      </c>
      <c r="H2177">
        <v>118081</v>
      </c>
      <c r="I2177" t="s">
        <v>17</v>
      </c>
      <c r="J2177" t="s">
        <v>16</v>
      </c>
      <c r="K2177">
        <v>25033.91</v>
      </c>
      <c r="L2177">
        <v>118081.1</v>
      </c>
      <c r="M2177">
        <v>22</v>
      </c>
      <c r="Y2177" s="1">
        <f t="shared" si="165"/>
        <v>1074.7260000000001</v>
      </c>
      <c r="Z2177" s="2">
        <f t="shared" si="166"/>
        <v>93047</v>
      </c>
      <c r="AA2177" s="2">
        <f t="shared" si="167"/>
        <v>93046.971972391097</v>
      </c>
      <c r="AB2177" s="1">
        <f t="shared" si="168"/>
        <v>9.3288694966154675E-2</v>
      </c>
      <c r="AC2177" s="1" t="b">
        <f t="shared" si="169"/>
        <v>1</v>
      </c>
    </row>
    <row r="2178" spans="1:29" x14ac:dyDescent="0.25">
      <c r="A2178" s="1" t="s">
        <v>706</v>
      </c>
      <c r="B2178">
        <v>40</v>
      </c>
      <c r="D2178" s="2">
        <v>93051.9</v>
      </c>
      <c r="M2178">
        <v>22</v>
      </c>
      <c r="Y2178" s="1">
        <f t="shared" si="165"/>
        <v>1074.6690000000001</v>
      </c>
      <c r="Z2178" s="2">
        <f t="shared" si="166"/>
        <v>93051.9</v>
      </c>
      <c r="AA2178" s="2">
        <f t="shared" si="167"/>
        <v>93051.907145362886</v>
      </c>
      <c r="AB2178" s="1">
        <f t="shared" si="168"/>
        <v>9.3293287116946177E-2</v>
      </c>
      <c r="AC2178" s="1" t="b">
        <f t="shared" si="169"/>
        <v>1</v>
      </c>
    </row>
    <row r="2179" spans="1:29" x14ac:dyDescent="0.25">
      <c r="A2179" s="1" t="s">
        <v>707</v>
      </c>
      <c r="B2179">
        <v>7</v>
      </c>
      <c r="D2179" s="2">
        <v>93058.8</v>
      </c>
      <c r="E2179">
        <v>25409</v>
      </c>
      <c r="F2179" t="s">
        <v>15</v>
      </c>
      <c r="G2179" t="s">
        <v>18</v>
      </c>
      <c r="H2179">
        <v>118468</v>
      </c>
      <c r="I2179" t="s">
        <v>17</v>
      </c>
      <c r="J2179" t="s">
        <v>16</v>
      </c>
      <c r="K2179">
        <v>25409.74</v>
      </c>
      <c r="L2179">
        <v>118468.8</v>
      </c>
      <c r="M2179">
        <v>22</v>
      </c>
      <c r="Y2179" s="1">
        <f t="shared" ref="Y2179:Y2242" si="172">ROUND($A2179,3)+0</f>
        <v>1074.5899999999999</v>
      </c>
      <c r="Z2179" s="2">
        <f t="shared" ref="Z2179:Z2242" si="173">ROUND($D2179,1)+0</f>
        <v>93058.8</v>
      </c>
      <c r="AA2179" s="2">
        <f t="shared" ref="AA2179:AA2242" si="174">100000000/Y2179</f>
        <v>93058.747987604584</v>
      </c>
      <c r="AB2179" s="1">
        <f t="shared" ref="AB2179:AB2242" si="175">0.0005/$Y2179*AA2179+0.05</f>
        <v>9.3299652885102502E-2</v>
      </c>
      <c r="AC2179" s="1" t="b">
        <f t="shared" ref="AC2179:AC2242" si="176">ABS(Z2179-AA2179)&lt;AB2179</f>
        <v>1</v>
      </c>
    </row>
    <row r="2180" spans="1:29" x14ac:dyDescent="0.25">
      <c r="A2180" s="1" t="s">
        <v>708</v>
      </c>
      <c r="B2180">
        <v>100</v>
      </c>
      <c r="D2180" s="2">
        <v>93065.2</v>
      </c>
      <c r="E2180">
        <v>20848</v>
      </c>
      <c r="F2180" t="s">
        <v>15</v>
      </c>
      <c r="G2180" t="s">
        <v>28</v>
      </c>
      <c r="H2180">
        <v>113914</v>
      </c>
      <c r="I2180" t="s">
        <v>17</v>
      </c>
      <c r="J2180" t="s">
        <v>28</v>
      </c>
      <c r="K2180">
        <v>20848.39</v>
      </c>
      <c r="L2180">
        <v>113914.1</v>
      </c>
      <c r="M2180">
        <v>22</v>
      </c>
      <c r="Y2180" s="1">
        <f t="shared" si="172"/>
        <v>1074.5150000000001</v>
      </c>
      <c r="Z2180" s="2">
        <f t="shared" si="173"/>
        <v>93065.2</v>
      </c>
      <c r="AA2180" s="2">
        <f t="shared" si="174"/>
        <v>93065.24338887776</v>
      </c>
      <c r="AB2180" s="1">
        <f t="shared" si="175"/>
        <v>9.3305697635155282E-2</v>
      </c>
      <c r="AC2180" s="1" t="b">
        <f t="shared" si="176"/>
        <v>1</v>
      </c>
    </row>
    <row r="2181" spans="1:29" x14ac:dyDescent="0.25">
      <c r="A2181" s="1" t="s">
        <v>709</v>
      </c>
      <c r="B2181">
        <v>5</v>
      </c>
      <c r="D2181" s="2">
        <v>93068.800000000003</v>
      </c>
      <c r="E2181">
        <v>19700</v>
      </c>
      <c r="F2181" t="s">
        <v>15</v>
      </c>
      <c r="G2181" t="s">
        <v>23</v>
      </c>
      <c r="H2181">
        <v>112769</v>
      </c>
      <c r="I2181" t="s">
        <v>17</v>
      </c>
      <c r="J2181" t="s">
        <v>50</v>
      </c>
      <c r="K2181">
        <v>19700.900000000001</v>
      </c>
      <c r="L2181">
        <v>112769.7</v>
      </c>
      <c r="M2181">
        <v>22</v>
      </c>
      <c r="Y2181" s="1">
        <f t="shared" si="172"/>
        <v>1074.4739999999999</v>
      </c>
      <c r="Z2181" s="2">
        <f t="shared" si="173"/>
        <v>93068.800000000003</v>
      </c>
      <c r="AA2181" s="2">
        <f t="shared" si="174"/>
        <v>93068.794591586207</v>
      </c>
      <c r="AB2181" s="1">
        <f t="shared" si="175"/>
        <v>9.3309002633654339E-2</v>
      </c>
      <c r="AC2181" s="1" t="b">
        <f t="shared" si="176"/>
        <v>1</v>
      </c>
    </row>
    <row r="2182" spans="1:29" x14ac:dyDescent="0.25">
      <c r="A2182" s="1" t="s">
        <v>710</v>
      </c>
      <c r="B2182">
        <v>7</v>
      </c>
      <c r="D2182" s="2">
        <v>93079.3</v>
      </c>
      <c r="E2182">
        <v>24461</v>
      </c>
      <c r="F2182" t="s">
        <v>15</v>
      </c>
      <c r="G2182" t="s">
        <v>28</v>
      </c>
      <c r="H2182">
        <v>117540</v>
      </c>
      <c r="I2182" t="s">
        <v>17</v>
      </c>
      <c r="J2182" t="s">
        <v>29</v>
      </c>
      <c r="K2182">
        <v>24461.24</v>
      </c>
      <c r="L2182">
        <v>117540.5</v>
      </c>
      <c r="M2182">
        <v>22</v>
      </c>
      <c r="Y2182" s="1">
        <f t="shared" si="172"/>
        <v>1074.3530000000001</v>
      </c>
      <c r="Z2182" s="2">
        <f t="shared" si="173"/>
        <v>93079.3</v>
      </c>
      <c r="AA2182" s="2">
        <f t="shared" si="174"/>
        <v>93079.276550630937</v>
      </c>
      <c r="AB2182" s="1">
        <f t="shared" si="175"/>
        <v>9.3318758615944172E-2</v>
      </c>
      <c r="AC2182" s="1" t="b">
        <f t="shared" si="176"/>
        <v>1</v>
      </c>
    </row>
    <row r="2183" spans="1:29" x14ac:dyDescent="0.25">
      <c r="A2183" s="1" t="s">
        <v>711</v>
      </c>
      <c r="B2183">
        <v>5</v>
      </c>
      <c r="D2183" s="2">
        <v>93095</v>
      </c>
      <c r="M2183">
        <v>22</v>
      </c>
      <c r="Y2183" s="1">
        <f t="shared" si="172"/>
        <v>1074.171</v>
      </c>
      <c r="Z2183" s="2">
        <f t="shared" si="173"/>
        <v>93095</v>
      </c>
      <c r="AA2183" s="2">
        <f t="shared" si="174"/>
        <v>93095.047250391232</v>
      </c>
      <c r="AB2183" s="1">
        <f t="shared" si="175"/>
        <v>9.3333439112762873E-2</v>
      </c>
      <c r="AC2183" s="1" t="b">
        <f t="shared" si="176"/>
        <v>1</v>
      </c>
    </row>
    <row r="2184" spans="1:29" x14ac:dyDescent="0.25">
      <c r="A2184" s="1" t="s">
        <v>712</v>
      </c>
      <c r="B2184">
        <v>5</v>
      </c>
      <c r="D2184" s="2">
        <v>93106.3</v>
      </c>
      <c r="M2184">
        <v>22</v>
      </c>
      <c r="Y2184" s="1">
        <f t="shared" si="172"/>
        <v>1074.0409999999999</v>
      </c>
      <c r="Z2184" s="2">
        <f t="shared" si="173"/>
        <v>93106.3</v>
      </c>
      <c r="AA2184" s="2">
        <f t="shared" si="174"/>
        <v>93106.315308261052</v>
      </c>
      <c r="AB2184" s="1">
        <f t="shared" si="175"/>
        <v>9.3343929751406637E-2</v>
      </c>
      <c r="AC2184" s="1" t="b">
        <f t="shared" si="176"/>
        <v>1</v>
      </c>
    </row>
    <row r="2185" spans="1:29" x14ac:dyDescent="0.25">
      <c r="A2185" s="1" t="s">
        <v>713</v>
      </c>
      <c r="B2185">
        <v>200</v>
      </c>
      <c r="D2185" s="2">
        <v>93118.399999999994</v>
      </c>
      <c r="E2185">
        <v>27380</v>
      </c>
      <c r="F2185" t="s">
        <v>15</v>
      </c>
      <c r="G2185" t="s">
        <v>23</v>
      </c>
      <c r="H2185">
        <v>120498</v>
      </c>
      <c r="I2185" t="s">
        <v>17</v>
      </c>
      <c r="J2185" t="s">
        <v>50</v>
      </c>
      <c r="K2185">
        <v>27380.31</v>
      </c>
      <c r="L2185">
        <v>120498.7</v>
      </c>
      <c r="M2185">
        <v>22</v>
      </c>
      <c r="Y2185" s="1">
        <f t="shared" si="172"/>
        <v>1073.9010000000001</v>
      </c>
      <c r="Z2185" s="2">
        <f t="shared" si="173"/>
        <v>93118.399999999994</v>
      </c>
      <c r="AA2185" s="2">
        <f t="shared" si="174"/>
        <v>93118.453190750355</v>
      </c>
      <c r="AB2185" s="1">
        <f t="shared" si="175"/>
        <v>9.335523162318983E-2</v>
      </c>
      <c r="AC2185" s="1" t="b">
        <f t="shared" si="176"/>
        <v>1</v>
      </c>
    </row>
    <row r="2186" spans="1:29" x14ac:dyDescent="0.25">
      <c r="A2186" s="1" t="s">
        <v>714</v>
      </c>
      <c r="B2186">
        <v>1</v>
      </c>
      <c r="D2186" s="2">
        <v>93127.1</v>
      </c>
      <c r="M2186">
        <v>22</v>
      </c>
      <c r="Y2186" s="1">
        <f t="shared" si="172"/>
        <v>1073.8009999999999</v>
      </c>
      <c r="Z2186" s="2">
        <f t="shared" si="173"/>
        <v>93127.1</v>
      </c>
      <c r="AA2186" s="2">
        <f t="shared" si="174"/>
        <v>93127.125044584624</v>
      </c>
      <c r="AB2186" s="1">
        <f t="shared" si="175"/>
        <v>9.3363307095348499E-2</v>
      </c>
      <c r="AC2186" s="1" t="b">
        <f t="shared" si="176"/>
        <v>1</v>
      </c>
    </row>
    <row r="2187" spans="1:29" x14ac:dyDescent="0.25">
      <c r="A2187" s="1" t="s">
        <v>715</v>
      </c>
      <c r="B2187">
        <v>100</v>
      </c>
      <c r="D2187" s="2">
        <v>93139.3</v>
      </c>
      <c r="M2187">
        <v>22</v>
      </c>
      <c r="Y2187" s="1">
        <f t="shared" si="172"/>
        <v>1073.6610000000001</v>
      </c>
      <c r="Z2187" s="2">
        <f t="shared" si="173"/>
        <v>93139.3</v>
      </c>
      <c r="AA2187" s="2">
        <f t="shared" si="174"/>
        <v>93139.268353791369</v>
      </c>
      <c r="AB2187" s="1">
        <f t="shared" si="175"/>
        <v>9.3374616547397815E-2</v>
      </c>
      <c r="AC2187" s="1" t="b">
        <f t="shared" si="176"/>
        <v>1</v>
      </c>
    </row>
    <row r="2188" spans="1:29" x14ac:dyDescent="0.25">
      <c r="A2188" s="1" t="s">
        <v>716</v>
      </c>
      <c r="B2188">
        <v>20</v>
      </c>
      <c r="D2188" s="2">
        <v>93167.1</v>
      </c>
      <c r="M2188">
        <v>22</v>
      </c>
      <c r="Y2188" s="1">
        <f t="shared" si="172"/>
        <v>1073.3399999999999</v>
      </c>
      <c r="Z2188" s="2">
        <f t="shared" si="173"/>
        <v>93167.1</v>
      </c>
      <c r="AA2188" s="2">
        <f t="shared" si="174"/>
        <v>93167.123185570279</v>
      </c>
      <c r="AB2188" s="1">
        <f t="shared" si="175"/>
        <v>9.3400564213376142E-2</v>
      </c>
      <c r="AC2188" s="1" t="b">
        <f t="shared" si="176"/>
        <v>1</v>
      </c>
    </row>
    <row r="2189" spans="1:29" x14ac:dyDescent="0.25">
      <c r="A2189" s="1" t="s">
        <v>717</v>
      </c>
      <c r="B2189">
        <v>3</v>
      </c>
      <c r="D2189" s="2">
        <v>93169.9</v>
      </c>
      <c r="M2189">
        <v>22</v>
      </c>
      <c r="Y2189" s="1">
        <f t="shared" si="172"/>
        <v>1073.308</v>
      </c>
      <c r="Z2189" s="2">
        <f t="shared" si="173"/>
        <v>93169.9</v>
      </c>
      <c r="AA2189" s="2">
        <f t="shared" si="174"/>
        <v>93169.900904493392</v>
      </c>
      <c r="AB2189" s="1">
        <f t="shared" si="175"/>
        <v>9.3403152172765597E-2</v>
      </c>
      <c r="AC2189" s="1" t="b">
        <f t="shared" si="176"/>
        <v>1</v>
      </c>
    </row>
    <row r="2190" spans="1:29" x14ac:dyDescent="0.25">
      <c r="A2190" s="1" t="s">
        <v>718</v>
      </c>
      <c r="B2190">
        <v>200</v>
      </c>
      <c r="D2190" s="2">
        <v>93185.7</v>
      </c>
      <c r="E2190">
        <v>22747</v>
      </c>
      <c r="F2190" t="s">
        <v>15</v>
      </c>
      <c r="G2190" t="s">
        <v>16</v>
      </c>
      <c r="H2190">
        <v>115933</v>
      </c>
      <c r="I2190" t="s">
        <v>17</v>
      </c>
      <c r="J2190" t="s">
        <v>23</v>
      </c>
      <c r="K2190">
        <v>22747.69</v>
      </c>
      <c r="L2190">
        <v>115933.2</v>
      </c>
      <c r="M2190">
        <v>22</v>
      </c>
      <c r="Y2190" s="1">
        <f t="shared" si="172"/>
        <v>1073.126</v>
      </c>
      <c r="Z2190" s="2">
        <f t="shared" si="173"/>
        <v>93185.7</v>
      </c>
      <c r="AA2190" s="2">
        <f t="shared" si="174"/>
        <v>93185.702331319902</v>
      </c>
      <c r="AB2190" s="1">
        <f t="shared" si="175"/>
        <v>9.3417875594906802E-2</v>
      </c>
      <c r="AC2190" s="1" t="b">
        <f t="shared" si="176"/>
        <v>1</v>
      </c>
    </row>
    <row r="2191" spans="1:29" x14ac:dyDescent="0.25">
      <c r="A2191" s="1" t="s">
        <v>719</v>
      </c>
      <c r="B2191">
        <v>30</v>
      </c>
      <c r="D2191" s="2">
        <v>93231.4</v>
      </c>
      <c r="E2191">
        <v>24309</v>
      </c>
      <c r="F2191" t="s">
        <v>15</v>
      </c>
      <c r="G2191" t="s">
        <v>29</v>
      </c>
      <c r="H2191">
        <v>117540</v>
      </c>
      <c r="I2191" t="s">
        <v>17</v>
      </c>
      <c r="J2191" t="s">
        <v>29</v>
      </c>
      <c r="K2191">
        <v>24309.200000000001</v>
      </c>
      <c r="L2191">
        <v>117540.5</v>
      </c>
      <c r="M2191">
        <v>22</v>
      </c>
      <c r="Y2191" s="1">
        <f t="shared" si="172"/>
        <v>1072.5999999999999</v>
      </c>
      <c r="Z2191" s="2">
        <f t="shared" si="173"/>
        <v>93231.4</v>
      </c>
      <c r="AA2191" s="2">
        <f t="shared" si="174"/>
        <v>93231.40033563305</v>
      </c>
      <c r="AB2191" s="1">
        <f t="shared" si="175"/>
        <v>9.3460470042715404E-2</v>
      </c>
      <c r="AC2191" s="1" t="b">
        <f t="shared" si="176"/>
        <v>1</v>
      </c>
    </row>
    <row r="2192" spans="1:29" x14ac:dyDescent="0.25">
      <c r="A2192" s="1" t="s">
        <v>720</v>
      </c>
      <c r="B2192">
        <v>100</v>
      </c>
      <c r="D2192" s="2">
        <v>93237.6</v>
      </c>
      <c r="E2192">
        <v>25033</v>
      </c>
      <c r="F2192" t="s">
        <v>15</v>
      </c>
      <c r="G2192" t="s">
        <v>16</v>
      </c>
      <c r="H2192">
        <v>118271</v>
      </c>
      <c r="I2192" t="s">
        <v>17</v>
      </c>
      <c r="J2192" t="s">
        <v>23</v>
      </c>
      <c r="K2192">
        <v>25033.91</v>
      </c>
      <c r="L2192">
        <v>118271.6</v>
      </c>
      <c r="M2192">
        <v>22</v>
      </c>
      <c r="Y2192" s="1">
        <f t="shared" si="172"/>
        <v>1072.529</v>
      </c>
      <c r="Z2192" s="2">
        <f t="shared" si="173"/>
        <v>93237.6</v>
      </c>
      <c r="AA2192" s="2">
        <f t="shared" si="174"/>
        <v>93237.572130916742</v>
      </c>
      <c r="AB2192" s="1">
        <f t="shared" si="175"/>
        <v>9.3466224284339511E-2</v>
      </c>
      <c r="AC2192" s="1" t="b">
        <f t="shared" si="176"/>
        <v>1</v>
      </c>
    </row>
    <row r="2193" spans="1:29" x14ac:dyDescent="0.25">
      <c r="A2193" s="1" t="s">
        <v>721</v>
      </c>
      <c r="B2193">
        <v>20</v>
      </c>
      <c r="D2193" s="2">
        <v>93243</v>
      </c>
      <c r="E2193">
        <v>22080</v>
      </c>
      <c r="F2193" t="s">
        <v>15</v>
      </c>
      <c r="G2193" t="s">
        <v>18</v>
      </c>
      <c r="H2193">
        <v>115324</v>
      </c>
      <c r="I2193" t="s">
        <v>17</v>
      </c>
      <c r="J2193" t="s">
        <v>16</v>
      </c>
      <c r="K2193">
        <v>22080.94</v>
      </c>
      <c r="L2193">
        <v>115324.3</v>
      </c>
      <c r="M2193">
        <v>22</v>
      </c>
      <c r="Y2193" s="1">
        <f t="shared" si="172"/>
        <v>1072.4659999999999</v>
      </c>
      <c r="Z2193" s="2">
        <f t="shared" si="173"/>
        <v>93243</v>
      </c>
      <c r="AA2193" s="2">
        <f t="shared" si="174"/>
        <v>93243.049196897628</v>
      </c>
      <c r="AB2193" s="1">
        <f t="shared" si="175"/>
        <v>9.347133111767536E-2</v>
      </c>
      <c r="AC2193" s="1" t="b">
        <f t="shared" si="176"/>
        <v>1</v>
      </c>
    </row>
    <row r="2194" spans="1:29" x14ac:dyDescent="0.25">
      <c r="A2194" s="1" t="s">
        <v>722</v>
      </c>
      <c r="B2194">
        <v>5</v>
      </c>
      <c r="D2194" s="2">
        <v>93246.6</v>
      </c>
      <c r="E2194">
        <v>19649</v>
      </c>
      <c r="F2194" t="s">
        <v>15</v>
      </c>
      <c r="G2194" t="s">
        <v>528</v>
      </c>
      <c r="H2194">
        <v>112896</v>
      </c>
      <c r="I2194" t="s">
        <v>17</v>
      </c>
      <c r="J2194" t="s">
        <v>57</v>
      </c>
      <c r="K2194">
        <v>19649.669999999998</v>
      </c>
      <c r="L2194">
        <v>112896.3</v>
      </c>
      <c r="M2194">
        <v>22</v>
      </c>
      <c r="Y2194" s="1">
        <f t="shared" si="172"/>
        <v>1072.425</v>
      </c>
      <c r="Z2194" s="2">
        <f t="shared" si="173"/>
        <v>93246.6</v>
      </c>
      <c r="AA2194" s="2">
        <f t="shared" si="174"/>
        <v>93246.613982329771</v>
      </c>
      <c r="AB2194" s="1">
        <f t="shared" si="175"/>
        <v>9.3474655095848097E-2</v>
      </c>
      <c r="AC2194" s="1" t="b">
        <f t="shared" si="176"/>
        <v>1</v>
      </c>
    </row>
    <row r="2195" spans="1:29" x14ac:dyDescent="0.25">
      <c r="A2195" s="1" t="s">
        <v>723</v>
      </c>
      <c r="B2195">
        <v>20</v>
      </c>
      <c r="D2195" s="2">
        <v>93253.8</v>
      </c>
      <c r="E2195">
        <v>17627</v>
      </c>
      <c r="F2195" t="s">
        <v>15</v>
      </c>
      <c r="G2195" t="s">
        <v>16</v>
      </c>
      <c r="H2195">
        <v>110881</v>
      </c>
      <c r="I2195" t="s">
        <v>17</v>
      </c>
      <c r="J2195" t="s">
        <v>23</v>
      </c>
      <c r="K2195">
        <v>17627</v>
      </c>
      <c r="L2195">
        <v>110881.1</v>
      </c>
      <c r="M2195">
        <v>22</v>
      </c>
      <c r="Y2195" s="1">
        <f t="shared" si="172"/>
        <v>1072.3420000000001</v>
      </c>
      <c r="Z2195" s="2">
        <f t="shared" si="173"/>
        <v>93253.8</v>
      </c>
      <c r="AA2195" s="2">
        <f t="shared" si="174"/>
        <v>93253.831333660331</v>
      </c>
      <c r="AB2195" s="1">
        <f t="shared" si="175"/>
        <v>9.3481385292033856E-2</v>
      </c>
      <c r="AC2195" s="1" t="b">
        <f t="shared" si="176"/>
        <v>1</v>
      </c>
    </row>
    <row r="2196" spans="1:29" x14ac:dyDescent="0.25">
      <c r="A2196" s="1" t="s">
        <v>724</v>
      </c>
      <c r="B2196">
        <v>8</v>
      </c>
      <c r="D2196" s="2">
        <v>93263</v>
      </c>
      <c r="M2196">
        <v>22</v>
      </c>
      <c r="Y2196" s="1">
        <f t="shared" si="172"/>
        <v>1072.2370000000001</v>
      </c>
      <c r="Z2196" s="2">
        <f t="shared" si="173"/>
        <v>93263</v>
      </c>
      <c r="AA2196" s="2">
        <f t="shared" si="174"/>
        <v>93262.963318743889</v>
      </c>
      <c r="AB2196" s="1">
        <f t="shared" si="175"/>
        <v>9.3489901634966843E-2</v>
      </c>
      <c r="AC2196" s="1" t="b">
        <f t="shared" si="176"/>
        <v>1</v>
      </c>
    </row>
    <row r="2197" spans="1:29" x14ac:dyDescent="0.25">
      <c r="A2197" s="1" t="s">
        <v>725</v>
      </c>
      <c r="B2197">
        <v>50</v>
      </c>
      <c r="C2197" t="s">
        <v>122</v>
      </c>
      <c r="D2197" s="2">
        <v>93274.2</v>
      </c>
      <c r="E2197">
        <v>22747</v>
      </c>
      <c r="F2197" t="s">
        <v>15</v>
      </c>
      <c r="G2197" t="s">
        <v>16</v>
      </c>
      <c r="H2197">
        <v>116021</v>
      </c>
      <c r="I2197" t="s">
        <v>17</v>
      </c>
      <c r="J2197" t="s">
        <v>18</v>
      </c>
      <c r="K2197">
        <v>22747.69</v>
      </c>
      <c r="L2197">
        <v>116021.8</v>
      </c>
      <c r="M2197">
        <v>22</v>
      </c>
      <c r="Y2197" s="1">
        <f t="shared" si="172"/>
        <v>1072.1079999999999</v>
      </c>
      <c r="Z2197" s="2">
        <f t="shared" si="173"/>
        <v>93274.2</v>
      </c>
      <c r="AA2197" s="2">
        <f t="shared" si="174"/>
        <v>93274.185063445111</v>
      </c>
      <c r="AB2197" s="1">
        <f t="shared" si="175"/>
        <v>9.3500367996249029E-2</v>
      </c>
      <c r="AC2197" s="1" t="b">
        <f t="shared" si="176"/>
        <v>1</v>
      </c>
    </row>
    <row r="2198" spans="1:29" x14ac:dyDescent="0.25">
      <c r="A2198" s="1" t="s">
        <v>726</v>
      </c>
      <c r="B2198">
        <v>10</v>
      </c>
      <c r="C2198" t="s">
        <v>122</v>
      </c>
      <c r="D2198" s="2">
        <v>93277</v>
      </c>
      <c r="E2198">
        <v>35291</v>
      </c>
      <c r="F2198" t="s">
        <v>15</v>
      </c>
      <c r="G2198" t="s">
        <v>16</v>
      </c>
      <c r="H2198">
        <v>128568</v>
      </c>
      <c r="I2198" t="s">
        <v>17</v>
      </c>
      <c r="J2198" t="s">
        <v>16</v>
      </c>
      <c r="K2198">
        <v>35291</v>
      </c>
      <c r="L2198">
        <v>128568.6</v>
      </c>
      <c r="M2198">
        <v>22</v>
      </c>
      <c r="Y2198" s="1">
        <f t="shared" si="172"/>
        <v>1072.076</v>
      </c>
      <c r="Z2198" s="2">
        <f t="shared" si="173"/>
        <v>93277</v>
      </c>
      <c r="AA2198" s="2">
        <f t="shared" si="174"/>
        <v>93276.969170096141</v>
      </c>
      <c r="AB2198" s="1">
        <f t="shared" si="175"/>
        <v>9.3502964887795331E-2</v>
      </c>
      <c r="AC2198" s="1" t="b">
        <f t="shared" si="176"/>
        <v>1</v>
      </c>
    </row>
    <row r="2199" spans="1:29" x14ac:dyDescent="0.25">
      <c r="A2199" s="1" t="s">
        <v>727</v>
      </c>
      <c r="B2199">
        <v>100</v>
      </c>
      <c r="D2199" s="2">
        <v>93282.8</v>
      </c>
      <c r="M2199">
        <v>22</v>
      </c>
      <c r="Y2199" s="1">
        <f t="shared" si="172"/>
        <v>1072.009</v>
      </c>
      <c r="Z2199" s="2">
        <f t="shared" si="173"/>
        <v>93282.8</v>
      </c>
      <c r="AA2199" s="2">
        <f t="shared" si="174"/>
        <v>93282.798931725381</v>
      </c>
      <c r="AB2199" s="1">
        <f t="shared" si="175"/>
        <v>9.3508402882683528E-2</v>
      </c>
      <c r="AC2199" s="1" t="b">
        <f t="shared" si="176"/>
        <v>1</v>
      </c>
    </row>
    <row r="2200" spans="1:29" x14ac:dyDescent="0.25">
      <c r="A2200" s="1" t="s">
        <v>728</v>
      </c>
      <c r="B2200">
        <v>10</v>
      </c>
      <c r="D2200" s="2">
        <v>93286.399999999994</v>
      </c>
      <c r="E2200">
        <v>19872</v>
      </c>
      <c r="F2200" t="s">
        <v>15</v>
      </c>
      <c r="G2200" t="s">
        <v>18</v>
      </c>
      <c r="H2200">
        <v>113158</v>
      </c>
      <c r="I2200" t="s">
        <v>17</v>
      </c>
      <c r="J2200" t="s">
        <v>16</v>
      </c>
      <c r="K2200">
        <v>19872.43</v>
      </c>
      <c r="L2200">
        <v>113158.8</v>
      </c>
      <c r="M2200">
        <v>22</v>
      </c>
      <c r="Y2200" s="1">
        <f t="shared" si="172"/>
        <v>1071.9680000000001</v>
      </c>
      <c r="Z2200" s="2">
        <f t="shared" si="173"/>
        <v>93286.399999999994</v>
      </c>
      <c r="AA2200" s="2">
        <f t="shared" si="174"/>
        <v>93286.366757216631</v>
      </c>
      <c r="AB2200" s="1">
        <f t="shared" si="175"/>
        <v>9.3511731113809671E-2</v>
      </c>
      <c r="AC2200" s="1" t="b">
        <f t="shared" si="176"/>
        <v>1</v>
      </c>
    </row>
    <row r="2201" spans="1:29" x14ac:dyDescent="0.25">
      <c r="A2201" s="1" t="s">
        <v>729</v>
      </c>
      <c r="B2201">
        <v>200</v>
      </c>
      <c r="D2201" s="2">
        <v>93295.3</v>
      </c>
      <c r="E2201">
        <v>17627</v>
      </c>
      <c r="F2201" t="s">
        <v>15</v>
      </c>
      <c r="G2201" t="s">
        <v>16</v>
      </c>
      <c r="H2201">
        <v>110922</v>
      </c>
      <c r="I2201" t="s">
        <v>17</v>
      </c>
      <c r="J2201" t="s">
        <v>16</v>
      </c>
      <c r="K2201">
        <v>17627</v>
      </c>
      <c r="L2201">
        <v>110922.5</v>
      </c>
      <c r="M2201">
        <v>23</v>
      </c>
      <c r="Y2201" s="1">
        <f t="shared" si="172"/>
        <v>1071.865</v>
      </c>
      <c r="Z2201" s="2">
        <f t="shared" si="173"/>
        <v>93295.3</v>
      </c>
      <c r="AA2201" s="2">
        <f t="shared" si="174"/>
        <v>93295.33103515835</v>
      </c>
      <c r="AB2201" s="1">
        <f t="shared" si="175"/>
        <v>9.3520093964798906E-2</v>
      </c>
      <c r="AC2201" s="1" t="b">
        <f t="shared" si="176"/>
        <v>1</v>
      </c>
    </row>
    <row r="2202" spans="1:29" x14ac:dyDescent="0.25">
      <c r="A2202" s="1" t="s">
        <v>730</v>
      </c>
      <c r="B2202">
        <v>100</v>
      </c>
      <c r="D2202" s="2">
        <v>93328.2</v>
      </c>
      <c r="E2202">
        <v>35024</v>
      </c>
      <c r="F2202" t="s">
        <v>15</v>
      </c>
      <c r="G2202" t="s">
        <v>18</v>
      </c>
      <c r="H2202">
        <v>128352</v>
      </c>
      <c r="I2202" t="s">
        <v>17</v>
      </c>
      <c r="J2202" t="s">
        <v>16</v>
      </c>
      <c r="K2202">
        <v>35024.49</v>
      </c>
      <c r="L2202">
        <v>128352.8</v>
      </c>
      <c r="M2202">
        <v>23</v>
      </c>
      <c r="Y2202" s="1">
        <f t="shared" si="172"/>
        <v>1071.4870000000001</v>
      </c>
      <c r="Z2202" s="2">
        <f t="shared" si="173"/>
        <v>93328.2</v>
      </c>
      <c r="AA2202" s="2">
        <f t="shared" si="174"/>
        <v>93328.243833102955</v>
      </c>
      <c r="AB2202" s="1">
        <f t="shared" si="175"/>
        <v>9.3550805484855615E-2</v>
      </c>
      <c r="AC2202" s="1" t="b">
        <f t="shared" si="176"/>
        <v>1</v>
      </c>
    </row>
    <row r="2203" spans="1:29" x14ac:dyDescent="0.25">
      <c r="A2203" s="1" t="s">
        <v>731</v>
      </c>
      <c r="B2203">
        <v>300</v>
      </c>
      <c r="D2203" s="2">
        <v>93333.9</v>
      </c>
      <c r="E2203">
        <v>19308</v>
      </c>
      <c r="F2203" t="s">
        <v>15</v>
      </c>
      <c r="G2203" t="s">
        <v>23</v>
      </c>
      <c r="H2203">
        <v>112643</v>
      </c>
      <c r="I2203" t="s">
        <v>17</v>
      </c>
      <c r="J2203" t="s">
        <v>23</v>
      </c>
      <c r="K2203">
        <v>19308.93</v>
      </c>
      <c r="L2203">
        <v>112643.2</v>
      </c>
      <c r="M2203">
        <v>23</v>
      </c>
      <c r="Y2203" s="1">
        <f t="shared" si="172"/>
        <v>1071.422</v>
      </c>
      <c r="Z2203" s="2">
        <f t="shared" si="173"/>
        <v>93333.9</v>
      </c>
      <c r="AA2203" s="2">
        <f t="shared" si="174"/>
        <v>93333.905781288791</v>
      </c>
      <c r="AB2203" s="1">
        <f t="shared" si="175"/>
        <v>9.3556089841952461E-2</v>
      </c>
      <c r="AC2203" s="1" t="b">
        <f t="shared" si="176"/>
        <v>1</v>
      </c>
    </row>
    <row r="2204" spans="1:29" x14ac:dyDescent="0.25">
      <c r="A2204" s="1" t="s">
        <v>732</v>
      </c>
      <c r="B2204">
        <v>50</v>
      </c>
      <c r="D2204" s="2">
        <v>93341.6</v>
      </c>
      <c r="M2204">
        <v>23</v>
      </c>
      <c r="Y2204" s="1">
        <f t="shared" si="172"/>
        <v>1071.3340000000001</v>
      </c>
      <c r="Z2204" s="2">
        <f t="shared" si="173"/>
        <v>93341.6</v>
      </c>
      <c r="AA2204" s="2">
        <f t="shared" si="174"/>
        <v>93341.572282780151</v>
      </c>
      <c r="AB2204" s="1">
        <f t="shared" si="175"/>
        <v>9.3563245581107374E-2</v>
      </c>
      <c r="AC2204" s="1" t="b">
        <f t="shared" si="176"/>
        <v>1</v>
      </c>
    </row>
    <row r="2205" spans="1:29" x14ac:dyDescent="0.25">
      <c r="A2205" s="1" t="s">
        <v>733</v>
      </c>
      <c r="B2205">
        <v>100</v>
      </c>
      <c r="D2205" s="2">
        <v>93352.1</v>
      </c>
      <c r="M2205">
        <v>23</v>
      </c>
      <c r="Y2205" s="1">
        <f t="shared" si="172"/>
        <v>1071.213</v>
      </c>
      <c r="Z2205" s="2">
        <f t="shared" si="173"/>
        <v>93352.1</v>
      </c>
      <c r="AA2205" s="2">
        <f t="shared" si="174"/>
        <v>93352.11577902807</v>
      </c>
      <c r="AB2205" s="1">
        <f t="shared" si="175"/>
        <v>9.3573087602105309E-2</v>
      </c>
      <c r="AC2205" s="1" t="b">
        <f t="shared" si="176"/>
        <v>1</v>
      </c>
    </row>
    <row r="2206" spans="1:29" x14ac:dyDescent="0.25">
      <c r="A2206" s="1" t="s">
        <v>734</v>
      </c>
      <c r="B2206">
        <v>3</v>
      </c>
      <c r="D2206" s="2">
        <v>93392.5</v>
      </c>
      <c r="E2206">
        <v>23651</v>
      </c>
      <c r="F2206" t="s">
        <v>15</v>
      </c>
      <c r="G2206" t="s">
        <v>18</v>
      </c>
      <c r="H2206">
        <v>117044</v>
      </c>
      <c r="I2206" t="s">
        <v>17</v>
      </c>
      <c r="J2206" t="s">
        <v>18</v>
      </c>
      <c r="K2206">
        <v>23651.88</v>
      </c>
      <c r="L2206">
        <v>117044.6</v>
      </c>
      <c r="M2206">
        <v>23</v>
      </c>
      <c r="Y2206" s="1">
        <f t="shared" si="172"/>
        <v>1070.75</v>
      </c>
      <c r="Z2206" s="2">
        <f t="shared" si="173"/>
        <v>93392.5</v>
      </c>
      <c r="AA2206" s="2">
        <f t="shared" si="174"/>
        <v>93392.48190520663</v>
      </c>
      <c r="AB2206" s="1">
        <f t="shared" si="175"/>
        <v>9.3610778382071741E-2</v>
      </c>
      <c r="AC2206" s="1" t="b">
        <f t="shared" si="176"/>
        <v>1</v>
      </c>
    </row>
    <row r="2207" spans="1:29" x14ac:dyDescent="0.25">
      <c r="A2207" s="1" t="s">
        <v>735</v>
      </c>
      <c r="B2207">
        <v>7</v>
      </c>
      <c r="D2207" s="2">
        <v>93404.1</v>
      </c>
      <c r="M2207">
        <v>23</v>
      </c>
      <c r="Y2207" s="1">
        <f t="shared" si="172"/>
        <v>1070.617</v>
      </c>
      <c r="Z2207" s="2">
        <f t="shared" si="173"/>
        <v>93404.1</v>
      </c>
      <c r="AA2207" s="2">
        <f t="shared" si="174"/>
        <v>93404.083813352496</v>
      </c>
      <c r="AB2207" s="1">
        <f t="shared" si="175"/>
        <v>9.3621614365058892E-2</v>
      </c>
      <c r="AC2207" s="1" t="b">
        <f t="shared" si="176"/>
        <v>1</v>
      </c>
    </row>
    <row r="2208" spans="1:29" x14ac:dyDescent="0.25">
      <c r="A2208" s="1" t="s">
        <v>736</v>
      </c>
      <c r="B2208">
        <v>80</v>
      </c>
      <c r="D2208" s="2">
        <v>93409.600000000006</v>
      </c>
      <c r="E2208">
        <v>19360</v>
      </c>
      <c r="F2208" t="s">
        <v>15</v>
      </c>
      <c r="G2208" t="s">
        <v>50</v>
      </c>
      <c r="H2208">
        <v>112769</v>
      </c>
      <c r="I2208" t="s">
        <v>17</v>
      </c>
      <c r="J2208" t="s">
        <v>50</v>
      </c>
      <c r="K2208">
        <v>19360.099999999999</v>
      </c>
      <c r="L2208">
        <v>112769.7</v>
      </c>
      <c r="M2208">
        <v>23</v>
      </c>
      <c r="Y2208" s="1">
        <f t="shared" si="172"/>
        <v>1070.5540000000001</v>
      </c>
      <c r="Z2208" s="2">
        <f t="shared" si="173"/>
        <v>93409.600000000006</v>
      </c>
      <c r="AA2208" s="2">
        <f t="shared" si="174"/>
        <v>93409.580460210316</v>
      </c>
      <c r="AB2208" s="1">
        <f t="shared" si="175"/>
        <v>9.3626748608762522E-2</v>
      </c>
      <c r="AC2208" s="1" t="b">
        <f t="shared" si="176"/>
        <v>1</v>
      </c>
    </row>
    <row r="2209" spans="1:29" x14ac:dyDescent="0.25">
      <c r="A2209" s="1" t="s">
        <v>737</v>
      </c>
      <c r="B2209">
        <v>60</v>
      </c>
      <c r="D2209" s="2">
        <v>93417.7</v>
      </c>
      <c r="E2209">
        <v>17113</v>
      </c>
      <c r="F2209" t="s">
        <v>15</v>
      </c>
      <c r="G2209" t="s">
        <v>50</v>
      </c>
      <c r="H2209">
        <v>110530</v>
      </c>
      <c r="I2209" t="s">
        <v>17</v>
      </c>
      <c r="J2209" t="s">
        <v>50</v>
      </c>
      <c r="K2209">
        <v>17113.189999999999</v>
      </c>
      <c r="L2209">
        <v>110530.9</v>
      </c>
      <c r="M2209">
        <v>23</v>
      </c>
      <c r="Y2209" s="1">
        <f t="shared" si="172"/>
        <v>1070.461</v>
      </c>
      <c r="Z2209" s="2">
        <f t="shared" si="173"/>
        <v>93417.7</v>
      </c>
      <c r="AA2209" s="2">
        <f t="shared" si="174"/>
        <v>93417.695740433322</v>
      </c>
      <c r="AB2209" s="1">
        <f t="shared" si="175"/>
        <v>9.3634329387260878E-2</v>
      </c>
      <c r="AC2209" s="1" t="b">
        <f t="shared" si="176"/>
        <v>1</v>
      </c>
    </row>
    <row r="2210" spans="1:29" x14ac:dyDescent="0.25">
      <c r="A2210" s="1" t="s">
        <v>738</v>
      </c>
      <c r="B2210">
        <v>10</v>
      </c>
      <c r="D2210" s="2">
        <v>93428.6</v>
      </c>
      <c r="E2210">
        <v>35024</v>
      </c>
      <c r="F2210" t="s">
        <v>15</v>
      </c>
      <c r="G2210" t="s">
        <v>18</v>
      </c>
      <c r="H2210">
        <v>128453</v>
      </c>
      <c r="I2210" t="s">
        <v>17</v>
      </c>
      <c r="J2210" t="s">
        <v>18</v>
      </c>
      <c r="K2210">
        <v>35024.49</v>
      </c>
      <c r="L2210">
        <v>128453.2</v>
      </c>
      <c r="M2210">
        <v>23</v>
      </c>
      <c r="Y2210" s="1">
        <f t="shared" si="172"/>
        <v>1070.336</v>
      </c>
      <c r="Z2210" s="2">
        <f t="shared" si="173"/>
        <v>93428.6</v>
      </c>
      <c r="AA2210" s="2">
        <f t="shared" si="174"/>
        <v>93428.605596747191</v>
      </c>
      <c r="AB2210" s="1">
        <f t="shared" si="175"/>
        <v>9.364452171876271E-2</v>
      </c>
      <c r="AC2210" s="1" t="b">
        <f t="shared" si="176"/>
        <v>1</v>
      </c>
    </row>
    <row r="2211" spans="1:29" x14ac:dyDescent="0.25">
      <c r="A2211" s="1" t="s">
        <v>739</v>
      </c>
      <c r="B2211">
        <v>100</v>
      </c>
      <c r="D2211" s="2">
        <v>93436.5</v>
      </c>
      <c r="M2211">
        <v>23</v>
      </c>
      <c r="Y2211" s="1">
        <f t="shared" si="172"/>
        <v>1070.2460000000001</v>
      </c>
      <c r="Z2211" s="2">
        <f t="shared" si="173"/>
        <v>93436.5</v>
      </c>
      <c r="AA2211" s="2">
        <f t="shared" si="174"/>
        <v>93436.462271290889</v>
      </c>
      <c r="AB2211" s="1">
        <f t="shared" si="175"/>
        <v>9.3651862408871828E-2</v>
      </c>
      <c r="AC2211" s="1" t="b">
        <f t="shared" si="176"/>
        <v>1</v>
      </c>
    </row>
    <row r="2212" spans="1:29" x14ac:dyDescent="0.25">
      <c r="A2212" s="1" t="s">
        <v>740</v>
      </c>
      <c r="B2212">
        <v>500</v>
      </c>
      <c r="D2212" s="2">
        <v>93468.3</v>
      </c>
      <c r="E2212">
        <v>39725</v>
      </c>
      <c r="F2212" t="s">
        <v>15</v>
      </c>
      <c r="G2212" t="s">
        <v>57</v>
      </c>
      <c r="H2212">
        <v>133194</v>
      </c>
      <c r="I2212" t="s">
        <v>17</v>
      </c>
      <c r="J2212" t="s">
        <v>528</v>
      </c>
      <c r="K2212">
        <v>39725.99</v>
      </c>
      <c r="L2212">
        <v>133194.29999999999</v>
      </c>
      <c r="M2212">
        <v>23</v>
      </c>
      <c r="Y2212" s="1">
        <f t="shared" si="172"/>
        <v>1069.8810000000001</v>
      </c>
      <c r="Z2212" s="2">
        <f t="shared" si="173"/>
        <v>93468.3</v>
      </c>
      <c r="AA2212" s="2">
        <f t="shared" si="174"/>
        <v>93468.339002188091</v>
      </c>
      <c r="AB2212" s="1">
        <f t="shared" si="175"/>
        <v>9.3681651979139774E-2</v>
      </c>
      <c r="AC2212" s="1" t="b">
        <f t="shared" si="176"/>
        <v>1</v>
      </c>
    </row>
    <row r="2213" spans="1:29" x14ac:dyDescent="0.25">
      <c r="A2213" s="1" t="s">
        <v>741</v>
      </c>
      <c r="B2213">
        <v>20</v>
      </c>
      <c r="D2213" s="2">
        <v>93478.2</v>
      </c>
      <c r="E2213">
        <v>23844</v>
      </c>
      <c r="F2213" t="s">
        <v>15</v>
      </c>
      <c r="G2213" t="s">
        <v>16</v>
      </c>
      <c r="H2213">
        <v>117323</v>
      </c>
      <c r="I2213" t="s">
        <v>17</v>
      </c>
      <c r="J2213" t="s">
        <v>23</v>
      </c>
      <c r="K2213">
        <v>23844.58</v>
      </c>
      <c r="L2213">
        <v>117323.1</v>
      </c>
      <c r="M2213">
        <v>23</v>
      </c>
      <c r="Y2213" s="1">
        <f t="shared" si="172"/>
        <v>1069.768</v>
      </c>
      <c r="Z2213" s="2">
        <f t="shared" si="173"/>
        <v>93478.2</v>
      </c>
      <c r="AA2213" s="2">
        <f t="shared" si="174"/>
        <v>93478.212098324118</v>
      </c>
      <c r="AB2213" s="1">
        <f t="shared" si="175"/>
        <v>9.3690880685496358E-2</v>
      </c>
      <c r="AC2213" s="1" t="b">
        <f t="shared" si="176"/>
        <v>1</v>
      </c>
    </row>
    <row r="2214" spans="1:29" x14ac:dyDescent="0.25">
      <c r="A2214" s="1" t="s">
        <v>742</v>
      </c>
      <c r="B2214">
        <v>40</v>
      </c>
      <c r="D2214" s="2">
        <v>93483.3</v>
      </c>
      <c r="E2214">
        <v>24788</v>
      </c>
      <c r="F2214" t="s">
        <v>15</v>
      </c>
      <c r="G2214" t="s">
        <v>16</v>
      </c>
      <c r="H2214">
        <v>118271</v>
      </c>
      <c r="I2214" t="s">
        <v>17</v>
      </c>
      <c r="J2214" t="s">
        <v>23</v>
      </c>
      <c r="K2214">
        <v>24788.02</v>
      </c>
      <c r="L2214">
        <v>118271.6</v>
      </c>
      <c r="M2214">
        <v>23</v>
      </c>
      <c r="Y2214" s="1">
        <f t="shared" si="172"/>
        <v>1069.71</v>
      </c>
      <c r="Z2214" s="2">
        <f t="shared" si="173"/>
        <v>93483.3</v>
      </c>
      <c r="AA2214" s="2">
        <f t="shared" si="174"/>
        <v>93483.280515279839</v>
      </c>
      <c r="AB2214" s="1">
        <f t="shared" si="175"/>
        <v>9.3695618679492498E-2</v>
      </c>
      <c r="AC2214" s="1" t="b">
        <f t="shared" si="176"/>
        <v>1</v>
      </c>
    </row>
    <row r="2215" spans="1:29" x14ac:dyDescent="0.25">
      <c r="A2215" s="1" t="s">
        <v>743</v>
      </c>
      <c r="B2215">
        <v>100</v>
      </c>
      <c r="D2215" s="2">
        <v>93491</v>
      </c>
      <c r="E2215">
        <v>27604</v>
      </c>
      <c r="F2215" t="s">
        <v>15</v>
      </c>
      <c r="G2215" t="s">
        <v>16</v>
      </c>
      <c r="H2215">
        <v>121095</v>
      </c>
      <c r="I2215" t="s">
        <v>17</v>
      </c>
      <c r="J2215" t="s">
        <v>23</v>
      </c>
      <c r="K2215">
        <v>27604.26</v>
      </c>
      <c r="L2215">
        <v>121095.2</v>
      </c>
      <c r="M2215">
        <v>23</v>
      </c>
      <c r="Y2215" s="1">
        <f t="shared" si="172"/>
        <v>1069.6220000000001</v>
      </c>
      <c r="Z2215" s="2">
        <f t="shared" si="173"/>
        <v>93491</v>
      </c>
      <c r="AA2215" s="2">
        <f t="shared" si="174"/>
        <v>93490.971576874814</v>
      </c>
      <c r="AB2215" s="1">
        <f t="shared" si="175"/>
        <v>9.3702808831940071E-2</v>
      </c>
      <c r="AC2215" s="1" t="b">
        <f t="shared" si="176"/>
        <v>1</v>
      </c>
    </row>
    <row r="2216" spans="1:29" x14ac:dyDescent="0.25">
      <c r="A2216" s="1" t="s">
        <v>744</v>
      </c>
      <c r="B2216">
        <v>1</v>
      </c>
      <c r="D2216" s="2">
        <v>93499.9</v>
      </c>
      <c r="M2216">
        <v>23</v>
      </c>
      <c r="Y2216" s="1">
        <f t="shared" si="172"/>
        <v>1069.52</v>
      </c>
      <c r="Z2216" s="2">
        <f t="shared" si="173"/>
        <v>93499.9</v>
      </c>
      <c r="AA2216" s="2">
        <f t="shared" si="174"/>
        <v>93499.887800134646</v>
      </c>
      <c r="AB2216" s="1">
        <f t="shared" si="175"/>
        <v>9.3711145093188841E-2</v>
      </c>
      <c r="AC2216" s="1" t="b">
        <f t="shared" si="176"/>
        <v>1</v>
      </c>
    </row>
    <row r="2217" spans="1:29" x14ac:dyDescent="0.25">
      <c r="A2217" s="1" t="s">
        <v>745</v>
      </c>
      <c r="B2217">
        <v>60</v>
      </c>
      <c r="D2217" s="2">
        <v>93511.7</v>
      </c>
      <c r="E2217">
        <v>23532</v>
      </c>
      <c r="F2217" t="s">
        <v>15</v>
      </c>
      <c r="G2217" t="s">
        <v>28</v>
      </c>
      <c r="H2217">
        <v>117044</v>
      </c>
      <c r="I2217" t="s">
        <v>17</v>
      </c>
      <c r="J2217" t="s">
        <v>18</v>
      </c>
      <c r="K2217">
        <v>23532.86</v>
      </c>
      <c r="L2217">
        <v>117044.6</v>
      </c>
      <c r="M2217">
        <v>23</v>
      </c>
      <c r="Y2217" s="1">
        <f t="shared" si="172"/>
        <v>1069.385</v>
      </c>
      <c r="Z2217" s="2">
        <f t="shared" si="173"/>
        <v>93511.7</v>
      </c>
      <c r="AA2217" s="2">
        <f t="shared" si="174"/>
        <v>93511.691299204685</v>
      </c>
      <c r="AB2217" s="1">
        <f t="shared" si="175"/>
        <v>9.3722182048188774E-2</v>
      </c>
      <c r="AC2217" s="1" t="b">
        <f t="shared" si="176"/>
        <v>1</v>
      </c>
    </row>
    <row r="2218" spans="1:29" x14ac:dyDescent="0.25">
      <c r="A2218" s="1" t="s">
        <v>746</v>
      </c>
      <c r="B2218">
        <v>5</v>
      </c>
      <c r="D2218" s="2">
        <v>93522.2</v>
      </c>
      <c r="E2218">
        <v>22277</v>
      </c>
      <c r="F2218" t="s">
        <v>15</v>
      </c>
      <c r="G2218" t="s">
        <v>29</v>
      </c>
      <c r="H2218">
        <v>115800</v>
      </c>
      <c r="I2218" t="s">
        <v>17</v>
      </c>
      <c r="J2218" t="s">
        <v>28</v>
      </c>
      <c r="K2218">
        <v>22277.66</v>
      </c>
      <c r="L2218">
        <v>115800</v>
      </c>
      <c r="M2218">
        <v>23</v>
      </c>
      <c r="Y2218" s="1">
        <f t="shared" si="172"/>
        <v>1069.2650000000001</v>
      </c>
      <c r="Z2218" s="2">
        <f t="shared" si="173"/>
        <v>93522.2</v>
      </c>
      <c r="AA2218" s="2">
        <f t="shared" si="174"/>
        <v>93522.185800526524</v>
      </c>
      <c r="AB2218" s="1">
        <f t="shared" si="175"/>
        <v>9.3731996184541033E-2</v>
      </c>
      <c r="AC2218" s="1" t="b">
        <f t="shared" si="176"/>
        <v>1</v>
      </c>
    </row>
    <row r="2219" spans="1:29" x14ac:dyDescent="0.25">
      <c r="A2219" s="1" t="s">
        <v>747</v>
      </c>
      <c r="B2219">
        <v>20</v>
      </c>
      <c r="D2219" s="2">
        <v>93535.9</v>
      </c>
      <c r="E2219">
        <v>19360</v>
      </c>
      <c r="F2219" t="s">
        <v>15</v>
      </c>
      <c r="G2219" t="s">
        <v>50</v>
      </c>
      <c r="H2219">
        <v>112896</v>
      </c>
      <c r="I2219" t="s">
        <v>17</v>
      </c>
      <c r="J2219" t="s">
        <v>57</v>
      </c>
      <c r="K2219">
        <v>19360.099999999999</v>
      </c>
      <c r="L2219">
        <v>112896.3</v>
      </c>
      <c r="M2219">
        <v>23</v>
      </c>
      <c r="Y2219" s="1">
        <f t="shared" si="172"/>
        <v>1069.1079999999999</v>
      </c>
      <c r="Z2219" s="2">
        <f t="shared" si="173"/>
        <v>93535.9</v>
      </c>
      <c r="AA2219" s="2">
        <f t="shared" si="174"/>
        <v>93535.919663869325</v>
      </c>
      <c r="AB2219" s="1">
        <f t="shared" si="175"/>
        <v>9.3744841336829088E-2</v>
      </c>
      <c r="AC2219" s="1" t="b">
        <f t="shared" si="176"/>
        <v>1</v>
      </c>
    </row>
    <row r="2220" spans="1:29" x14ac:dyDescent="0.25">
      <c r="A2220" s="1" t="s">
        <v>748</v>
      </c>
      <c r="B2220">
        <v>500</v>
      </c>
      <c r="C2220" t="s">
        <v>122</v>
      </c>
      <c r="D2220" s="2">
        <v>93558.3</v>
      </c>
      <c r="E2220">
        <v>21238</v>
      </c>
      <c r="F2220" t="s">
        <v>15</v>
      </c>
      <c r="G2220" t="s">
        <v>50</v>
      </c>
      <c r="H2220">
        <v>114797</v>
      </c>
      <c r="I2220" t="s">
        <v>17</v>
      </c>
      <c r="J2220" t="s">
        <v>50</v>
      </c>
      <c r="K2220">
        <v>21238.78</v>
      </c>
      <c r="L2220">
        <v>114797.2</v>
      </c>
      <c r="M2220">
        <v>23</v>
      </c>
      <c r="Y2220" s="1">
        <f t="shared" si="172"/>
        <v>1068.8520000000001</v>
      </c>
      <c r="Z2220" s="2">
        <f t="shared" si="173"/>
        <v>93558.3</v>
      </c>
      <c r="AA2220" s="2">
        <f t="shared" si="174"/>
        <v>93558.322387009612</v>
      </c>
      <c r="AB2220" s="1">
        <f t="shared" si="175"/>
        <v>9.3765798439358117E-2</v>
      </c>
      <c r="AC2220" s="1" t="b">
        <f t="shared" si="176"/>
        <v>1</v>
      </c>
    </row>
    <row r="2221" spans="1:29" x14ac:dyDescent="0.25">
      <c r="A2221" s="1" t="s">
        <v>749</v>
      </c>
      <c r="B2221">
        <v>5</v>
      </c>
      <c r="C2221" t="s">
        <v>122</v>
      </c>
      <c r="D2221" s="2">
        <v>93561.1</v>
      </c>
      <c r="E2221">
        <v>22747</v>
      </c>
      <c r="F2221" t="s">
        <v>15</v>
      </c>
      <c r="G2221" t="s">
        <v>16</v>
      </c>
      <c r="H2221">
        <v>116309</v>
      </c>
      <c r="I2221" t="s">
        <v>17</v>
      </c>
      <c r="J2221" t="s">
        <v>23</v>
      </c>
      <c r="K2221">
        <v>22747.69</v>
      </c>
      <c r="L2221">
        <v>116309.2</v>
      </c>
      <c r="M2221">
        <v>23</v>
      </c>
      <c r="Y2221" s="1">
        <f t="shared" si="172"/>
        <v>1068.82</v>
      </c>
      <c r="Z2221" s="2">
        <f t="shared" si="173"/>
        <v>93561.1</v>
      </c>
      <c r="AA2221" s="2">
        <f t="shared" si="174"/>
        <v>93561.123481970775</v>
      </c>
      <c r="AB2221" s="1">
        <f t="shared" si="175"/>
        <v>9.3768419136042919E-2</v>
      </c>
      <c r="AC2221" s="1" t="b">
        <f t="shared" si="176"/>
        <v>1</v>
      </c>
    </row>
    <row r="2222" spans="1:29" x14ac:dyDescent="0.25">
      <c r="A2222" s="1" t="s">
        <v>750</v>
      </c>
      <c r="B2222">
        <v>10</v>
      </c>
      <c r="C2222" t="s">
        <v>123</v>
      </c>
      <c r="D2222" s="2">
        <v>93566.3</v>
      </c>
      <c r="M2222">
        <v>23</v>
      </c>
      <c r="Y2222" s="1">
        <f t="shared" si="172"/>
        <v>1068.761</v>
      </c>
      <c r="Z2222" s="2">
        <f t="shared" si="173"/>
        <v>93566.3</v>
      </c>
      <c r="AA2222" s="2">
        <f t="shared" si="174"/>
        <v>93566.288440540025</v>
      </c>
      <c r="AB2222" s="1">
        <f t="shared" si="175"/>
        <v>9.3773251662691681E-2</v>
      </c>
      <c r="AC2222" s="1" t="b">
        <f t="shared" si="176"/>
        <v>1</v>
      </c>
    </row>
    <row r="2223" spans="1:29" x14ac:dyDescent="0.25">
      <c r="A2223" s="1" t="s">
        <v>751</v>
      </c>
      <c r="B2223">
        <v>80</v>
      </c>
      <c r="D2223" s="2">
        <v>93576.8</v>
      </c>
      <c r="M2223">
        <v>23</v>
      </c>
      <c r="Y2223" s="1">
        <f t="shared" si="172"/>
        <v>1068.6410000000001</v>
      </c>
      <c r="Z2223" s="2">
        <f t="shared" si="173"/>
        <v>93576.8</v>
      </c>
      <c r="AA2223" s="2">
        <f t="shared" si="174"/>
        <v>93576.795200633322</v>
      </c>
      <c r="AB2223" s="1">
        <f t="shared" si="175"/>
        <v>9.3783083000106363E-2</v>
      </c>
      <c r="AC2223" s="1" t="b">
        <f t="shared" si="176"/>
        <v>1</v>
      </c>
    </row>
    <row r="2224" spans="1:29" x14ac:dyDescent="0.25">
      <c r="A2224" s="1" t="s">
        <v>752</v>
      </c>
      <c r="B2224">
        <v>200</v>
      </c>
      <c r="D2224" s="2">
        <v>93598.2</v>
      </c>
      <c r="M2224">
        <v>23</v>
      </c>
      <c r="Y2224" s="1">
        <f t="shared" si="172"/>
        <v>1068.3969999999999</v>
      </c>
      <c r="Z2224" s="2">
        <f t="shared" si="173"/>
        <v>93598.2</v>
      </c>
      <c r="AA2224" s="2">
        <f t="shared" si="174"/>
        <v>93598.166224727334</v>
      </c>
      <c r="AB2224" s="1">
        <f t="shared" si="175"/>
        <v>9.3803083603158449E-2</v>
      </c>
      <c r="AC2224" s="1" t="b">
        <f t="shared" si="176"/>
        <v>1</v>
      </c>
    </row>
    <row r="2225" spans="1:29" x14ac:dyDescent="0.25">
      <c r="A2225" s="1" t="s">
        <v>753</v>
      </c>
      <c r="B2225">
        <v>2</v>
      </c>
      <c r="D2225" s="2">
        <v>93609.3</v>
      </c>
      <c r="M2225">
        <v>23</v>
      </c>
      <c r="Y2225" s="1">
        <f t="shared" si="172"/>
        <v>1068.27</v>
      </c>
      <c r="Z2225" s="2">
        <f t="shared" si="173"/>
        <v>93609.3</v>
      </c>
      <c r="AA2225" s="2">
        <f t="shared" si="174"/>
        <v>93609.293530661729</v>
      </c>
      <c r="AB2225" s="1">
        <f t="shared" si="175"/>
        <v>9.3813499176547938E-2</v>
      </c>
      <c r="AC2225" s="1" t="b">
        <f t="shared" si="176"/>
        <v>1</v>
      </c>
    </row>
    <row r="2226" spans="1:29" x14ac:dyDescent="0.25">
      <c r="A2226" s="1" t="s">
        <v>754</v>
      </c>
      <c r="B2226">
        <v>10</v>
      </c>
      <c r="D2226" s="2">
        <v>93631.7</v>
      </c>
      <c r="M2226">
        <v>23</v>
      </c>
      <c r="Y2226" s="1">
        <f t="shared" si="172"/>
        <v>1068.0139999999999</v>
      </c>
      <c r="Z2226" s="2">
        <f t="shared" si="173"/>
        <v>93631.7</v>
      </c>
      <c r="AA2226" s="2">
        <f t="shared" si="174"/>
        <v>93631.731419251068</v>
      </c>
      <c r="AB2226" s="1">
        <f t="shared" si="175"/>
        <v>9.383450564283384E-2</v>
      </c>
      <c r="AC2226" s="1" t="b">
        <f t="shared" si="176"/>
        <v>1</v>
      </c>
    </row>
    <row r="2227" spans="1:29" x14ac:dyDescent="0.25">
      <c r="A2227" s="1" t="s">
        <v>755</v>
      </c>
      <c r="B2227">
        <v>300</v>
      </c>
      <c r="D2227" s="2">
        <v>93637.3</v>
      </c>
      <c r="M2227">
        <v>23</v>
      </c>
      <c r="Y2227" s="1">
        <f t="shared" si="172"/>
        <v>1067.95</v>
      </c>
      <c r="Z2227" s="2">
        <f t="shared" si="173"/>
        <v>93637.3</v>
      </c>
      <c r="AA2227" s="2">
        <f t="shared" si="174"/>
        <v>93637.342572217793</v>
      </c>
      <c r="AB2227" s="1">
        <f t="shared" si="175"/>
        <v>9.3839759619934349E-2</v>
      </c>
      <c r="AC2227" s="1" t="b">
        <f t="shared" si="176"/>
        <v>1</v>
      </c>
    </row>
    <row r="2228" spans="1:29" x14ac:dyDescent="0.25">
      <c r="A2228" s="1" t="s">
        <v>756</v>
      </c>
      <c r="B2228">
        <v>5</v>
      </c>
      <c r="C2228" t="s">
        <v>122</v>
      </c>
      <c r="D2228" s="2">
        <v>93640.8</v>
      </c>
      <c r="M2228">
        <v>23</v>
      </c>
      <c r="Y2228" s="1">
        <f t="shared" si="172"/>
        <v>1067.9100000000001</v>
      </c>
      <c r="Z2228" s="2">
        <f t="shared" si="173"/>
        <v>93640.8</v>
      </c>
      <c r="AA2228" s="2">
        <f t="shared" si="174"/>
        <v>93640.849884353549</v>
      </c>
      <c r="AB2228" s="1">
        <f t="shared" si="175"/>
        <v>9.3843043835320189E-2</v>
      </c>
      <c r="AC2228" s="1" t="b">
        <f t="shared" si="176"/>
        <v>1</v>
      </c>
    </row>
    <row r="2229" spans="1:29" x14ac:dyDescent="0.25">
      <c r="A2229" s="1" t="s">
        <v>757</v>
      </c>
      <c r="B2229">
        <v>10</v>
      </c>
      <c r="C2229" t="s">
        <v>123</v>
      </c>
      <c r="D2229" s="2">
        <v>93646.3</v>
      </c>
      <c r="M2229">
        <v>23</v>
      </c>
      <c r="Y2229" s="1">
        <f t="shared" si="172"/>
        <v>1067.848</v>
      </c>
      <c r="Z2229" s="2">
        <f t="shared" si="173"/>
        <v>93646.3</v>
      </c>
      <c r="AA2229" s="2">
        <f t="shared" si="174"/>
        <v>93646.286737438291</v>
      </c>
      <c r="AB2229" s="1">
        <f t="shared" si="175"/>
        <v>9.3848135098552554E-2</v>
      </c>
      <c r="AC2229" s="1" t="b">
        <f t="shared" si="176"/>
        <v>1</v>
      </c>
    </row>
    <row r="2230" spans="1:29" x14ac:dyDescent="0.25">
      <c r="A2230" s="1" t="s">
        <v>758</v>
      </c>
      <c r="B2230">
        <v>20</v>
      </c>
      <c r="D2230" s="2">
        <v>93652.3</v>
      </c>
      <c r="E2230">
        <v>21755</v>
      </c>
      <c r="F2230" t="s">
        <v>15</v>
      </c>
      <c r="G2230" t="s">
        <v>23</v>
      </c>
      <c r="H2230">
        <v>115408</v>
      </c>
      <c r="I2230" t="s">
        <v>17</v>
      </c>
      <c r="J2230" t="s">
        <v>50</v>
      </c>
      <c r="K2230">
        <v>21755.84</v>
      </c>
      <c r="L2230">
        <v>115408.4</v>
      </c>
      <c r="M2230">
        <v>23</v>
      </c>
      <c r="Y2230" s="1">
        <f t="shared" si="172"/>
        <v>1067.779</v>
      </c>
      <c r="Z2230" s="2">
        <f t="shared" si="173"/>
        <v>93652.3</v>
      </c>
      <c r="AA2230" s="2">
        <f t="shared" si="174"/>
        <v>93652.338171100942</v>
      </c>
      <c r="AB2230" s="1">
        <f t="shared" si="175"/>
        <v>9.3853802224571264E-2</v>
      </c>
      <c r="AC2230" s="1" t="b">
        <f t="shared" si="176"/>
        <v>1</v>
      </c>
    </row>
    <row r="2231" spans="1:29" x14ac:dyDescent="0.25">
      <c r="A2231" s="1" t="s">
        <v>759</v>
      </c>
      <c r="B2231">
        <v>50</v>
      </c>
      <c r="D2231" s="2">
        <v>93676.6</v>
      </c>
      <c r="E2231">
        <v>23050</v>
      </c>
      <c r="F2231" t="s">
        <v>15</v>
      </c>
      <c r="G2231" t="s">
        <v>29</v>
      </c>
      <c r="H2231">
        <v>116727</v>
      </c>
      <c r="I2231" t="s">
        <v>17</v>
      </c>
      <c r="J2231" t="s">
        <v>28</v>
      </c>
      <c r="K2231">
        <v>23050.61</v>
      </c>
      <c r="L2231">
        <v>116727.1</v>
      </c>
      <c r="M2231">
        <v>23</v>
      </c>
      <c r="Y2231" s="1">
        <f t="shared" si="172"/>
        <v>1067.5029999999999</v>
      </c>
      <c r="Z2231" s="2">
        <f t="shared" si="173"/>
        <v>93676.6</v>
      </c>
      <c r="AA2231" s="2">
        <f t="shared" si="174"/>
        <v>93676.551728660255</v>
      </c>
      <c r="AB2231" s="1">
        <f t="shared" si="175"/>
        <v>9.3876481718861815E-2</v>
      </c>
      <c r="AC2231" s="1" t="b">
        <f t="shared" si="176"/>
        <v>1</v>
      </c>
    </row>
    <row r="2232" spans="1:29" x14ac:dyDescent="0.25">
      <c r="A2232" s="1" t="s">
        <v>760</v>
      </c>
      <c r="B2232">
        <v>40</v>
      </c>
      <c r="D2232" s="2">
        <v>93684.2</v>
      </c>
      <c r="E2232">
        <v>19872</v>
      </c>
      <c r="F2232" t="s">
        <v>15</v>
      </c>
      <c r="G2232" t="s">
        <v>18</v>
      </c>
      <c r="H2232">
        <v>113556</v>
      </c>
      <c r="I2232" t="s">
        <v>17</v>
      </c>
      <c r="J2232" t="s">
        <v>28</v>
      </c>
      <c r="K2232">
        <v>19872.43</v>
      </c>
      <c r="L2232">
        <v>113556.8</v>
      </c>
      <c r="M2232">
        <v>23</v>
      </c>
      <c r="Y2232" s="1">
        <f t="shared" si="172"/>
        <v>1067.4159999999999</v>
      </c>
      <c r="Z2232" s="2">
        <f t="shared" si="173"/>
        <v>93684.2</v>
      </c>
      <c r="AA2232" s="2">
        <f t="shared" si="174"/>
        <v>93684.186858731744</v>
      </c>
      <c r="AB2232" s="1">
        <f t="shared" si="175"/>
        <v>9.3883634336908828E-2</v>
      </c>
      <c r="AC2232" s="1" t="b">
        <f t="shared" si="176"/>
        <v>1</v>
      </c>
    </row>
    <row r="2233" spans="1:29" x14ac:dyDescent="0.25">
      <c r="A2233" s="1" t="s">
        <v>761</v>
      </c>
      <c r="B2233">
        <v>10</v>
      </c>
      <c r="D2233" s="2">
        <v>93706</v>
      </c>
      <c r="E2233">
        <v>22747</v>
      </c>
      <c r="F2233" t="s">
        <v>15</v>
      </c>
      <c r="G2233" t="s">
        <v>16</v>
      </c>
      <c r="H2233">
        <v>116453</v>
      </c>
      <c r="I2233" t="s">
        <v>17</v>
      </c>
      <c r="J2233" t="s">
        <v>16</v>
      </c>
      <c r="K2233">
        <v>22747.69</v>
      </c>
      <c r="L2233">
        <v>116453.2</v>
      </c>
      <c r="M2233">
        <v>23</v>
      </c>
      <c r="Y2233" s="1">
        <f t="shared" si="172"/>
        <v>1067.1669999999999</v>
      </c>
      <c r="Z2233" s="2">
        <f t="shared" si="173"/>
        <v>93706</v>
      </c>
      <c r="AA2233" s="2">
        <f t="shared" si="174"/>
        <v>93706.046007794474</v>
      </c>
      <c r="AB2233" s="1">
        <f t="shared" si="175"/>
        <v>9.3904115292074486E-2</v>
      </c>
      <c r="AC2233" s="1" t="b">
        <f t="shared" si="176"/>
        <v>1</v>
      </c>
    </row>
    <row r="2234" spans="1:29" x14ac:dyDescent="0.25">
      <c r="A2234" s="1" t="s">
        <v>762</v>
      </c>
      <c r="B2234">
        <v>200</v>
      </c>
      <c r="D2234" s="2">
        <v>93710.399999999994</v>
      </c>
      <c r="M2234">
        <v>23</v>
      </c>
      <c r="Y2234" s="1">
        <f t="shared" si="172"/>
        <v>1067.117</v>
      </c>
      <c r="Z2234" s="2">
        <f t="shared" si="173"/>
        <v>93710.399999999994</v>
      </c>
      <c r="AA2234" s="2">
        <f t="shared" si="174"/>
        <v>93710.436625037371</v>
      </c>
      <c r="AB2234" s="1">
        <f t="shared" si="175"/>
        <v>9.390822966227573E-2</v>
      </c>
      <c r="AC2234" s="1" t="b">
        <f t="shared" si="176"/>
        <v>1</v>
      </c>
    </row>
    <row r="2235" spans="1:29" x14ac:dyDescent="0.25">
      <c r="A2235" s="1" t="s">
        <v>763</v>
      </c>
      <c r="B2235">
        <v>20</v>
      </c>
      <c r="D2235" s="2">
        <v>93714.7</v>
      </c>
      <c r="E2235">
        <v>27380</v>
      </c>
      <c r="F2235" t="s">
        <v>15</v>
      </c>
      <c r="G2235" t="s">
        <v>23</v>
      </c>
      <c r="H2235">
        <v>121095</v>
      </c>
      <c r="I2235" t="s">
        <v>17</v>
      </c>
      <c r="J2235" t="s">
        <v>23</v>
      </c>
      <c r="K2235">
        <v>27380.31</v>
      </c>
      <c r="L2235">
        <v>121095.2</v>
      </c>
      <c r="M2235">
        <v>23</v>
      </c>
      <c r="Y2235" s="1">
        <f t="shared" si="172"/>
        <v>1067.068</v>
      </c>
      <c r="Z2235" s="2">
        <f t="shared" si="173"/>
        <v>93714.7</v>
      </c>
      <c r="AA2235" s="2">
        <f t="shared" si="174"/>
        <v>93714.739829139289</v>
      </c>
      <c r="AB2235" s="1">
        <f t="shared" si="175"/>
        <v>9.3912262306216326E-2</v>
      </c>
      <c r="AC2235" s="1" t="b">
        <f t="shared" si="176"/>
        <v>1</v>
      </c>
    </row>
    <row r="2236" spans="1:29" x14ac:dyDescent="0.25">
      <c r="A2236" s="1" t="s">
        <v>764</v>
      </c>
      <c r="B2236">
        <v>10</v>
      </c>
      <c r="D2236" s="2">
        <v>93720.7</v>
      </c>
      <c r="M2236">
        <v>23</v>
      </c>
      <c r="Y2236" s="1">
        <f t="shared" si="172"/>
        <v>1067</v>
      </c>
      <c r="Z2236" s="2">
        <f t="shared" si="173"/>
        <v>93720.7</v>
      </c>
      <c r="AA2236" s="2">
        <f t="shared" si="174"/>
        <v>93720.712277413302</v>
      </c>
      <c r="AB2236" s="1">
        <f t="shared" si="175"/>
        <v>9.3917859548928451E-2</v>
      </c>
      <c r="AC2236" s="1" t="b">
        <f t="shared" si="176"/>
        <v>1</v>
      </c>
    </row>
    <row r="2237" spans="1:29" x14ac:dyDescent="0.25">
      <c r="A2237" s="1" t="s">
        <v>765</v>
      </c>
      <c r="B2237">
        <v>200</v>
      </c>
      <c r="D2237" s="2">
        <v>93729.8</v>
      </c>
      <c r="E2237">
        <v>23844</v>
      </c>
      <c r="F2237" t="s">
        <v>15</v>
      </c>
      <c r="G2237" t="s">
        <v>16</v>
      </c>
      <c r="H2237">
        <v>117574</v>
      </c>
      <c r="I2237" t="s">
        <v>17</v>
      </c>
      <c r="J2237" t="s">
        <v>23</v>
      </c>
      <c r="K2237">
        <v>23844.58</v>
      </c>
      <c r="L2237">
        <v>117574.5</v>
      </c>
      <c r="M2237">
        <v>23</v>
      </c>
      <c r="Y2237" s="1">
        <f t="shared" si="172"/>
        <v>1066.896</v>
      </c>
      <c r="Z2237" s="2">
        <f t="shared" si="173"/>
        <v>93729.8</v>
      </c>
      <c r="AA2237" s="2">
        <f t="shared" si="174"/>
        <v>93729.848082662225</v>
      </c>
      <c r="AB2237" s="1">
        <f t="shared" si="175"/>
        <v>9.3926422107994706E-2</v>
      </c>
      <c r="AC2237" s="1" t="b">
        <f t="shared" si="176"/>
        <v>1</v>
      </c>
    </row>
    <row r="2238" spans="1:29" x14ac:dyDescent="0.25">
      <c r="A2238" s="1" t="s">
        <v>766</v>
      </c>
      <c r="B2238">
        <v>20</v>
      </c>
      <c r="D2238" s="2">
        <v>93758.5</v>
      </c>
      <c r="E2238">
        <v>19872</v>
      </c>
      <c r="F2238" t="s">
        <v>15</v>
      </c>
      <c r="G2238" t="s">
        <v>18</v>
      </c>
      <c r="H2238">
        <v>113630</v>
      </c>
      <c r="I2238" t="s">
        <v>17</v>
      </c>
      <c r="J2238" t="s">
        <v>18</v>
      </c>
      <c r="K2238">
        <v>19872.43</v>
      </c>
      <c r="L2238">
        <v>113630.9</v>
      </c>
      <c r="M2238">
        <v>23</v>
      </c>
      <c r="Y2238" s="1">
        <f t="shared" si="172"/>
        <v>1066.57</v>
      </c>
      <c r="Z2238" s="2">
        <f t="shared" si="173"/>
        <v>93758.5</v>
      </c>
      <c r="AA2238" s="2">
        <f t="shared" si="174"/>
        <v>93758.496863778288</v>
      </c>
      <c r="AB2238" s="1">
        <f t="shared" si="175"/>
        <v>9.3953278670775617E-2</v>
      </c>
      <c r="AC2238" s="1" t="b">
        <f t="shared" si="176"/>
        <v>1</v>
      </c>
    </row>
    <row r="2239" spans="1:29" x14ac:dyDescent="0.25">
      <c r="A2239" s="1" t="s">
        <v>767</v>
      </c>
      <c r="B2239">
        <v>2</v>
      </c>
      <c r="D2239" s="2">
        <v>93762.9</v>
      </c>
      <c r="M2239">
        <v>23</v>
      </c>
      <c r="Y2239" s="1">
        <f t="shared" si="172"/>
        <v>1066.52</v>
      </c>
      <c r="Z2239" s="2">
        <f t="shared" si="173"/>
        <v>93762.9</v>
      </c>
      <c r="AA2239" s="2">
        <f t="shared" si="174"/>
        <v>93762.89239770468</v>
      </c>
      <c r="AB2239" s="1">
        <f t="shared" si="175"/>
        <v>9.3957399953917747E-2</v>
      </c>
      <c r="AC2239" s="1" t="b">
        <f t="shared" si="176"/>
        <v>1</v>
      </c>
    </row>
    <row r="2240" spans="1:29" x14ac:dyDescent="0.25">
      <c r="A2240" s="1" t="s">
        <v>768</v>
      </c>
      <c r="B2240">
        <v>3</v>
      </c>
      <c r="D2240" s="2">
        <v>93767.7</v>
      </c>
      <c r="E2240">
        <v>17113</v>
      </c>
      <c r="F2240" t="s">
        <v>15</v>
      </c>
      <c r="G2240" t="s">
        <v>50</v>
      </c>
      <c r="H2240">
        <v>110881</v>
      </c>
      <c r="I2240" t="s">
        <v>17</v>
      </c>
      <c r="J2240" t="s">
        <v>23</v>
      </c>
      <c r="K2240">
        <v>17113.189999999999</v>
      </c>
      <c r="L2240">
        <v>110881.1</v>
      </c>
      <c r="M2240">
        <v>23</v>
      </c>
      <c r="Y2240" s="1">
        <f t="shared" si="172"/>
        <v>1066.4649999999999</v>
      </c>
      <c r="Z2240" s="2">
        <f t="shared" si="173"/>
        <v>93767.7</v>
      </c>
      <c r="AA2240" s="2">
        <f t="shared" si="174"/>
        <v>93767.727961067649</v>
      </c>
      <c r="AB2240" s="1">
        <f t="shared" si="175"/>
        <v>9.3961934034903938E-2</v>
      </c>
      <c r="AC2240" s="1" t="b">
        <f t="shared" si="176"/>
        <v>1</v>
      </c>
    </row>
    <row r="2241" spans="1:29" x14ac:dyDescent="0.25">
      <c r="A2241" s="1" t="s">
        <v>769</v>
      </c>
      <c r="B2241">
        <v>100</v>
      </c>
      <c r="D2241" s="2">
        <v>93778.3</v>
      </c>
      <c r="E2241">
        <v>27604</v>
      </c>
      <c r="F2241" t="s">
        <v>15</v>
      </c>
      <c r="G2241" t="s">
        <v>16</v>
      </c>
      <c r="H2241">
        <v>121382</v>
      </c>
      <c r="I2241" t="s">
        <v>17</v>
      </c>
      <c r="J2241" t="s">
        <v>16</v>
      </c>
      <c r="K2241">
        <v>27604.26</v>
      </c>
      <c r="L2241">
        <v>121382.6</v>
      </c>
      <c r="M2241">
        <v>23</v>
      </c>
      <c r="Y2241" s="1">
        <f t="shared" si="172"/>
        <v>1066.345</v>
      </c>
      <c r="Z2241" s="2">
        <f t="shared" si="173"/>
        <v>93778.3</v>
      </c>
      <c r="AA2241" s="2">
        <f t="shared" si="174"/>
        <v>93778.280012566291</v>
      </c>
      <c r="AB2241" s="1">
        <f t="shared" si="175"/>
        <v>9.3971829010576449E-2</v>
      </c>
      <c r="AC2241" s="1" t="b">
        <f t="shared" si="176"/>
        <v>1</v>
      </c>
    </row>
    <row r="2242" spans="1:29" x14ac:dyDescent="0.25">
      <c r="A2242" s="1" t="s">
        <v>770</v>
      </c>
      <c r="B2242">
        <v>20</v>
      </c>
      <c r="D2242" s="2">
        <v>93789</v>
      </c>
      <c r="E2242">
        <v>21535</v>
      </c>
      <c r="F2242" t="s">
        <v>15</v>
      </c>
      <c r="G2242" t="s">
        <v>16</v>
      </c>
      <c r="H2242">
        <v>115324</v>
      </c>
      <c r="I2242" t="s">
        <v>17</v>
      </c>
      <c r="J2242" t="s">
        <v>16</v>
      </c>
      <c r="K2242">
        <v>21535.17</v>
      </c>
      <c r="L2242">
        <v>115324.3</v>
      </c>
      <c r="M2242">
        <v>23</v>
      </c>
      <c r="Y2242" s="1">
        <f t="shared" si="172"/>
        <v>1066.223</v>
      </c>
      <c r="Z2242" s="2">
        <f t="shared" si="173"/>
        <v>93789</v>
      </c>
      <c r="AA2242" s="2">
        <f t="shared" si="174"/>
        <v>93789.010366499322</v>
      </c>
      <c r="AB2242" s="1">
        <f t="shared" si="175"/>
        <v>9.3981892327636596E-2</v>
      </c>
      <c r="AC2242" s="1" t="b">
        <f t="shared" si="176"/>
        <v>1</v>
      </c>
    </row>
    <row r="2243" spans="1:29" x14ac:dyDescent="0.25">
      <c r="A2243" s="1" t="s">
        <v>771</v>
      </c>
      <c r="B2243">
        <v>3</v>
      </c>
      <c r="D2243" s="2">
        <v>93793</v>
      </c>
      <c r="M2243">
        <v>23</v>
      </c>
      <c r="Y2243" s="1">
        <f t="shared" ref="Y2243:Y2306" si="177">ROUND($A2243,3)+0</f>
        <v>1066.1769999999999</v>
      </c>
      <c r="Z2243" s="2">
        <f t="shared" ref="Z2243:Z2306" si="178">ROUND($D2243,1)+0</f>
        <v>93793</v>
      </c>
      <c r="AA2243" s="2">
        <f t="shared" ref="AA2243:AA2306" si="179">100000000/Y2243</f>
        <v>93793.056875171766</v>
      </c>
      <c r="AB2243" s="1">
        <f t="shared" ref="AB2243:AB2306" si="180">0.0005/$Y2243*AA2243+0.05</f>
        <v>9.3985687589946035E-2</v>
      </c>
      <c r="AC2243" s="1" t="b">
        <f t="shared" ref="AC2243:AC2306" si="181">ABS(Z2243-AA2243)&lt;AB2243</f>
        <v>1</v>
      </c>
    </row>
    <row r="2244" spans="1:29" x14ac:dyDescent="0.25">
      <c r="A2244" s="1" t="s">
        <v>772</v>
      </c>
      <c r="B2244">
        <v>20</v>
      </c>
      <c r="C2244" t="s">
        <v>122</v>
      </c>
      <c r="D2244" s="2">
        <v>93800.8</v>
      </c>
      <c r="E2244">
        <v>17534</v>
      </c>
      <c r="F2244" t="s">
        <v>15</v>
      </c>
      <c r="G2244" t="s">
        <v>57</v>
      </c>
      <c r="H2244">
        <v>111335</v>
      </c>
      <c r="I2244" t="s">
        <v>17</v>
      </c>
      <c r="J2244" t="s">
        <v>57</v>
      </c>
      <c r="K2244">
        <v>17534.759999999998</v>
      </c>
      <c r="L2244">
        <v>111335.1</v>
      </c>
      <c r="M2244">
        <v>23</v>
      </c>
      <c r="Y2244" s="1">
        <f t="shared" si="177"/>
        <v>1066.0889999999999</v>
      </c>
      <c r="Z2244" s="2">
        <f t="shared" si="178"/>
        <v>93800.8</v>
      </c>
      <c r="AA2244" s="2">
        <f t="shared" si="179"/>
        <v>93800.798995205841</v>
      </c>
      <c r="AB2244" s="1">
        <f t="shared" si="180"/>
        <v>9.3992949460695058E-2</v>
      </c>
      <c r="AC2244" s="1" t="b">
        <f t="shared" si="181"/>
        <v>1</v>
      </c>
    </row>
    <row r="2245" spans="1:29" x14ac:dyDescent="0.25">
      <c r="A2245" s="1" t="s">
        <v>773</v>
      </c>
      <c r="B2245">
        <v>500</v>
      </c>
      <c r="D2245" s="2">
        <v>93805.6</v>
      </c>
      <c r="E2245">
        <v>23442</v>
      </c>
      <c r="F2245" t="s">
        <v>15</v>
      </c>
      <c r="G2245" t="s">
        <v>23</v>
      </c>
      <c r="H2245">
        <v>117248</v>
      </c>
      <c r="I2245" t="s">
        <v>17</v>
      </c>
      <c r="J2245" t="s">
        <v>50</v>
      </c>
      <c r="K2245">
        <v>23442.25</v>
      </c>
      <c r="L2245">
        <v>117248.2</v>
      </c>
      <c r="M2245">
        <v>23</v>
      </c>
      <c r="Y2245" s="1">
        <f t="shared" si="177"/>
        <v>1066.0340000000001</v>
      </c>
      <c r="Z2245" s="2">
        <f t="shared" si="178"/>
        <v>93805.6</v>
      </c>
      <c r="AA2245" s="2">
        <f t="shared" si="179"/>
        <v>93805.638469317098</v>
      </c>
      <c r="AB2245" s="1">
        <f t="shared" si="180"/>
        <v>9.3997489043181115E-2</v>
      </c>
      <c r="AC2245" s="1" t="b">
        <f t="shared" si="181"/>
        <v>1</v>
      </c>
    </row>
    <row r="2246" spans="1:29" x14ac:dyDescent="0.25">
      <c r="A2246" s="1" t="s">
        <v>774</v>
      </c>
      <c r="B2246">
        <v>30</v>
      </c>
      <c r="D2246" s="2">
        <v>93827</v>
      </c>
      <c r="M2246">
        <v>23</v>
      </c>
      <c r="Y2246" s="1">
        <f t="shared" si="177"/>
        <v>1065.7909999999999</v>
      </c>
      <c r="Z2246" s="2">
        <f t="shared" si="178"/>
        <v>93827</v>
      </c>
      <c r="AA2246" s="2">
        <f t="shared" si="179"/>
        <v>93827.026124258889</v>
      </c>
      <c r="AB2246" s="1">
        <f t="shared" si="180"/>
        <v>9.401755415661181E-2</v>
      </c>
      <c r="AC2246" s="1" t="b">
        <f t="shared" si="181"/>
        <v>1</v>
      </c>
    </row>
    <row r="2247" spans="1:29" x14ac:dyDescent="0.25">
      <c r="A2247" s="1" t="s">
        <v>775</v>
      </c>
      <c r="B2247">
        <v>10</v>
      </c>
      <c r="D2247" s="2">
        <v>93841.600000000006</v>
      </c>
      <c r="M2247">
        <v>23</v>
      </c>
      <c r="Y2247" s="1">
        <f t="shared" si="177"/>
        <v>1065.625</v>
      </c>
      <c r="Z2247" s="2">
        <f t="shared" si="178"/>
        <v>93841.600000000006</v>
      </c>
      <c r="AA2247" s="2">
        <f t="shared" si="179"/>
        <v>93841.642228739001</v>
      </c>
      <c r="AB2247" s="1">
        <f t="shared" si="180"/>
        <v>9.4031269080933261E-2</v>
      </c>
      <c r="AC2247" s="1" t="b">
        <f t="shared" si="181"/>
        <v>1</v>
      </c>
    </row>
    <row r="2248" spans="1:29" x14ac:dyDescent="0.25">
      <c r="A2248" s="1" t="s">
        <v>776</v>
      </c>
      <c r="B2248">
        <v>10</v>
      </c>
      <c r="D2248" s="2">
        <v>93845.1</v>
      </c>
      <c r="E2248">
        <v>25033</v>
      </c>
      <c r="F2248" t="s">
        <v>15</v>
      </c>
      <c r="G2248" t="s">
        <v>16</v>
      </c>
      <c r="H2248">
        <v>118879</v>
      </c>
      <c r="I2248" t="s">
        <v>17</v>
      </c>
      <c r="J2248" t="s">
        <v>23</v>
      </c>
      <c r="K2248">
        <v>25033.91</v>
      </c>
      <c r="L2248">
        <v>118879.3</v>
      </c>
      <c r="M2248">
        <v>23</v>
      </c>
      <c r="Y2248" s="1">
        <f t="shared" si="177"/>
        <v>1065.586</v>
      </c>
      <c r="Z2248" s="2">
        <f t="shared" si="178"/>
        <v>93845.1</v>
      </c>
      <c r="AA2248" s="2">
        <f t="shared" si="179"/>
        <v>93845.076793426342</v>
      </c>
      <c r="AB2248" s="1">
        <f t="shared" si="180"/>
        <v>9.4034492191820446E-2</v>
      </c>
      <c r="AC2248" s="1" t="b">
        <f t="shared" si="181"/>
        <v>1</v>
      </c>
    </row>
    <row r="2249" spans="1:29" x14ac:dyDescent="0.25">
      <c r="A2249" s="1" t="s">
        <v>777</v>
      </c>
      <c r="B2249">
        <v>80</v>
      </c>
      <c r="D2249" s="2">
        <v>93850.5</v>
      </c>
      <c r="M2249">
        <v>23</v>
      </c>
      <c r="Y2249" s="1">
        <f t="shared" si="177"/>
        <v>1065.5239999999999</v>
      </c>
      <c r="Z2249" s="2">
        <f t="shared" si="178"/>
        <v>93850.5</v>
      </c>
      <c r="AA2249" s="2">
        <f t="shared" si="179"/>
        <v>93850.537388177094</v>
      </c>
      <c r="AB2249" s="1">
        <f t="shared" si="180"/>
        <v>9.4039616840248141E-2</v>
      </c>
      <c r="AC2249" s="1" t="b">
        <f t="shared" si="181"/>
        <v>1</v>
      </c>
    </row>
    <row r="2250" spans="1:29" x14ac:dyDescent="0.25">
      <c r="A2250" s="1" t="s">
        <v>778</v>
      </c>
      <c r="B2250">
        <v>20</v>
      </c>
      <c r="D2250" s="2">
        <v>93855.8</v>
      </c>
      <c r="M2250">
        <v>23</v>
      </c>
      <c r="Y2250" s="1">
        <f t="shared" si="177"/>
        <v>1065.4639999999999</v>
      </c>
      <c r="Z2250" s="2">
        <f t="shared" si="178"/>
        <v>93855.8</v>
      </c>
      <c r="AA2250" s="2">
        <f t="shared" si="179"/>
        <v>93855.822439800875</v>
      </c>
      <c r="AB2250" s="1">
        <f t="shared" si="180"/>
        <v>9.4044577029257143E-2</v>
      </c>
      <c r="AC2250" s="1" t="b">
        <f t="shared" si="181"/>
        <v>1</v>
      </c>
    </row>
    <row r="2251" spans="1:29" x14ac:dyDescent="0.25">
      <c r="A2251" s="1" t="s">
        <v>779</v>
      </c>
      <c r="B2251">
        <v>40</v>
      </c>
      <c r="D2251" s="2">
        <v>93867.5</v>
      </c>
      <c r="E2251">
        <v>21535</v>
      </c>
      <c r="F2251" t="s">
        <v>15</v>
      </c>
      <c r="G2251" t="s">
        <v>16</v>
      </c>
      <c r="H2251">
        <v>115403</v>
      </c>
      <c r="I2251" t="s">
        <v>17</v>
      </c>
      <c r="J2251" t="s">
        <v>23</v>
      </c>
      <c r="K2251">
        <v>21535.17</v>
      </c>
      <c r="L2251">
        <v>115403.3</v>
      </c>
      <c r="M2251">
        <v>23</v>
      </c>
      <c r="Y2251" s="1">
        <f t="shared" si="177"/>
        <v>1065.3309999999999</v>
      </c>
      <c r="Z2251" s="2">
        <f t="shared" si="178"/>
        <v>93867.5</v>
      </c>
      <c r="AA2251" s="2">
        <f t="shared" si="179"/>
        <v>93867.53975994316</v>
      </c>
      <c r="AB2251" s="1">
        <f t="shared" si="180"/>
        <v>9.4055575102922562E-2</v>
      </c>
      <c r="AC2251" s="1" t="b">
        <f t="shared" si="181"/>
        <v>1</v>
      </c>
    </row>
    <row r="2252" spans="1:29" x14ac:dyDescent="0.25">
      <c r="A2252" s="1" t="s">
        <v>780</v>
      </c>
      <c r="B2252">
        <v>2</v>
      </c>
      <c r="D2252" s="2">
        <v>93877</v>
      </c>
      <c r="M2252">
        <v>23</v>
      </c>
      <c r="Y2252" s="1">
        <f t="shared" si="177"/>
        <v>1065.2239999999999</v>
      </c>
      <c r="Z2252" s="2">
        <f t="shared" si="178"/>
        <v>93877</v>
      </c>
      <c r="AA2252" s="2">
        <f t="shared" si="179"/>
        <v>93876.968600031541</v>
      </c>
      <c r="AB2252" s="1">
        <f t="shared" si="180"/>
        <v>9.4064426167656548E-2</v>
      </c>
      <c r="AC2252" s="1" t="b">
        <f t="shared" si="181"/>
        <v>1</v>
      </c>
    </row>
    <row r="2253" spans="1:29" x14ac:dyDescent="0.25">
      <c r="A2253" s="1" t="s">
        <v>781</v>
      </c>
      <c r="B2253">
        <v>20</v>
      </c>
      <c r="D2253" s="2">
        <v>93885.4</v>
      </c>
      <c r="E2253">
        <v>21535</v>
      </c>
      <c r="F2253" t="s">
        <v>15</v>
      </c>
      <c r="G2253" t="s">
        <v>16</v>
      </c>
      <c r="H2253">
        <v>115420</v>
      </c>
      <c r="I2253" t="s">
        <v>17</v>
      </c>
      <c r="J2253" t="s">
        <v>18</v>
      </c>
      <c r="K2253">
        <v>21535.17</v>
      </c>
      <c r="L2253">
        <v>115420.8</v>
      </c>
      <c r="M2253">
        <v>23</v>
      </c>
      <c r="Y2253" s="1">
        <f t="shared" si="177"/>
        <v>1065.1279999999999</v>
      </c>
      <c r="Z2253" s="2">
        <f t="shared" si="178"/>
        <v>93885.4</v>
      </c>
      <c r="AA2253" s="2">
        <f t="shared" si="179"/>
        <v>93885.429732388977</v>
      </c>
      <c r="AB2253" s="1">
        <f t="shared" si="180"/>
        <v>9.4072369580176743E-2</v>
      </c>
      <c r="AC2253" s="1" t="b">
        <f t="shared" si="181"/>
        <v>1</v>
      </c>
    </row>
    <row r="2254" spans="1:29" x14ac:dyDescent="0.25">
      <c r="A2254" s="1" t="s">
        <v>782</v>
      </c>
      <c r="B2254">
        <v>40</v>
      </c>
      <c r="D2254" s="2">
        <v>93899.3</v>
      </c>
      <c r="E2254">
        <v>19700</v>
      </c>
      <c r="F2254" t="s">
        <v>15</v>
      </c>
      <c r="G2254" t="s">
        <v>23</v>
      </c>
      <c r="H2254">
        <v>113600</v>
      </c>
      <c r="I2254" t="s">
        <v>17</v>
      </c>
      <c r="J2254" t="s">
        <v>50</v>
      </c>
      <c r="K2254">
        <v>19700.900000000001</v>
      </c>
      <c r="L2254">
        <v>113600.3</v>
      </c>
      <c r="M2254">
        <v>23</v>
      </c>
      <c r="Y2254" s="1">
        <f t="shared" si="177"/>
        <v>1064.971</v>
      </c>
      <c r="Z2254" s="2">
        <f t="shared" si="178"/>
        <v>93899.3</v>
      </c>
      <c r="AA2254" s="2">
        <f t="shared" si="179"/>
        <v>93899.270496567508</v>
      </c>
      <c r="AB2254" s="1">
        <f t="shared" si="180"/>
        <v>9.408536499893777E-2</v>
      </c>
      <c r="AC2254" s="1" t="b">
        <f t="shared" si="181"/>
        <v>1</v>
      </c>
    </row>
    <row r="2255" spans="1:29" x14ac:dyDescent="0.25">
      <c r="A2255" s="1" t="s">
        <v>783</v>
      </c>
      <c r="B2255">
        <v>10</v>
      </c>
      <c r="D2255" s="2">
        <v>93907.8</v>
      </c>
      <c r="E2255">
        <v>19872</v>
      </c>
      <c r="F2255" t="s">
        <v>15</v>
      </c>
      <c r="G2255" t="s">
        <v>18</v>
      </c>
      <c r="H2255">
        <v>113780</v>
      </c>
      <c r="I2255" t="s">
        <v>17</v>
      </c>
      <c r="J2255" t="s">
        <v>16</v>
      </c>
      <c r="K2255">
        <v>19872.43</v>
      </c>
      <c r="L2255">
        <v>113780.5</v>
      </c>
      <c r="M2255">
        <v>23</v>
      </c>
      <c r="Y2255" s="1">
        <f t="shared" si="177"/>
        <v>1064.874</v>
      </c>
      <c r="Z2255" s="2">
        <f t="shared" si="178"/>
        <v>93907.8</v>
      </c>
      <c r="AA2255" s="2">
        <f t="shared" si="179"/>
        <v>93907.823836435113</v>
      </c>
      <c r="AB2255" s="1">
        <f t="shared" si="180"/>
        <v>9.4093396888474651E-2</v>
      </c>
      <c r="AC2255" s="1" t="b">
        <f t="shared" si="181"/>
        <v>1</v>
      </c>
    </row>
    <row r="2256" spans="1:29" x14ac:dyDescent="0.25">
      <c r="A2256" s="1" t="s">
        <v>784</v>
      </c>
      <c r="B2256">
        <v>50</v>
      </c>
      <c r="D2256" s="2">
        <v>93914.8</v>
      </c>
      <c r="M2256">
        <v>23</v>
      </c>
      <c r="Y2256" s="1">
        <f t="shared" si="177"/>
        <v>1064.7950000000001</v>
      </c>
      <c r="Z2256" s="2">
        <f t="shared" si="178"/>
        <v>93914.8</v>
      </c>
      <c r="AA2256" s="2">
        <f t="shared" si="179"/>
        <v>93914.791110025864</v>
      </c>
      <c r="AB2256" s="1">
        <f t="shared" si="180"/>
        <v>9.4099939946198974E-2</v>
      </c>
      <c r="AC2256" s="1" t="b">
        <f t="shared" si="181"/>
        <v>1</v>
      </c>
    </row>
    <row r="2257" spans="1:29" x14ac:dyDescent="0.25">
      <c r="A2257" s="1" t="s">
        <v>785</v>
      </c>
      <c r="B2257">
        <v>20</v>
      </c>
      <c r="C2257" t="s">
        <v>122</v>
      </c>
      <c r="D2257" s="2">
        <v>93928.5</v>
      </c>
      <c r="E2257">
        <v>27604</v>
      </c>
      <c r="F2257" t="s">
        <v>15</v>
      </c>
      <c r="G2257" t="s">
        <v>16</v>
      </c>
      <c r="H2257">
        <v>121532</v>
      </c>
      <c r="I2257" t="s">
        <v>17</v>
      </c>
      <c r="J2257" t="s">
        <v>23</v>
      </c>
      <c r="K2257">
        <v>27604.26</v>
      </c>
      <c r="L2257">
        <v>121532.5</v>
      </c>
      <c r="M2257">
        <v>23</v>
      </c>
      <c r="Y2257" s="1">
        <f t="shared" si="177"/>
        <v>1064.6400000000001</v>
      </c>
      <c r="Z2257" s="2">
        <f t="shared" si="178"/>
        <v>93928.5</v>
      </c>
      <c r="AA2257" s="2">
        <f t="shared" si="179"/>
        <v>93928.46408175533</v>
      </c>
      <c r="AB2257" s="1">
        <f t="shared" si="180"/>
        <v>9.4112781823788016E-2</v>
      </c>
      <c r="AC2257" s="1" t="b">
        <f t="shared" si="181"/>
        <v>1</v>
      </c>
    </row>
    <row r="2258" spans="1:29" x14ac:dyDescent="0.25">
      <c r="A2258" s="1" t="s">
        <v>786</v>
      </c>
      <c r="B2258">
        <v>100</v>
      </c>
      <c r="D2258" s="2">
        <v>93933.3</v>
      </c>
      <c r="E2258">
        <v>34520</v>
      </c>
      <c r="F2258" t="s">
        <v>15</v>
      </c>
      <c r="G2258" t="s">
        <v>28</v>
      </c>
      <c r="H2258">
        <v>128453</v>
      </c>
      <c r="I2258" t="s">
        <v>17</v>
      </c>
      <c r="J2258" t="s">
        <v>18</v>
      </c>
      <c r="K2258">
        <v>34520.269999999997</v>
      </c>
      <c r="L2258">
        <v>128453.2</v>
      </c>
      <c r="M2258">
        <v>23</v>
      </c>
      <c r="Y2258" s="1">
        <f t="shared" si="177"/>
        <v>1064.585</v>
      </c>
      <c r="Z2258" s="2">
        <f t="shared" si="178"/>
        <v>93933.3</v>
      </c>
      <c r="AA2258" s="2">
        <f t="shared" si="179"/>
        <v>93933.316738447378</v>
      </c>
      <c r="AB2258" s="1">
        <f t="shared" si="180"/>
        <v>9.4117339967427383E-2</v>
      </c>
      <c r="AC2258" s="1" t="b">
        <f t="shared" si="181"/>
        <v>1</v>
      </c>
    </row>
    <row r="2259" spans="1:29" x14ac:dyDescent="0.25">
      <c r="A2259" s="1" t="s">
        <v>787</v>
      </c>
      <c r="B2259">
        <v>40</v>
      </c>
      <c r="D2259" s="2">
        <v>93940.9</v>
      </c>
      <c r="E2259">
        <v>22080</v>
      </c>
      <c r="F2259" t="s">
        <v>15</v>
      </c>
      <c r="G2259" t="s">
        <v>18</v>
      </c>
      <c r="H2259">
        <v>116021</v>
      </c>
      <c r="I2259" t="s">
        <v>17</v>
      </c>
      <c r="J2259" t="s">
        <v>18</v>
      </c>
      <c r="K2259">
        <v>22080.94</v>
      </c>
      <c r="L2259">
        <v>116021.8</v>
      </c>
      <c r="M2259">
        <v>23</v>
      </c>
      <c r="Y2259" s="1">
        <f t="shared" si="177"/>
        <v>1064.499</v>
      </c>
      <c r="Z2259" s="2">
        <f t="shared" si="178"/>
        <v>93940.9</v>
      </c>
      <c r="AA2259" s="2">
        <f t="shared" si="179"/>
        <v>93940.905533964804</v>
      </c>
      <c r="AB2259" s="1">
        <f t="shared" si="180"/>
        <v>9.412446866270649E-2</v>
      </c>
      <c r="AC2259" s="1" t="b">
        <f t="shared" si="181"/>
        <v>1</v>
      </c>
    </row>
    <row r="2260" spans="1:29" x14ac:dyDescent="0.25">
      <c r="A2260" s="1" t="s">
        <v>788</v>
      </c>
      <c r="B2260">
        <v>100</v>
      </c>
      <c r="D2260" s="2">
        <v>93950.5</v>
      </c>
      <c r="E2260">
        <v>24250</v>
      </c>
      <c r="F2260" t="s">
        <v>15</v>
      </c>
      <c r="G2260" t="s">
        <v>29</v>
      </c>
      <c r="H2260">
        <v>118201</v>
      </c>
      <c r="I2260" t="s">
        <v>17</v>
      </c>
      <c r="J2260" t="s">
        <v>29</v>
      </c>
      <c r="K2260">
        <v>24250.62</v>
      </c>
      <c r="L2260">
        <v>118201.4</v>
      </c>
      <c r="M2260">
        <v>23</v>
      </c>
      <c r="Y2260" s="1">
        <f t="shared" si="177"/>
        <v>1064.3900000000001</v>
      </c>
      <c r="Z2260" s="2">
        <f t="shared" si="178"/>
        <v>93950.5</v>
      </c>
      <c r="AA2260" s="2">
        <f t="shared" si="179"/>
        <v>93950.525653191027</v>
      </c>
      <c r="AB2260" s="1">
        <f t="shared" si="180"/>
        <v>9.4133506352554519E-2</v>
      </c>
      <c r="AC2260" s="1" t="b">
        <f t="shared" si="181"/>
        <v>1</v>
      </c>
    </row>
    <row r="2261" spans="1:29" x14ac:dyDescent="0.25">
      <c r="A2261" s="1" t="s">
        <v>789</v>
      </c>
      <c r="B2261">
        <v>50</v>
      </c>
      <c r="D2261" s="2">
        <v>93959.4</v>
      </c>
      <c r="M2261">
        <v>23</v>
      </c>
      <c r="Y2261" s="1">
        <f t="shared" si="177"/>
        <v>1064.289</v>
      </c>
      <c r="Z2261" s="2">
        <f t="shared" si="178"/>
        <v>93959.4</v>
      </c>
      <c r="AA2261" s="2">
        <f t="shared" si="179"/>
        <v>93959.441467496144</v>
      </c>
      <c r="AB2261" s="1">
        <f t="shared" si="180"/>
        <v>9.4141883204419172E-2</v>
      </c>
      <c r="AC2261" s="1" t="b">
        <f t="shared" si="181"/>
        <v>1</v>
      </c>
    </row>
    <row r="2262" spans="1:29" x14ac:dyDescent="0.25">
      <c r="A2262" s="1" t="s">
        <v>790</v>
      </c>
      <c r="B2262">
        <v>10</v>
      </c>
      <c r="C2262" t="s">
        <v>122</v>
      </c>
      <c r="D2262" s="2">
        <v>93973.7</v>
      </c>
      <c r="M2262">
        <v>23</v>
      </c>
      <c r="Y2262" s="1">
        <f t="shared" si="177"/>
        <v>1064.127</v>
      </c>
      <c r="Z2262" s="2">
        <f t="shared" si="178"/>
        <v>93973.7</v>
      </c>
      <c r="AA2262" s="2">
        <f t="shared" si="179"/>
        <v>93973.745614950094</v>
      </c>
      <c r="AB2262" s="1">
        <f t="shared" si="180"/>
        <v>9.4155324324516759E-2</v>
      </c>
      <c r="AC2262" s="1" t="b">
        <f t="shared" si="181"/>
        <v>1</v>
      </c>
    </row>
    <row r="2263" spans="1:29" x14ac:dyDescent="0.25">
      <c r="A2263" s="1" t="s">
        <v>791</v>
      </c>
      <c r="B2263">
        <v>5</v>
      </c>
      <c r="C2263" t="s">
        <v>122</v>
      </c>
      <c r="D2263" s="2">
        <v>93976</v>
      </c>
      <c r="M2263">
        <v>23</v>
      </c>
      <c r="Y2263" s="1">
        <f t="shared" si="177"/>
        <v>1064.1020000000001</v>
      </c>
      <c r="Z2263" s="2">
        <f t="shared" si="178"/>
        <v>93976</v>
      </c>
      <c r="AA2263" s="2">
        <f t="shared" si="179"/>
        <v>93975.953433035553</v>
      </c>
      <c r="AB2263" s="1">
        <f t="shared" si="180"/>
        <v>9.4157399118240337E-2</v>
      </c>
      <c r="AC2263" s="1" t="b">
        <f t="shared" si="181"/>
        <v>1</v>
      </c>
    </row>
    <row r="2264" spans="1:29" x14ac:dyDescent="0.25">
      <c r="A2264" s="1" t="s">
        <v>792</v>
      </c>
      <c r="B2264">
        <v>20</v>
      </c>
      <c r="D2264" s="2">
        <v>93991.5</v>
      </c>
      <c r="M2264">
        <v>23</v>
      </c>
      <c r="Y2264" s="1">
        <f t="shared" si="177"/>
        <v>1063.9259999999999</v>
      </c>
      <c r="Z2264" s="2">
        <f t="shared" si="178"/>
        <v>93991.5</v>
      </c>
      <c r="AA2264" s="2">
        <f t="shared" si="179"/>
        <v>93991.499408793476</v>
      </c>
      <c r="AB2264" s="1">
        <f t="shared" si="180"/>
        <v>9.4172009805566129E-2</v>
      </c>
      <c r="AC2264" s="1" t="b">
        <f t="shared" si="181"/>
        <v>1</v>
      </c>
    </row>
    <row r="2265" spans="1:29" x14ac:dyDescent="0.25">
      <c r="A2265" s="1" t="s">
        <v>793</v>
      </c>
      <c r="B2265">
        <v>60</v>
      </c>
      <c r="C2265" t="s">
        <v>27</v>
      </c>
      <c r="D2265" s="2">
        <v>93997.5</v>
      </c>
      <c r="E2265">
        <v>17113</v>
      </c>
      <c r="F2265" t="s">
        <v>15</v>
      </c>
      <c r="G2265" t="s">
        <v>50</v>
      </c>
      <c r="H2265">
        <v>111110</v>
      </c>
      <c r="I2265" t="s">
        <v>17</v>
      </c>
      <c r="J2265" t="s">
        <v>50</v>
      </c>
      <c r="K2265">
        <v>17113.189999999999</v>
      </c>
      <c r="L2265">
        <v>111110.3</v>
      </c>
      <c r="M2265">
        <v>23</v>
      </c>
      <c r="Y2265" s="1">
        <f t="shared" si="177"/>
        <v>1063.8579999999999</v>
      </c>
      <c r="Z2265" s="2">
        <f t="shared" si="178"/>
        <v>93997.5</v>
      </c>
      <c r="AA2265" s="2">
        <f t="shared" si="179"/>
        <v>93997.507186109433</v>
      </c>
      <c r="AB2265" s="1">
        <f t="shared" si="180"/>
        <v>9.4177656786013475E-2</v>
      </c>
      <c r="AC2265" s="1" t="b">
        <f t="shared" si="181"/>
        <v>1</v>
      </c>
    </row>
    <row r="2266" spans="1:29" x14ac:dyDescent="0.25">
      <c r="A2266" s="1" t="s">
        <v>793</v>
      </c>
      <c r="B2266">
        <v>60</v>
      </c>
      <c r="C2266" t="s">
        <v>27</v>
      </c>
      <c r="D2266" s="2">
        <v>93997.5</v>
      </c>
      <c r="E2266">
        <v>24470</v>
      </c>
      <c r="F2266" t="s">
        <v>15</v>
      </c>
      <c r="G2266" t="s">
        <v>18</v>
      </c>
      <c r="H2266">
        <v>118468</v>
      </c>
      <c r="I2266" t="s">
        <v>17</v>
      </c>
      <c r="J2266" t="s">
        <v>16</v>
      </c>
      <c r="K2266">
        <v>24470.9</v>
      </c>
      <c r="L2266">
        <v>118468.8</v>
      </c>
      <c r="M2266">
        <v>23</v>
      </c>
      <c r="Y2266" s="1">
        <f t="shared" si="177"/>
        <v>1063.8579999999999</v>
      </c>
      <c r="Z2266" s="2">
        <f t="shared" si="178"/>
        <v>93997.5</v>
      </c>
      <c r="AA2266" s="2">
        <f t="shared" si="179"/>
        <v>93997.507186109433</v>
      </c>
      <c r="AB2266" s="1">
        <f t="shared" si="180"/>
        <v>9.4177656786013475E-2</v>
      </c>
      <c r="AC2266" s="1" t="b">
        <f t="shared" si="181"/>
        <v>1</v>
      </c>
    </row>
    <row r="2267" spans="1:29" x14ac:dyDescent="0.25">
      <c r="A2267" s="1" t="s">
        <v>794</v>
      </c>
      <c r="B2267">
        <v>10</v>
      </c>
      <c r="D2267" s="2">
        <v>94007.4</v>
      </c>
      <c r="E2267">
        <v>23532</v>
      </c>
      <c r="F2267" t="s">
        <v>15</v>
      </c>
      <c r="G2267" t="s">
        <v>28</v>
      </c>
      <c r="H2267">
        <v>117540</v>
      </c>
      <c r="I2267" t="s">
        <v>17</v>
      </c>
      <c r="J2267" t="s">
        <v>29</v>
      </c>
      <c r="K2267">
        <v>23532.86</v>
      </c>
      <c r="L2267">
        <v>117540.5</v>
      </c>
      <c r="M2267">
        <v>23</v>
      </c>
      <c r="Y2267" s="1">
        <f t="shared" si="177"/>
        <v>1063.7460000000001</v>
      </c>
      <c r="Z2267" s="2">
        <f t="shared" si="178"/>
        <v>94007.4</v>
      </c>
      <c r="AA2267" s="2">
        <f t="shared" si="179"/>
        <v>94007.404023140858</v>
      </c>
      <c r="AB2267" s="1">
        <f t="shared" si="180"/>
        <v>9.41869600558502E-2</v>
      </c>
      <c r="AC2267" s="1" t="b">
        <f t="shared" si="181"/>
        <v>1</v>
      </c>
    </row>
    <row r="2268" spans="1:29" x14ac:dyDescent="0.25">
      <c r="A2268" s="1" t="s">
        <v>795</v>
      </c>
      <c r="B2268">
        <v>20</v>
      </c>
      <c r="D2268" s="2">
        <v>94015.6</v>
      </c>
      <c r="E2268">
        <v>34198</v>
      </c>
      <c r="F2268" t="s">
        <v>15</v>
      </c>
      <c r="G2268" t="s">
        <v>258</v>
      </c>
      <c r="H2268">
        <v>128214</v>
      </c>
      <c r="I2268" t="s">
        <v>17</v>
      </c>
      <c r="J2268" t="s">
        <v>29</v>
      </c>
      <c r="K2268">
        <v>34198.61</v>
      </c>
      <c r="L2268">
        <v>128214.2</v>
      </c>
      <c r="M2268">
        <v>23</v>
      </c>
      <c r="Y2268" s="1">
        <f t="shared" si="177"/>
        <v>1063.653</v>
      </c>
      <c r="Z2268" s="2">
        <f t="shared" si="178"/>
        <v>94015.6</v>
      </c>
      <c r="AA2268" s="2">
        <f t="shared" si="179"/>
        <v>94015.623516315944</v>
      </c>
      <c r="AB2268" s="1">
        <f t="shared" si="180"/>
        <v>9.4194687325808296E-2</v>
      </c>
      <c r="AC2268" s="1" t="b">
        <f t="shared" si="181"/>
        <v>1</v>
      </c>
    </row>
    <row r="2269" spans="1:29" x14ac:dyDescent="0.25">
      <c r="A2269" s="1" t="s">
        <v>796</v>
      </c>
      <c r="B2269">
        <v>20</v>
      </c>
      <c r="D2269" s="2">
        <v>94041.4</v>
      </c>
      <c r="E2269">
        <v>19872</v>
      </c>
      <c r="F2269" t="s">
        <v>15</v>
      </c>
      <c r="G2269" t="s">
        <v>18</v>
      </c>
      <c r="H2269">
        <v>113914</v>
      </c>
      <c r="I2269" t="s">
        <v>17</v>
      </c>
      <c r="J2269" t="s">
        <v>28</v>
      </c>
      <c r="K2269">
        <v>19872.43</v>
      </c>
      <c r="L2269">
        <v>113914.1</v>
      </c>
      <c r="M2269">
        <v>23</v>
      </c>
      <c r="Y2269" s="1">
        <f t="shared" si="177"/>
        <v>1063.3620000000001</v>
      </c>
      <c r="Z2269" s="2">
        <f t="shared" si="178"/>
        <v>94041.4</v>
      </c>
      <c r="AA2269" s="2">
        <f t="shared" si="179"/>
        <v>94041.351863241303</v>
      </c>
      <c r="AB2269" s="1">
        <f t="shared" si="180"/>
        <v>9.42188793013298E-2</v>
      </c>
      <c r="AC2269" s="1" t="b">
        <f t="shared" si="181"/>
        <v>1</v>
      </c>
    </row>
    <row r="2270" spans="1:29" x14ac:dyDescent="0.25">
      <c r="A2270" s="1" t="s">
        <v>797</v>
      </c>
      <c r="B2270">
        <v>100</v>
      </c>
      <c r="D2270" s="2">
        <v>94050.8</v>
      </c>
      <c r="E2270">
        <v>27380</v>
      </c>
      <c r="F2270" t="s">
        <v>15</v>
      </c>
      <c r="G2270" t="s">
        <v>23</v>
      </c>
      <c r="H2270">
        <v>121431</v>
      </c>
      <c r="I2270" t="s">
        <v>17</v>
      </c>
      <c r="J2270" t="s">
        <v>50</v>
      </c>
      <c r="K2270">
        <v>27380.31</v>
      </c>
      <c r="L2270">
        <v>121431.2</v>
      </c>
      <c r="M2270">
        <v>23</v>
      </c>
      <c r="Y2270" s="1">
        <f t="shared" si="177"/>
        <v>1063.2550000000001</v>
      </c>
      <c r="Z2270" s="2">
        <f t="shared" si="178"/>
        <v>94050.8</v>
      </c>
      <c r="AA2270" s="2">
        <f t="shared" si="179"/>
        <v>94050.815655698767</v>
      </c>
      <c r="AB2270" s="1">
        <f t="shared" si="180"/>
        <v>9.4227779627511166E-2</v>
      </c>
      <c r="AC2270" s="1" t="b">
        <f t="shared" si="181"/>
        <v>1</v>
      </c>
    </row>
    <row r="2271" spans="1:29" x14ac:dyDescent="0.25">
      <c r="A2271" s="1" t="s">
        <v>798</v>
      </c>
      <c r="B2271">
        <v>70</v>
      </c>
      <c r="D2271" s="2">
        <v>94059</v>
      </c>
      <c r="E2271">
        <v>21611</v>
      </c>
      <c r="F2271" t="s">
        <v>15</v>
      </c>
      <c r="G2271" t="s">
        <v>28</v>
      </c>
      <c r="H2271">
        <v>115670</v>
      </c>
      <c r="I2271" t="s">
        <v>17</v>
      </c>
      <c r="J2271" t="s">
        <v>18</v>
      </c>
      <c r="K2271">
        <v>21611.19</v>
      </c>
      <c r="L2271">
        <v>115670</v>
      </c>
      <c r="M2271">
        <v>23</v>
      </c>
      <c r="Y2271" s="1">
        <f t="shared" si="177"/>
        <v>1063.163</v>
      </c>
      <c r="Z2271" s="2">
        <f t="shared" si="178"/>
        <v>94059</v>
      </c>
      <c r="AA2271" s="2">
        <f t="shared" si="179"/>
        <v>94058.954271358205</v>
      </c>
      <c r="AB2271" s="1">
        <f t="shared" si="180"/>
        <v>9.4235434393107276E-2</v>
      </c>
      <c r="AC2271" s="1" t="b">
        <f t="shared" si="181"/>
        <v>1</v>
      </c>
    </row>
    <row r="2272" spans="1:29" x14ac:dyDescent="0.25">
      <c r="A2272" s="1" t="s">
        <v>799</v>
      </c>
      <c r="B2272">
        <v>50</v>
      </c>
      <c r="D2272" s="2">
        <v>94064.2</v>
      </c>
      <c r="M2272">
        <v>23</v>
      </c>
      <c r="Y2272" s="1">
        <f t="shared" si="177"/>
        <v>1063.104</v>
      </c>
      <c r="Z2272" s="2">
        <f t="shared" si="178"/>
        <v>94064.2</v>
      </c>
      <c r="AA2272" s="2">
        <f t="shared" si="179"/>
        <v>94064.174342303289</v>
      </c>
      <c r="AB2272" s="1">
        <f t="shared" si="180"/>
        <v>9.4240344473496135E-2</v>
      </c>
      <c r="AC2272" s="1" t="b">
        <f t="shared" si="181"/>
        <v>1</v>
      </c>
    </row>
    <row r="2273" spans="1:29" x14ac:dyDescent="0.25">
      <c r="A2273" s="1" t="s">
        <v>800</v>
      </c>
      <c r="B2273">
        <v>10</v>
      </c>
      <c r="D2273" s="2">
        <v>94081.2</v>
      </c>
      <c r="M2273">
        <v>23</v>
      </c>
      <c r="Y2273" s="1">
        <f t="shared" si="177"/>
        <v>1062.9110000000001</v>
      </c>
      <c r="Z2273" s="2">
        <f t="shared" si="178"/>
        <v>94081.2</v>
      </c>
      <c r="AA2273" s="2">
        <f t="shared" si="179"/>
        <v>94081.254216016197</v>
      </c>
      <c r="AB2273" s="1">
        <f t="shared" si="180"/>
        <v>9.4256411974293325E-2</v>
      </c>
      <c r="AC2273" s="1" t="b">
        <f t="shared" si="181"/>
        <v>1</v>
      </c>
    </row>
    <row r="2274" spans="1:29" x14ac:dyDescent="0.25">
      <c r="A2274" s="1" t="s">
        <v>801</v>
      </c>
      <c r="B2274">
        <v>5</v>
      </c>
      <c r="D2274" s="2">
        <v>94089.4</v>
      </c>
      <c r="M2274">
        <v>23</v>
      </c>
      <c r="Y2274" s="1">
        <f t="shared" si="177"/>
        <v>1062.819</v>
      </c>
      <c r="Z2274" s="2">
        <f t="shared" si="178"/>
        <v>94089.4</v>
      </c>
      <c r="AA2274" s="2">
        <f t="shared" si="179"/>
        <v>94089.39810071142</v>
      </c>
      <c r="AB2274" s="1">
        <f t="shared" si="180"/>
        <v>9.4264074174770784E-2</v>
      </c>
      <c r="AC2274" s="1" t="b">
        <f t="shared" si="181"/>
        <v>1</v>
      </c>
    </row>
    <row r="2275" spans="1:29" x14ac:dyDescent="0.25">
      <c r="A2275" s="1" t="s">
        <v>802</v>
      </c>
      <c r="B2275">
        <v>100</v>
      </c>
      <c r="D2275" s="2">
        <v>94102.3</v>
      </c>
      <c r="E2275">
        <v>18921</v>
      </c>
      <c r="F2275" t="s">
        <v>15</v>
      </c>
      <c r="G2275" t="s">
        <v>57</v>
      </c>
      <c r="H2275">
        <v>113023</v>
      </c>
      <c r="I2275" t="s">
        <v>17</v>
      </c>
      <c r="J2275" t="s">
        <v>528</v>
      </c>
      <c r="K2275">
        <v>18921.240000000002</v>
      </c>
      <c r="L2275">
        <v>113023.5</v>
      </c>
      <c r="M2275">
        <v>23</v>
      </c>
      <c r="Y2275" s="1">
        <f t="shared" si="177"/>
        <v>1062.673</v>
      </c>
      <c r="Z2275" s="2">
        <f t="shared" si="178"/>
        <v>94102.3</v>
      </c>
      <c r="AA2275" s="2">
        <f t="shared" si="179"/>
        <v>94102.324986143431</v>
      </c>
      <c r="AB2275" s="1">
        <f t="shared" si="180"/>
        <v>9.427623783898878E-2</v>
      </c>
      <c r="AC2275" s="1" t="b">
        <f t="shared" si="181"/>
        <v>1</v>
      </c>
    </row>
    <row r="2276" spans="1:29" x14ac:dyDescent="0.25">
      <c r="A2276" s="1" t="s">
        <v>803</v>
      </c>
      <c r="B2276">
        <v>50</v>
      </c>
      <c r="C2276" t="s">
        <v>122</v>
      </c>
      <c r="D2276" s="2">
        <v>94127.2</v>
      </c>
      <c r="E2276">
        <v>23647</v>
      </c>
      <c r="F2276" t="s">
        <v>15</v>
      </c>
      <c r="G2276" t="s">
        <v>50</v>
      </c>
      <c r="H2276">
        <v>117775</v>
      </c>
      <c r="I2276" t="s">
        <v>17</v>
      </c>
      <c r="J2276" t="s">
        <v>50</v>
      </c>
      <c r="K2276">
        <v>23647.77</v>
      </c>
      <c r="L2276">
        <v>117775.3</v>
      </c>
      <c r="M2276">
        <v>23</v>
      </c>
      <c r="Y2276" s="1">
        <f t="shared" si="177"/>
        <v>1062.3920000000001</v>
      </c>
      <c r="Z2276" s="2">
        <f t="shared" si="178"/>
        <v>94127.2</v>
      </c>
      <c r="AA2276" s="2">
        <f t="shared" si="179"/>
        <v>94127.214813364553</v>
      </c>
      <c r="AB2276" s="1">
        <f t="shared" si="180"/>
        <v>9.429966284260638E-2</v>
      </c>
      <c r="AC2276" s="1" t="b">
        <f t="shared" si="181"/>
        <v>1</v>
      </c>
    </row>
    <row r="2277" spans="1:29" x14ac:dyDescent="0.25">
      <c r="A2277" s="1" t="s">
        <v>804</v>
      </c>
      <c r="B2277">
        <v>50</v>
      </c>
      <c r="C2277" t="s">
        <v>122</v>
      </c>
      <c r="D2277" s="2">
        <v>94130.4</v>
      </c>
      <c r="M2277">
        <v>23</v>
      </c>
      <c r="Y2277" s="1">
        <f t="shared" si="177"/>
        <v>1062.356</v>
      </c>
      <c r="Z2277" s="2">
        <f t="shared" si="178"/>
        <v>94130.4</v>
      </c>
      <c r="AA2277" s="2">
        <f t="shared" si="179"/>
        <v>94130.404497174211</v>
      </c>
      <c r="AB2277" s="1">
        <f t="shared" si="180"/>
        <v>9.4302665254008183E-2</v>
      </c>
      <c r="AC2277" s="1" t="b">
        <f t="shared" si="181"/>
        <v>1</v>
      </c>
    </row>
    <row r="2278" spans="1:29" x14ac:dyDescent="0.25">
      <c r="A2278" s="1" t="s">
        <v>805</v>
      </c>
      <c r="B2278">
        <v>80</v>
      </c>
      <c r="D2278" s="2">
        <v>94153.5</v>
      </c>
      <c r="E2278">
        <v>23532</v>
      </c>
      <c r="F2278" t="s">
        <v>15</v>
      </c>
      <c r="G2278" t="s">
        <v>28</v>
      </c>
      <c r="H2278">
        <v>117686</v>
      </c>
      <c r="I2278" t="s">
        <v>17</v>
      </c>
      <c r="J2278" t="s">
        <v>28</v>
      </c>
      <c r="K2278">
        <v>23532.86</v>
      </c>
      <c r="L2278">
        <v>117686.39999999999</v>
      </c>
      <c r="M2278">
        <v>23</v>
      </c>
      <c r="Y2278" s="1">
        <f t="shared" si="177"/>
        <v>1062.095</v>
      </c>
      <c r="Z2278" s="2">
        <f t="shared" si="178"/>
        <v>94153.5</v>
      </c>
      <c r="AA2278" s="2">
        <f t="shared" si="179"/>
        <v>94153.536171434753</v>
      </c>
      <c r="AB2278" s="1">
        <f t="shared" si="180"/>
        <v>9.4324441867928377E-2</v>
      </c>
      <c r="AC2278" s="1" t="b">
        <f t="shared" si="181"/>
        <v>1</v>
      </c>
    </row>
    <row r="2279" spans="1:29" x14ac:dyDescent="0.25">
      <c r="A2279" s="1" t="s">
        <v>806</v>
      </c>
      <c r="B2279">
        <v>40</v>
      </c>
      <c r="D2279" s="2">
        <v>94164.2</v>
      </c>
      <c r="E2279">
        <v>21238</v>
      </c>
      <c r="F2279" t="s">
        <v>15</v>
      </c>
      <c r="G2279" t="s">
        <v>50</v>
      </c>
      <c r="H2279">
        <v>115403</v>
      </c>
      <c r="I2279" t="s">
        <v>17</v>
      </c>
      <c r="J2279" t="s">
        <v>23</v>
      </c>
      <c r="K2279">
        <v>21238.78</v>
      </c>
      <c r="L2279">
        <v>115403.3</v>
      </c>
      <c r="M2279">
        <v>23</v>
      </c>
      <c r="Y2279" s="1">
        <f t="shared" si="177"/>
        <v>1061.9749999999999</v>
      </c>
      <c r="Z2279" s="2">
        <f t="shared" si="178"/>
        <v>94164.2</v>
      </c>
      <c r="AA2279" s="2">
        <f t="shared" si="179"/>
        <v>94164.17523953013</v>
      </c>
      <c r="AB2279" s="1">
        <f t="shared" si="180"/>
        <v>9.4334459492704692E-2</v>
      </c>
      <c r="AC2279" s="1" t="b">
        <f t="shared" si="181"/>
        <v>1</v>
      </c>
    </row>
    <row r="2280" spans="1:29" x14ac:dyDescent="0.25">
      <c r="A2280" s="1" t="s">
        <v>807</v>
      </c>
      <c r="B2280">
        <v>20</v>
      </c>
      <c r="C2280" t="s">
        <v>122</v>
      </c>
      <c r="D2280" s="2">
        <v>94170</v>
      </c>
      <c r="E2280">
        <v>21238</v>
      </c>
      <c r="F2280" t="s">
        <v>15</v>
      </c>
      <c r="G2280" t="s">
        <v>50</v>
      </c>
      <c r="H2280">
        <v>115408</v>
      </c>
      <c r="I2280" t="s">
        <v>17</v>
      </c>
      <c r="J2280" t="s">
        <v>50</v>
      </c>
      <c r="K2280">
        <v>21238.78</v>
      </c>
      <c r="L2280">
        <v>115408.4</v>
      </c>
      <c r="M2280">
        <v>23</v>
      </c>
      <c r="Y2280" s="1">
        <f t="shared" si="177"/>
        <v>1061.9090000000001</v>
      </c>
      <c r="Z2280" s="2">
        <f t="shared" si="178"/>
        <v>94170</v>
      </c>
      <c r="AA2280" s="2">
        <f t="shared" si="179"/>
        <v>94170.027751907168</v>
      </c>
      <c r="AB2280" s="1">
        <f t="shared" si="180"/>
        <v>9.433997063397484E-2</v>
      </c>
      <c r="AC2280" s="1" t="b">
        <f t="shared" si="181"/>
        <v>1</v>
      </c>
    </row>
    <row r="2281" spans="1:29" x14ac:dyDescent="0.25">
      <c r="A2281" s="1" t="s">
        <v>808</v>
      </c>
      <c r="B2281">
        <v>10</v>
      </c>
      <c r="C2281" t="s">
        <v>122</v>
      </c>
      <c r="D2281" s="2">
        <v>94172</v>
      </c>
      <c r="M2281">
        <v>23</v>
      </c>
      <c r="Y2281" s="1">
        <f t="shared" si="177"/>
        <v>1061.8869999999999</v>
      </c>
      <c r="Z2281" s="2">
        <f t="shared" si="178"/>
        <v>94172</v>
      </c>
      <c r="AA2281" s="2">
        <f t="shared" si="179"/>
        <v>94171.978751034723</v>
      </c>
      <c r="AB2281" s="1">
        <f t="shared" si="180"/>
        <v>9.4341807909426673E-2</v>
      </c>
      <c r="AC2281" s="1" t="b">
        <f t="shared" si="181"/>
        <v>1</v>
      </c>
    </row>
    <row r="2282" spans="1:29" x14ac:dyDescent="0.25">
      <c r="A2282" s="1" t="s">
        <v>809</v>
      </c>
      <c r="B2282">
        <v>4</v>
      </c>
      <c r="D2282" s="2">
        <v>94177</v>
      </c>
      <c r="E2282">
        <v>21755</v>
      </c>
      <c r="F2282" t="s">
        <v>15</v>
      </c>
      <c r="G2282" t="s">
        <v>23</v>
      </c>
      <c r="H2282">
        <v>115933</v>
      </c>
      <c r="I2282" t="s">
        <v>17</v>
      </c>
      <c r="J2282" t="s">
        <v>23</v>
      </c>
      <c r="K2282">
        <v>21755.84</v>
      </c>
      <c r="L2282">
        <v>115933.2</v>
      </c>
      <c r="M2282">
        <v>23</v>
      </c>
      <c r="Y2282" s="1">
        <f t="shared" si="177"/>
        <v>1061.83</v>
      </c>
      <c r="Z2282" s="2">
        <f t="shared" si="178"/>
        <v>94177</v>
      </c>
      <c r="AA2282" s="2">
        <f t="shared" si="179"/>
        <v>94177.033988491574</v>
      </c>
      <c r="AB2282" s="1">
        <f t="shared" si="180"/>
        <v>9.4346568654347485E-2</v>
      </c>
      <c r="AC2282" s="1" t="b">
        <f t="shared" si="181"/>
        <v>1</v>
      </c>
    </row>
    <row r="2283" spans="1:29" x14ac:dyDescent="0.25">
      <c r="A2283" s="1" t="s">
        <v>810</v>
      </c>
      <c r="B2283">
        <v>10</v>
      </c>
      <c r="D2283" s="2">
        <v>94189</v>
      </c>
      <c r="E2283">
        <v>21611</v>
      </c>
      <c r="F2283" t="s">
        <v>15</v>
      </c>
      <c r="G2283" t="s">
        <v>28</v>
      </c>
      <c r="H2283">
        <v>115800</v>
      </c>
      <c r="I2283" t="s">
        <v>17</v>
      </c>
      <c r="J2283" t="s">
        <v>28</v>
      </c>
      <c r="K2283">
        <v>21611.19</v>
      </c>
      <c r="L2283">
        <v>115800</v>
      </c>
      <c r="M2283">
        <v>23</v>
      </c>
      <c r="Y2283" s="1">
        <f t="shared" si="177"/>
        <v>1061.6949999999999</v>
      </c>
      <c r="Z2283" s="2">
        <f t="shared" si="178"/>
        <v>94189</v>
      </c>
      <c r="AA2283" s="2">
        <f t="shared" si="179"/>
        <v>94189.009084529927</v>
      </c>
      <c r="AB2283" s="1">
        <f t="shared" si="180"/>
        <v>9.4357847161628317E-2</v>
      </c>
      <c r="AC2283" s="1" t="b">
        <f t="shared" si="181"/>
        <v>1</v>
      </c>
    </row>
    <row r="2284" spans="1:29" x14ac:dyDescent="0.25">
      <c r="A2284" s="1" t="s">
        <v>811</v>
      </c>
      <c r="B2284">
        <v>500</v>
      </c>
      <c r="D2284" s="2">
        <v>94197.5</v>
      </c>
      <c r="E2284">
        <v>16135</v>
      </c>
      <c r="F2284" t="s">
        <v>15</v>
      </c>
      <c r="G2284" t="s">
        <v>18</v>
      </c>
      <c r="H2284">
        <v>110333</v>
      </c>
      <c r="I2284" t="s">
        <v>17</v>
      </c>
      <c r="J2284" t="s">
        <v>18</v>
      </c>
      <c r="K2284">
        <v>16135.97</v>
      </c>
      <c r="L2284">
        <v>110333.5</v>
      </c>
      <c r="M2284">
        <v>23</v>
      </c>
      <c r="Y2284" s="1">
        <f t="shared" si="177"/>
        <v>1061.5989999999999</v>
      </c>
      <c r="Z2284" s="2">
        <f t="shared" si="178"/>
        <v>94197.5</v>
      </c>
      <c r="AA2284" s="2">
        <f t="shared" si="179"/>
        <v>94197.526561347564</v>
      </c>
      <c r="AB2284" s="1">
        <f t="shared" si="180"/>
        <v>9.4365870051378892E-2</v>
      </c>
      <c r="AC2284" s="1" t="b">
        <f t="shared" si="181"/>
        <v>1</v>
      </c>
    </row>
    <row r="2285" spans="1:29" x14ac:dyDescent="0.25">
      <c r="A2285" s="1" t="s">
        <v>812</v>
      </c>
      <c r="B2285">
        <v>5</v>
      </c>
      <c r="D2285" s="2">
        <v>94204.6</v>
      </c>
      <c r="E2285">
        <v>21294</v>
      </c>
      <c r="F2285" t="s">
        <v>15</v>
      </c>
      <c r="G2285" t="s">
        <v>18</v>
      </c>
      <c r="H2285">
        <v>115499</v>
      </c>
      <c r="I2285" t="s">
        <v>17</v>
      </c>
      <c r="J2285" t="s">
        <v>16</v>
      </c>
      <c r="K2285">
        <v>21294.89</v>
      </c>
      <c r="L2285">
        <v>115499.8</v>
      </c>
      <c r="M2285">
        <v>23</v>
      </c>
      <c r="Y2285" s="1">
        <f t="shared" si="177"/>
        <v>1061.519</v>
      </c>
      <c r="Z2285" s="2">
        <f t="shared" si="178"/>
        <v>94204.6</v>
      </c>
      <c r="AA2285" s="2">
        <f t="shared" si="179"/>
        <v>94204.625635527962</v>
      </c>
      <c r="AB2285" s="1">
        <f t="shared" si="180"/>
        <v>9.4372557455649861E-2</v>
      </c>
      <c r="AC2285" s="1" t="b">
        <f t="shared" si="181"/>
        <v>1</v>
      </c>
    </row>
    <row r="2286" spans="1:29" x14ac:dyDescent="0.25">
      <c r="A2286" s="1" t="s">
        <v>813</v>
      </c>
      <c r="B2286">
        <v>200</v>
      </c>
      <c r="D2286" s="2">
        <v>94221.6</v>
      </c>
      <c r="E2286">
        <v>17113</v>
      </c>
      <c r="F2286" t="s">
        <v>15</v>
      </c>
      <c r="G2286" t="s">
        <v>50</v>
      </c>
      <c r="H2286">
        <v>111335</v>
      </c>
      <c r="I2286" t="s">
        <v>17</v>
      </c>
      <c r="J2286" t="s">
        <v>57</v>
      </c>
      <c r="K2286">
        <v>17113.189999999999</v>
      </c>
      <c r="L2286">
        <v>111335.1</v>
      </c>
      <c r="M2286">
        <v>23</v>
      </c>
      <c r="Y2286" s="1">
        <f t="shared" si="177"/>
        <v>1061.328</v>
      </c>
      <c r="Z2286" s="2">
        <f t="shared" si="178"/>
        <v>94221.6</v>
      </c>
      <c r="AA2286" s="2">
        <f t="shared" si="179"/>
        <v>94221.579002909566</v>
      </c>
      <c r="AB2286" s="1">
        <f t="shared" si="180"/>
        <v>9.4388529749007646E-2</v>
      </c>
      <c r="AC2286" s="1" t="b">
        <f t="shared" si="181"/>
        <v>1</v>
      </c>
    </row>
    <row r="2287" spans="1:29" x14ac:dyDescent="0.25">
      <c r="A2287" s="1" t="s">
        <v>814</v>
      </c>
      <c r="B2287">
        <v>30</v>
      </c>
      <c r="C2287" t="s">
        <v>122</v>
      </c>
      <c r="D2287" s="2">
        <v>94236.3</v>
      </c>
      <c r="E2287">
        <v>23844</v>
      </c>
      <c r="F2287" t="s">
        <v>15</v>
      </c>
      <c r="G2287" t="s">
        <v>16</v>
      </c>
      <c r="H2287">
        <v>118081</v>
      </c>
      <c r="I2287" t="s">
        <v>17</v>
      </c>
      <c r="J2287" t="s">
        <v>16</v>
      </c>
      <c r="K2287">
        <v>23844.58</v>
      </c>
      <c r="L2287">
        <v>118081.1</v>
      </c>
      <c r="M2287">
        <v>23</v>
      </c>
      <c r="Y2287" s="1">
        <f t="shared" si="177"/>
        <v>1061.162</v>
      </c>
      <c r="Z2287" s="2">
        <f t="shared" si="178"/>
        <v>94236.3</v>
      </c>
      <c r="AA2287" s="2">
        <f t="shared" si="179"/>
        <v>94236.31830012759</v>
      </c>
      <c r="AB2287" s="1">
        <f t="shared" si="180"/>
        <v>9.4402418433814819E-2</v>
      </c>
      <c r="AC2287" s="1" t="b">
        <f t="shared" si="181"/>
        <v>1</v>
      </c>
    </row>
    <row r="2288" spans="1:29" x14ac:dyDescent="0.25">
      <c r="A2288" s="1" t="s">
        <v>815</v>
      </c>
      <c r="B2288">
        <v>30</v>
      </c>
      <c r="C2288" t="s">
        <v>122</v>
      </c>
      <c r="D2288" s="2">
        <v>94240</v>
      </c>
      <c r="E2288">
        <v>19360</v>
      </c>
      <c r="F2288" t="s">
        <v>15</v>
      </c>
      <c r="G2288" t="s">
        <v>50</v>
      </c>
      <c r="H2288">
        <v>113600</v>
      </c>
      <c r="I2288" t="s">
        <v>17</v>
      </c>
      <c r="J2288" t="s">
        <v>50</v>
      </c>
      <c r="K2288">
        <v>19360.099999999999</v>
      </c>
      <c r="L2288">
        <v>113600.3</v>
      </c>
      <c r="M2288">
        <v>23</v>
      </c>
      <c r="Y2288" s="1">
        <f t="shared" si="177"/>
        <v>1061.1199999999999</v>
      </c>
      <c r="Z2288" s="2">
        <f t="shared" si="178"/>
        <v>94240</v>
      </c>
      <c r="AA2288" s="2">
        <f t="shared" si="179"/>
        <v>94240.048250904714</v>
      </c>
      <c r="AB2288" s="1">
        <f t="shared" si="180"/>
        <v>9.4405933471664247E-2</v>
      </c>
      <c r="AC2288" s="1" t="b">
        <f t="shared" si="181"/>
        <v>1</v>
      </c>
    </row>
    <row r="2289" spans="1:29" x14ac:dyDescent="0.25">
      <c r="A2289" s="1" t="s">
        <v>816</v>
      </c>
      <c r="B2289">
        <v>5</v>
      </c>
      <c r="C2289" t="s">
        <v>122</v>
      </c>
      <c r="D2289" s="2">
        <v>94244.3</v>
      </c>
      <c r="E2289">
        <v>27138</v>
      </c>
      <c r="F2289" t="s">
        <v>15</v>
      </c>
      <c r="G2289" t="s">
        <v>18</v>
      </c>
      <c r="H2289">
        <v>121382</v>
      </c>
      <c r="I2289" t="s">
        <v>17</v>
      </c>
      <c r="J2289" t="s">
        <v>16</v>
      </c>
      <c r="K2289">
        <v>27138.55</v>
      </c>
      <c r="L2289">
        <v>121382.6</v>
      </c>
      <c r="M2289">
        <v>23</v>
      </c>
      <c r="Y2289" s="1">
        <f t="shared" si="177"/>
        <v>1061.0719999999999</v>
      </c>
      <c r="Z2289" s="2">
        <f t="shared" si="178"/>
        <v>94244.3</v>
      </c>
      <c r="AA2289" s="2">
        <f t="shared" si="179"/>
        <v>94244.311413363102</v>
      </c>
      <c r="AB2289" s="1">
        <f t="shared" si="180"/>
        <v>9.4409951168894807E-2</v>
      </c>
      <c r="AC2289" s="1" t="b">
        <f t="shared" si="181"/>
        <v>1</v>
      </c>
    </row>
    <row r="2290" spans="1:29" x14ac:dyDescent="0.25">
      <c r="A2290" s="1" t="s">
        <v>817</v>
      </c>
      <c r="B2290">
        <v>5</v>
      </c>
      <c r="C2290" t="s">
        <v>122</v>
      </c>
      <c r="D2290" s="2">
        <v>94246.2</v>
      </c>
      <c r="M2290">
        <v>23</v>
      </c>
      <c r="Y2290" s="1">
        <f t="shared" si="177"/>
        <v>1061.0509999999999</v>
      </c>
      <c r="Z2290" s="2">
        <f t="shared" si="178"/>
        <v>94246.2</v>
      </c>
      <c r="AA2290" s="2">
        <f t="shared" si="179"/>
        <v>94246.176668228014</v>
      </c>
      <c r="AB2290" s="1">
        <f t="shared" si="180"/>
        <v>9.441170908289423E-2</v>
      </c>
      <c r="AC2290" s="1" t="b">
        <f t="shared" si="181"/>
        <v>1</v>
      </c>
    </row>
    <row r="2291" spans="1:29" x14ac:dyDescent="0.25">
      <c r="A2291" s="1" t="s">
        <v>818</v>
      </c>
      <c r="B2291">
        <v>100</v>
      </c>
      <c r="D2291" s="2">
        <v>94251.3</v>
      </c>
      <c r="E2291">
        <v>21418</v>
      </c>
      <c r="F2291" t="s">
        <v>15</v>
      </c>
      <c r="G2291" t="s">
        <v>28</v>
      </c>
      <c r="H2291">
        <v>115670</v>
      </c>
      <c r="I2291" t="s">
        <v>17</v>
      </c>
      <c r="J2291" t="s">
        <v>18</v>
      </c>
      <c r="K2291">
        <v>21418.84</v>
      </c>
      <c r="L2291">
        <v>115670</v>
      </c>
      <c r="M2291">
        <v>23</v>
      </c>
      <c r="Y2291" s="1">
        <f t="shared" si="177"/>
        <v>1060.9929999999999</v>
      </c>
      <c r="Z2291" s="2">
        <f t="shared" si="178"/>
        <v>94251.3</v>
      </c>
      <c r="AA2291" s="2">
        <f t="shared" si="179"/>
        <v>94251.328708106463</v>
      </c>
      <c r="AB2291" s="1">
        <f t="shared" si="180"/>
        <v>9.4416564816217671E-2</v>
      </c>
      <c r="AC2291" s="1" t="b">
        <f t="shared" si="181"/>
        <v>1</v>
      </c>
    </row>
    <row r="2292" spans="1:29" x14ac:dyDescent="0.25">
      <c r="A2292" s="1" t="s">
        <v>819</v>
      </c>
      <c r="B2292">
        <v>100</v>
      </c>
      <c r="D2292" s="2">
        <v>94263.4</v>
      </c>
      <c r="M2292">
        <v>23</v>
      </c>
      <c r="Y2292" s="1">
        <f t="shared" si="177"/>
        <v>1060.857</v>
      </c>
      <c r="Z2292" s="2">
        <f t="shared" si="178"/>
        <v>94263.4</v>
      </c>
      <c r="AA2292" s="2">
        <f t="shared" si="179"/>
        <v>94263.411562538589</v>
      </c>
      <c r="AB2292" s="1">
        <f t="shared" si="180"/>
        <v>9.4427953797042677E-2</v>
      </c>
      <c r="AC2292" s="1" t="b">
        <f t="shared" si="181"/>
        <v>1</v>
      </c>
    </row>
    <row r="2293" spans="1:29" x14ac:dyDescent="0.25">
      <c r="A2293" s="1" t="s">
        <v>820</v>
      </c>
      <c r="B2293">
        <v>20</v>
      </c>
      <c r="D2293" s="2">
        <v>94274.3</v>
      </c>
      <c r="M2293">
        <v>23</v>
      </c>
      <c r="Y2293" s="1">
        <f t="shared" si="177"/>
        <v>1060.7339999999999</v>
      </c>
      <c r="Z2293" s="2">
        <f t="shared" si="178"/>
        <v>94274.3</v>
      </c>
      <c r="AA2293" s="2">
        <f t="shared" si="179"/>
        <v>94274.342106503624</v>
      </c>
      <c r="AB2293" s="1">
        <f t="shared" si="180"/>
        <v>9.4438257898070421E-2</v>
      </c>
      <c r="AC2293" s="1" t="b">
        <f t="shared" si="181"/>
        <v>1</v>
      </c>
    </row>
    <row r="2294" spans="1:29" x14ac:dyDescent="0.25">
      <c r="A2294" s="1" t="s">
        <v>821</v>
      </c>
      <c r="B2294">
        <v>200</v>
      </c>
      <c r="D2294" s="2">
        <v>94291</v>
      </c>
      <c r="E2294">
        <v>19308</v>
      </c>
      <c r="F2294" t="s">
        <v>15</v>
      </c>
      <c r="G2294" t="s">
        <v>23</v>
      </c>
      <c r="H2294">
        <v>113600</v>
      </c>
      <c r="I2294" t="s">
        <v>17</v>
      </c>
      <c r="J2294" t="s">
        <v>50</v>
      </c>
      <c r="K2294">
        <v>19308.93</v>
      </c>
      <c r="L2294">
        <v>113600.3</v>
      </c>
      <c r="M2294">
        <v>23</v>
      </c>
      <c r="Y2294" s="1">
        <f t="shared" si="177"/>
        <v>1060.546</v>
      </c>
      <c r="Z2294" s="2">
        <f t="shared" si="178"/>
        <v>94291</v>
      </c>
      <c r="AA2294" s="2">
        <f t="shared" si="179"/>
        <v>94291.053853392499</v>
      </c>
      <c r="AB2294" s="1">
        <f t="shared" si="180"/>
        <v>9.4454014183916829E-2</v>
      </c>
      <c r="AC2294" s="1" t="b">
        <f t="shared" si="181"/>
        <v>1</v>
      </c>
    </row>
    <row r="2295" spans="1:29" x14ac:dyDescent="0.25">
      <c r="A2295" s="1" t="s">
        <v>822</v>
      </c>
      <c r="B2295">
        <v>10</v>
      </c>
      <c r="D2295" s="2">
        <v>94296.4</v>
      </c>
      <c r="E2295">
        <v>22747</v>
      </c>
      <c r="F2295" t="s">
        <v>15</v>
      </c>
      <c r="G2295" t="s">
        <v>16</v>
      </c>
      <c r="H2295">
        <v>117044</v>
      </c>
      <c r="I2295" t="s">
        <v>17</v>
      </c>
      <c r="J2295" t="s">
        <v>18</v>
      </c>
      <c r="K2295">
        <v>22747.69</v>
      </c>
      <c r="L2295">
        <v>117044.6</v>
      </c>
      <c r="M2295">
        <v>23</v>
      </c>
      <c r="Y2295" s="1">
        <f t="shared" si="177"/>
        <v>1060.4860000000001</v>
      </c>
      <c r="Z2295" s="2">
        <f t="shared" si="178"/>
        <v>94296.4</v>
      </c>
      <c r="AA2295" s="2">
        <f t="shared" si="179"/>
        <v>94296.38863690797</v>
      </c>
      <c r="AB2295" s="1">
        <f t="shared" si="180"/>
        <v>9.4459044549813936E-2</v>
      </c>
      <c r="AC2295" s="1" t="b">
        <f t="shared" si="181"/>
        <v>1</v>
      </c>
    </row>
    <row r="2296" spans="1:29" x14ac:dyDescent="0.25">
      <c r="A2296" s="1" t="s">
        <v>823</v>
      </c>
      <c r="B2296">
        <v>30</v>
      </c>
      <c r="D2296" s="2">
        <v>94317.4</v>
      </c>
      <c r="M2296">
        <v>23</v>
      </c>
      <c r="Y2296" s="1">
        <f t="shared" si="177"/>
        <v>1060.25</v>
      </c>
      <c r="Z2296" s="2">
        <f t="shared" si="178"/>
        <v>94317.4</v>
      </c>
      <c r="AA2296" s="2">
        <f t="shared" si="179"/>
        <v>94317.37797689224</v>
      </c>
      <c r="AB2296" s="1">
        <f t="shared" si="180"/>
        <v>9.4478838942179788E-2</v>
      </c>
      <c r="AC2296" s="1" t="b">
        <f t="shared" si="181"/>
        <v>1</v>
      </c>
    </row>
    <row r="2297" spans="1:29" x14ac:dyDescent="0.25">
      <c r="A2297" s="1" t="s">
        <v>824</v>
      </c>
      <c r="B2297">
        <v>40</v>
      </c>
      <c r="D2297" s="2">
        <v>94325.4</v>
      </c>
      <c r="M2297">
        <v>23</v>
      </c>
      <c r="Y2297" s="1">
        <f t="shared" si="177"/>
        <v>1060.1600000000001</v>
      </c>
      <c r="Z2297" s="2">
        <f t="shared" si="178"/>
        <v>94325.4</v>
      </c>
      <c r="AA2297" s="2">
        <f t="shared" si="179"/>
        <v>94325.384847570167</v>
      </c>
      <c r="AB2297" s="1">
        <f t="shared" si="180"/>
        <v>9.4486391133211112E-2</v>
      </c>
      <c r="AC2297" s="1" t="b">
        <f t="shared" si="181"/>
        <v>1</v>
      </c>
    </row>
    <row r="2298" spans="1:29" x14ac:dyDescent="0.25">
      <c r="A2298" s="1" t="s">
        <v>825</v>
      </c>
      <c r="B2298">
        <v>20</v>
      </c>
      <c r="D2298" s="2">
        <v>94332.800000000003</v>
      </c>
      <c r="E2298">
        <v>23442</v>
      </c>
      <c r="F2298" t="s">
        <v>15</v>
      </c>
      <c r="G2298" t="s">
        <v>23</v>
      </c>
      <c r="H2298">
        <v>117775</v>
      </c>
      <c r="I2298" t="s">
        <v>17</v>
      </c>
      <c r="J2298" t="s">
        <v>50</v>
      </c>
      <c r="K2298">
        <v>23442.25</v>
      </c>
      <c r="L2298">
        <v>117775.3</v>
      </c>
      <c r="M2298">
        <v>23</v>
      </c>
      <c r="Y2298" s="1">
        <f t="shared" si="177"/>
        <v>1060.077</v>
      </c>
      <c r="Z2298" s="2">
        <f t="shared" si="178"/>
        <v>94332.800000000003</v>
      </c>
      <c r="AA2298" s="2">
        <f t="shared" si="179"/>
        <v>94332.770166695438</v>
      </c>
      <c r="AB2298" s="1">
        <f t="shared" si="180"/>
        <v>9.4493357636612929E-2</v>
      </c>
      <c r="AC2298" s="1" t="b">
        <f t="shared" si="181"/>
        <v>1</v>
      </c>
    </row>
    <row r="2299" spans="1:29" x14ac:dyDescent="0.25">
      <c r="A2299" s="1" t="s">
        <v>826</v>
      </c>
      <c r="B2299">
        <v>10</v>
      </c>
      <c r="D2299" s="2">
        <v>94346.2</v>
      </c>
      <c r="M2299">
        <v>23</v>
      </c>
      <c r="Y2299" s="1">
        <f t="shared" si="177"/>
        <v>1059.9259999999999</v>
      </c>
      <c r="Z2299" s="2">
        <f t="shared" si="178"/>
        <v>94346.2</v>
      </c>
      <c r="AA2299" s="2">
        <f t="shared" si="179"/>
        <v>94346.209074973158</v>
      </c>
      <c r="AB2299" s="1">
        <f t="shared" si="180"/>
        <v>9.4506035834092755E-2</v>
      </c>
      <c r="AC2299" s="1" t="b">
        <f t="shared" si="181"/>
        <v>1</v>
      </c>
    </row>
    <row r="2300" spans="1:29" x14ac:dyDescent="0.25">
      <c r="A2300" s="1" t="s">
        <v>827</v>
      </c>
      <c r="B2300">
        <v>20</v>
      </c>
      <c r="D2300" s="2">
        <v>94355.5</v>
      </c>
      <c r="E2300">
        <v>19308</v>
      </c>
      <c r="F2300" t="s">
        <v>15</v>
      </c>
      <c r="G2300" t="s">
        <v>23</v>
      </c>
      <c r="H2300">
        <v>113664</v>
      </c>
      <c r="I2300" t="s">
        <v>17</v>
      </c>
      <c r="J2300" t="s">
        <v>23</v>
      </c>
      <c r="K2300">
        <v>19308.93</v>
      </c>
      <c r="L2300">
        <v>113664.3</v>
      </c>
      <c r="M2300">
        <v>23</v>
      </c>
      <c r="Y2300" s="1">
        <f t="shared" si="177"/>
        <v>1059.8219999999999</v>
      </c>
      <c r="Z2300" s="2">
        <f t="shared" si="178"/>
        <v>94355.5</v>
      </c>
      <c r="AA2300" s="2">
        <f t="shared" si="179"/>
        <v>94355.467238838231</v>
      </c>
      <c r="AB2300" s="1">
        <f t="shared" si="180"/>
        <v>9.4514770989297378E-2</v>
      </c>
      <c r="AC2300" s="1" t="b">
        <f t="shared" si="181"/>
        <v>1</v>
      </c>
    </row>
    <row r="2301" spans="1:29" x14ac:dyDescent="0.25">
      <c r="A2301" s="1" t="s">
        <v>828</v>
      </c>
      <c r="B2301">
        <v>10</v>
      </c>
      <c r="D2301" s="2">
        <v>94365.1</v>
      </c>
      <c r="M2301">
        <v>24</v>
      </c>
      <c r="Y2301" s="1">
        <f t="shared" si="177"/>
        <v>1059.7139999999999</v>
      </c>
      <c r="Z2301" s="2">
        <f t="shared" si="178"/>
        <v>94365.1</v>
      </c>
      <c r="AA2301" s="2">
        <f t="shared" si="179"/>
        <v>94365.083409297236</v>
      </c>
      <c r="AB2301" s="1">
        <f t="shared" si="180"/>
        <v>9.4523844834218135E-2</v>
      </c>
      <c r="AC2301" s="1" t="b">
        <f t="shared" si="181"/>
        <v>1</v>
      </c>
    </row>
    <row r="2302" spans="1:29" x14ac:dyDescent="0.25">
      <c r="A2302" s="1" t="s">
        <v>829</v>
      </c>
      <c r="B2302">
        <v>100</v>
      </c>
      <c r="C2302" t="s">
        <v>122</v>
      </c>
      <c r="D2302" s="2">
        <v>94372.5</v>
      </c>
      <c r="E2302">
        <v>22080</v>
      </c>
      <c r="F2302" t="s">
        <v>15</v>
      </c>
      <c r="G2302" t="s">
        <v>18</v>
      </c>
      <c r="H2302">
        <v>116453</v>
      </c>
      <c r="I2302" t="s">
        <v>17</v>
      </c>
      <c r="J2302" t="s">
        <v>16</v>
      </c>
      <c r="K2302">
        <v>22080.94</v>
      </c>
      <c r="L2302">
        <v>116453.2</v>
      </c>
      <c r="M2302">
        <v>24</v>
      </c>
      <c r="Y2302" s="1">
        <f t="shared" si="177"/>
        <v>1059.6310000000001</v>
      </c>
      <c r="Z2302" s="2">
        <f t="shared" si="178"/>
        <v>94372.5</v>
      </c>
      <c r="AA2302" s="2">
        <f t="shared" si="179"/>
        <v>94372.474946467206</v>
      </c>
      <c r="AB2302" s="1">
        <f t="shared" si="180"/>
        <v>9.4530820137607913E-2</v>
      </c>
      <c r="AC2302" s="1" t="b">
        <f t="shared" si="181"/>
        <v>1</v>
      </c>
    </row>
    <row r="2303" spans="1:29" x14ac:dyDescent="0.25">
      <c r="A2303" s="1" t="s">
        <v>830</v>
      </c>
      <c r="B2303">
        <v>100</v>
      </c>
      <c r="C2303" t="s">
        <v>122</v>
      </c>
      <c r="D2303" s="2">
        <v>94376.4</v>
      </c>
      <c r="M2303">
        <v>24</v>
      </c>
      <c r="Y2303" s="1">
        <f t="shared" si="177"/>
        <v>1059.587</v>
      </c>
      <c r="Z2303" s="2">
        <f t="shared" si="178"/>
        <v>94376.4</v>
      </c>
      <c r="AA2303" s="2">
        <f t="shared" si="179"/>
        <v>94376.393821366248</v>
      </c>
      <c r="AB2303" s="1">
        <f t="shared" si="180"/>
        <v>9.45345185536281E-2</v>
      </c>
      <c r="AC2303" s="1" t="b">
        <f t="shared" si="181"/>
        <v>1</v>
      </c>
    </row>
    <row r="2304" spans="1:29" x14ac:dyDescent="0.25">
      <c r="A2304" s="1" t="s">
        <v>831</v>
      </c>
      <c r="B2304">
        <v>50</v>
      </c>
      <c r="D2304" s="2">
        <v>94392.2</v>
      </c>
      <c r="M2304">
        <v>24</v>
      </c>
      <c r="Y2304" s="1">
        <f t="shared" si="177"/>
        <v>1059.4100000000001</v>
      </c>
      <c r="Z2304" s="2">
        <f t="shared" si="178"/>
        <v>94392.2</v>
      </c>
      <c r="AA2304" s="2">
        <f t="shared" si="179"/>
        <v>94392.161674894509</v>
      </c>
      <c r="AB2304" s="1">
        <f t="shared" si="180"/>
        <v>9.4549400928297112E-2</v>
      </c>
      <c r="AC2304" s="1" t="b">
        <f t="shared" si="181"/>
        <v>1</v>
      </c>
    </row>
    <row r="2305" spans="1:29" x14ac:dyDescent="0.25">
      <c r="A2305" s="1" t="s">
        <v>832</v>
      </c>
      <c r="B2305">
        <v>400</v>
      </c>
      <c r="C2305" t="s">
        <v>122</v>
      </c>
      <c r="D2305" s="2">
        <v>94403.7</v>
      </c>
      <c r="E2305">
        <v>26095</v>
      </c>
      <c r="F2305" t="s">
        <v>15</v>
      </c>
      <c r="G2305" t="s">
        <v>23</v>
      </c>
      <c r="H2305">
        <v>120498</v>
      </c>
      <c r="I2305" t="s">
        <v>17</v>
      </c>
      <c r="J2305" t="s">
        <v>50</v>
      </c>
      <c r="K2305">
        <v>26095.23</v>
      </c>
      <c r="L2305">
        <v>120498.7</v>
      </c>
      <c r="M2305">
        <v>24</v>
      </c>
      <c r="Y2305" s="1">
        <f t="shared" si="177"/>
        <v>1059.2809999999999</v>
      </c>
      <c r="Z2305" s="2">
        <f t="shared" si="178"/>
        <v>94403.7</v>
      </c>
      <c r="AA2305" s="2">
        <f t="shared" si="179"/>
        <v>94403.656820050586</v>
      </c>
      <c r="AB2305" s="1">
        <f t="shared" si="180"/>
        <v>9.4560252104989417E-2</v>
      </c>
      <c r="AC2305" s="1" t="b">
        <f t="shared" si="181"/>
        <v>1</v>
      </c>
    </row>
    <row r="2306" spans="1:29" x14ac:dyDescent="0.25">
      <c r="A2306" s="1" t="s">
        <v>833</v>
      </c>
      <c r="B2306">
        <v>100</v>
      </c>
      <c r="C2306" t="s">
        <v>122</v>
      </c>
      <c r="D2306" s="2">
        <v>94406.399999999994</v>
      </c>
      <c r="E2306">
        <v>16516</v>
      </c>
      <c r="F2306" t="s">
        <v>15</v>
      </c>
      <c r="G2306" t="s">
        <v>18</v>
      </c>
      <c r="H2306">
        <v>110922</v>
      </c>
      <c r="I2306" t="s">
        <v>17</v>
      </c>
      <c r="J2306" t="s">
        <v>16</v>
      </c>
      <c r="K2306">
        <v>16516.150000000001</v>
      </c>
      <c r="L2306">
        <v>110922.5</v>
      </c>
      <c r="M2306">
        <v>24</v>
      </c>
      <c r="Y2306" s="1">
        <f t="shared" si="177"/>
        <v>1059.25</v>
      </c>
      <c r="Z2306" s="2">
        <f t="shared" si="178"/>
        <v>94406.399999999994</v>
      </c>
      <c r="AA2306" s="2">
        <f t="shared" si="179"/>
        <v>94406.419636535284</v>
      </c>
      <c r="AB2306" s="1">
        <f t="shared" si="180"/>
        <v>9.4562860342947974E-2</v>
      </c>
      <c r="AC2306" s="1" t="b">
        <f t="shared" si="181"/>
        <v>1</v>
      </c>
    </row>
    <row r="2307" spans="1:29" x14ac:dyDescent="0.25">
      <c r="A2307" s="1" t="s">
        <v>834</v>
      </c>
      <c r="B2307">
        <v>200</v>
      </c>
      <c r="D2307" s="2">
        <v>94414.7</v>
      </c>
      <c r="M2307">
        <v>24</v>
      </c>
      <c r="Y2307" s="1">
        <f t="shared" ref="Y2307:Y2370" si="182">ROUND($A2307,3)+0</f>
        <v>1059.1569999999999</v>
      </c>
      <c r="Z2307" s="2">
        <f t="shared" ref="Z2307:Z2370" si="183">ROUND($D2307,1)+0</f>
        <v>94414.7</v>
      </c>
      <c r="AA2307" s="2">
        <f t="shared" ref="AA2307:AA2370" si="184">100000000/Y2307</f>
        <v>94414.709056353313</v>
      </c>
      <c r="AB2307" s="1">
        <f t="shared" ref="AB2307:AB2370" si="185">0.0005/$Y2307*AA2307+0.05</f>
        <v>9.4570686430979226E-2</v>
      </c>
      <c r="AC2307" s="1" t="b">
        <f t="shared" ref="AC2307:AC2370" si="186">ABS(Z2307-AA2307)&lt;AB2307</f>
        <v>1</v>
      </c>
    </row>
    <row r="2308" spans="1:29" x14ac:dyDescent="0.25">
      <c r="A2308" s="1" t="s">
        <v>835</v>
      </c>
      <c r="B2308">
        <v>60</v>
      </c>
      <c r="D2308" s="2">
        <v>94426.8</v>
      </c>
      <c r="E2308">
        <v>23844</v>
      </c>
      <c r="F2308" t="s">
        <v>15</v>
      </c>
      <c r="G2308" t="s">
        <v>16</v>
      </c>
      <c r="H2308">
        <v>118271</v>
      </c>
      <c r="I2308" t="s">
        <v>17</v>
      </c>
      <c r="J2308" t="s">
        <v>23</v>
      </c>
      <c r="K2308">
        <v>23844.58</v>
      </c>
      <c r="L2308">
        <v>118271.6</v>
      </c>
      <c r="M2308">
        <v>24</v>
      </c>
      <c r="Y2308" s="1">
        <f t="shared" si="182"/>
        <v>1059.0219999999999</v>
      </c>
      <c r="Z2308" s="2">
        <f t="shared" si="183"/>
        <v>94426.8</v>
      </c>
      <c r="AA2308" s="2">
        <f t="shared" si="184"/>
        <v>94426.744675748007</v>
      </c>
      <c r="AB2308" s="1">
        <f t="shared" si="185"/>
        <v>9.4582050550294533E-2</v>
      </c>
      <c r="AC2308" s="1" t="b">
        <f t="shared" si="186"/>
        <v>1</v>
      </c>
    </row>
    <row r="2309" spans="1:29" x14ac:dyDescent="0.25">
      <c r="A2309" s="1" t="s">
        <v>836</v>
      </c>
      <c r="B2309">
        <v>10</v>
      </c>
      <c r="D2309" s="2">
        <v>94433.3</v>
      </c>
      <c r="E2309">
        <v>21238</v>
      </c>
      <c r="F2309" t="s">
        <v>15</v>
      </c>
      <c r="G2309" t="s">
        <v>50</v>
      </c>
      <c r="H2309">
        <v>115672</v>
      </c>
      <c r="I2309" t="s">
        <v>17</v>
      </c>
      <c r="J2309" t="s">
        <v>57</v>
      </c>
      <c r="K2309">
        <v>21238.78</v>
      </c>
      <c r="L2309">
        <v>115672.2</v>
      </c>
      <c r="M2309">
        <v>24</v>
      </c>
      <c r="Y2309" s="1">
        <f t="shared" si="182"/>
        <v>1058.9480000000001</v>
      </c>
      <c r="Z2309" s="2">
        <f t="shared" si="183"/>
        <v>94433.3</v>
      </c>
      <c r="AA2309" s="2">
        <f t="shared" si="184"/>
        <v>94433.343280312154</v>
      </c>
      <c r="AB2309" s="1">
        <f t="shared" si="185"/>
        <v>9.458828161548638E-2</v>
      </c>
      <c r="AC2309" s="1" t="b">
        <f t="shared" si="186"/>
        <v>1</v>
      </c>
    </row>
    <row r="2310" spans="1:29" x14ac:dyDescent="0.25">
      <c r="A2310" s="1" t="s">
        <v>837</v>
      </c>
      <c r="B2310">
        <v>60</v>
      </c>
      <c r="D2310" s="2">
        <v>94449.3</v>
      </c>
      <c r="E2310">
        <v>22277</v>
      </c>
      <c r="F2310" t="s">
        <v>15</v>
      </c>
      <c r="G2310" t="s">
        <v>29</v>
      </c>
      <c r="H2310">
        <v>116727</v>
      </c>
      <c r="I2310" t="s">
        <v>17</v>
      </c>
      <c r="J2310" t="s">
        <v>28</v>
      </c>
      <c r="K2310">
        <v>22277.66</v>
      </c>
      <c r="L2310">
        <v>116727.1</v>
      </c>
      <c r="M2310">
        <v>24</v>
      </c>
      <c r="Y2310" s="1">
        <f t="shared" si="182"/>
        <v>1058.769</v>
      </c>
      <c r="Z2310" s="2">
        <f t="shared" si="183"/>
        <v>94449.3</v>
      </c>
      <c r="AA2310" s="2">
        <f t="shared" si="184"/>
        <v>94449.308583836508</v>
      </c>
      <c r="AB2310" s="1">
        <f t="shared" si="185"/>
        <v>9.4603359459823871E-2</v>
      </c>
      <c r="AC2310" s="1" t="b">
        <f t="shared" si="186"/>
        <v>1</v>
      </c>
    </row>
    <row r="2311" spans="1:29" x14ac:dyDescent="0.25">
      <c r="A2311" s="1" t="s">
        <v>838</v>
      </c>
      <c r="B2311">
        <v>100</v>
      </c>
      <c r="D2311" s="2">
        <v>94472.4</v>
      </c>
      <c r="M2311">
        <v>24</v>
      </c>
      <c r="Y2311" s="1">
        <f t="shared" si="182"/>
        <v>1058.51</v>
      </c>
      <c r="Z2311" s="2">
        <f t="shared" si="183"/>
        <v>94472.4</v>
      </c>
      <c r="AA2311" s="2">
        <f t="shared" si="184"/>
        <v>94472.418777337953</v>
      </c>
      <c r="AB2311" s="1">
        <f t="shared" si="185"/>
        <v>9.4625189548203592E-2</v>
      </c>
      <c r="AC2311" s="1" t="b">
        <f t="shared" si="186"/>
        <v>1</v>
      </c>
    </row>
    <row r="2312" spans="1:29" x14ac:dyDescent="0.25">
      <c r="A2312" s="1" t="s">
        <v>839</v>
      </c>
      <c r="B2312">
        <v>3</v>
      </c>
      <c r="D2312" s="2">
        <v>94482.9</v>
      </c>
      <c r="M2312">
        <v>24</v>
      </c>
      <c r="Y2312" s="1">
        <f t="shared" si="182"/>
        <v>1058.393</v>
      </c>
      <c r="Z2312" s="2">
        <f t="shared" si="183"/>
        <v>94482.9</v>
      </c>
      <c r="AA2312" s="2">
        <f t="shared" si="184"/>
        <v>94482.862226035126</v>
      </c>
      <c r="AB2312" s="1">
        <f t="shared" si="185"/>
        <v>9.4635056272119683E-2</v>
      </c>
      <c r="AC2312" s="1" t="b">
        <f t="shared" si="186"/>
        <v>1</v>
      </c>
    </row>
    <row r="2313" spans="1:29" x14ac:dyDescent="0.25">
      <c r="A2313" s="1" t="s">
        <v>840</v>
      </c>
      <c r="B2313">
        <v>3</v>
      </c>
      <c r="D2313" s="2">
        <v>94486.9</v>
      </c>
      <c r="E2313">
        <v>21535</v>
      </c>
      <c r="F2313" t="s">
        <v>15</v>
      </c>
      <c r="G2313" t="s">
        <v>16</v>
      </c>
      <c r="H2313">
        <v>116021</v>
      </c>
      <c r="I2313" t="s">
        <v>17</v>
      </c>
      <c r="J2313" t="s">
        <v>18</v>
      </c>
      <c r="K2313">
        <v>21535.17</v>
      </c>
      <c r="L2313">
        <v>116021.8</v>
      </c>
      <c r="M2313">
        <v>24</v>
      </c>
      <c r="Y2313" s="1">
        <f t="shared" si="182"/>
        <v>1058.348</v>
      </c>
      <c r="Z2313" s="2">
        <f t="shared" si="183"/>
        <v>94486.9</v>
      </c>
      <c r="AA2313" s="2">
        <f t="shared" si="184"/>
        <v>94486.879551905426</v>
      </c>
      <c r="AB2313" s="1">
        <f t="shared" si="185"/>
        <v>9.4638852037281423E-2</v>
      </c>
      <c r="AC2313" s="1" t="b">
        <f t="shared" si="186"/>
        <v>1</v>
      </c>
    </row>
    <row r="2314" spans="1:29" x14ac:dyDescent="0.25">
      <c r="A2314" s="1" t="s">
        <v>841</v>
      </c>
      <c r="B2314">
        <v>4</v>
      </c>
      <c r="D2314" s="2">
        <v>94504.6</v>
      </c>
      <c r="E2314">
        <v>21294</v>
      </c>
      <c r="F2314" t="s">
        <v>15</v>
      </c>
      <c r="G2314" t="s">
        <v>18</v>
      </c>
      <c r="H2314">
        <v>115800</v>
      </c>
      <c r="I2314" t="s">
        <v>17</v>
      </c>
      <c r="J2314" t="s">
        <v>28</v>
      </c>
      <c r="K2314">
        <v>21294.89</v>
      </c>
      <c r="L2314">
        <v>115800</v>
      </c>
      <c r="M2314">
        <v>24</v>
      </c>
      <c r="Y2314" s="1">
        <f t="shared" si="182"/>
        <v>1058.1500000000001</v>
      </c>
      <c r="Z2314" s="2">
        <f t="shared" si="183"/>
        <v>94504.6</v>
      </c>
      <c r="AA2314" s="2">
        <f t="shared" si="184"/>
        <v>94504.559845012511</v>
      </c>
      <c r="AB2314" s="1">
        <f t="shared" si="185"/>
        <v>9.4655559157497765E-2</v>
      </c>
      <c r="AC2314" s="1" t="b">
        <f t="shared" si="186"/>
        <v>1</v>
      </c>
    </row>
    <row r="2315" spans="1:29" x14ac:dyDescent="0.25">
      <c r="A2315" s="1" t="s">
        <v>842</v>
      </c>
      <c r="B2315">
        <v>20</v>
      </c>
      <c r="D2315" s="2">
        <v>94516.4</v>
      </c>
      <c r="E2315">
        <v>22527</v>
      </c>
      <c r="F2315" t="s">
        <v>15</v>
      </c>
      <c r="G2315" t="s">
        <v>18</v>
      </c>
      <c r="H2315">
        <v>117044</v>
      </c>
      <c r="I2315" t="s">
        <v>17</v>
      </c>
      <c r="J2315" t="s">
        <v>18</v>
      </c>
      <c r="K2315">
        <v>22527.7</v>
      </c>
      <c r="L2315">
        <v>117044.6</v>
      </c>
      <c r="M2315">
        <v>24</v>
      </c>
      <c r="Y2315" s="1">
        <f t="shared" si="182"/>
        <v>1058.018</v>
      </c>
      <c r="Z2315" s="2">
        <f t="shared" si="183"/>
        <v>94516.4</v>
      </c>
      <c r="AA2315" s="2">
        <f t="shared" si="184"/>
        <v>94516.350383452824</v>
      </c>
      <c r="AB2315" s="1">
        <f t="shared" si="185"/>
        <v>9.4666702449038131E-2</v>
      </c>
      <c r="AC2315" s="1" t="b">
        <f t="shared" si="186"/>
        <v>1</v>
      </c>
    </row>
    <row r="2316" spans="1:29" x14ac:dyDescent="0.25">
      <c r="A2316" s="1" t="s">
        <v>843</v>
      </c>
      <c r="B2316">
        <v>5</v>
      </c>
      <c r="C2316" t="s">
        <v>122</v>
      </c>
      <c r="D2316" s="2">
        <v>94526.6</v>
      </c>
      <c r="M2316">
        <v>24</v>
      </c>
      <c r="Y2316" s="1">
        <f t="shared" si="182"/>
        <v>1057.903</v>
      </c>
      <c r="Z2316" s="2">
        <f t="shared" si="183"/>
        <v>94526.6</v>
      </c>
      <c r="AA2316" s="2">
        <f t="shared" si="184"/>
        <v>94526.624841786062</v>
      </c>
      <c r="AB2316" s="1">
        <f t="shared" si="185"/>
        <v>9.4676414019898833E-2</v>
      </c>
      <c r="AC2316" s="1" t="b">
        <f t="shared" si="186"/>
        <v>1</v>
      </c>
    </row>
    <row r="2317" spans="1:29" x14ac:dyDescent="0.25">
      <c r="A2317" s="1" t="s">
        <v>844</v>
      </c>
      <c r="B2317">
        <v>10</v>
      </c>
      <c r="C2317" t="s">
        <v>122</v>
      </c>
      <c r="D2317" s="2">
        <v>94528.2</v>
      </c>
      <c r="E2317">
        <v>18241</v>
      </c>
      <c r="F2317" t="s">
        <v>15</v>
      </c>
      <c r="G2317" t="s">
        <v>23</v>
      </c>
      <c r="H2317">
        <v>112769</v>
      </c>
      <c r="I2317" t="s">
        <v>17</v>
      </c>
      <c r="J2317" t="s">
        <v>50</v>
      </c>
      <c r="K2317">
        <v>18241.54</v>
      </c>
      <c r="L2317">
        <v>112769.7</v>
      </c>
      <c r="M2317">
        <v>24</v>
      </c>
      <c r="Y2317" s="1">
        <f t="shared" si="182"/>
        <v>1057.885</v>
      </c>
      <c r="Z2317" s="2">
        <f t="shared" si="183"/>
        <v>94528.2</v>
      </c>
      <c r="AA2317" s="2">
        <f t="shared" si="184"/>
        <v>94528.233220056994</v>
      </c>
      <c r="AB2317" s="1">
        <f t="shared" si="185"/>
        <v>9.4677934378527451E-2</v>
      </c>
      <c r="AC2317" s="1" t="b">
        <f t="shared" si="186"/>
        <v>1</v>
      </c>
    </row>
    <row r="2318" spans="1:29" x14ac:dyDescent="0.25">
      <c r="A2318" s="1" t="s">
        <v>845</v>
      </c>
      <c r="B2318">
        <v>100</v>
      </c>
      <c r="D2318" s="2">
        <v>94537.3</v>
      </c>
      <c r="M2318">
        <v>24</v>
      </c>
      <c r="Y2318" s="1">
        <f t="shared" si="182"/>
        <v>1057.7829999999999</v>
      </c>
      <c r="Z2318" s="2">
        <f t="shared" si="183"/>
        <v>94537.3</v>
      </c>
      <c r="AA2318" s="2">
        <f t="shared" si="184"/>
        <v>94537.348397544687</v>
      </c>
      <c r="AB2318" s="1">
        <f t="shared" si="185"/>
        <v>9.4686551210193731E-2</v>
      </c>
      <c r="AC2318" s="1" t="b">
        <f t="shared" si="186"/>
        <v>1</v>
      </c>
    </row>
    <row r="2319" spans="1:29" x14ac:dyDescent="0.25">
      <c r="A2319" s="1" t="s">
        <v>846</v>
      </c>
      <c r="B2319">
        <v>100</v>
      </c>
      <c r="D2319" s="2">
        <v>94542.9</v>
      </c>
      <c r="M2319">
        <v>24</v>
      </c>
      <c r="Y2319" s="1">
        <f t="shared" si="182"/>
        <v>1057.721</v>
      </c>
      <c r="Z2319" s="2">
        <f t="shared" si="183"/>
        <v>94542.9</v>
      </c>
      <c r="AA2319" s="2">
        <f t="shared" si="184"/>
        <v>94542.88985469703</v>
      </c>
      <c r="AB2319" s="1">
        <f t="shared" si="185"/>
        <v>9.4691790110386878E-2</v>
      </c>
      <c r="AC2319" s="1" t="b">
        <f t="shared" si="186"/>
        <v>1</v>
      </c>
    </row>
    <row r="2320" spans="1:29" x14ac:dyDescent="0.25">
      <c r="A2320" s="1" t="s">
        <v>847</v>
      </c>
      <c r="B2320">
        <v>10</v>
      </c>
      <c r="C2320" t="s">
        <v>122</v>
      </c>
      <c r="D2320" s="2">
        <v>94563.5</v>
      </c>
      <c r="M2320">
        <v>24</v>
      </c>
      <c r="Y2320" s="1">
        <f t="shared" si="182"/>
        <v>1057.49</v>
      </c>
      <c r="Z2320" s="2">
        <f t="shared" si="183"/>
        <v>94563.5</v>
      </c>
      <c r="AA2320" s="2">
        <f t="shared" si="184"/>
        <v>94563.541972028106</v>
      </c>
      <c r="AB2320" s="1">
        <f t="shared" si="185"/>
        <v>9.4711317351477614E-2</v>
      </c>
      <c r="AC2320" s="1" t="b">
        <f t="shared" si="186"/>
        <v>1</v>
      </c>
    </row>
    <row r="2321" spans="1:29" x14ac:dyDescent="0.25">
      <c r="A2321" s="1" t="s">
        <v>848</v>
      </c>
      <c r="B2321">
        <v>20</v>
      </c>
      <c r="C2321" t="s">
        <v>27</v>
      </c>
      <c r="D2321" s="2">
        <v>94566.6</v>
      </c>
      <c r="E2321">
        <v>18990</v>
      </c>
      <c r="F2321" t="s">
        <v>15</v>
      </c>
      <c r="G2321" t="s">
        <v>18</v>
      </c>
      <c r="H2321">
        <v>113556</v>
      </c>
      <c r="I2321" t="s">
        <v>17</v>
      </c>
      <c r="J2321" t="s">
        <v>28</v>
      </c>
      <c r="K2321">
        <v>18990.080000000002</v>
      </c>
      <c r="L2321">
        <v>113556.8</v>
      </c>
      <c r="M2321">
        <v>24</v>
      </c>
      <c r="Y2321" s="1">
        <f t="shared" si="182"/>
        <v>1057.4559999999999</v>
      </c>
      <c r="Z2321" s="2">
        <f t="shared" si="183"/>
        <v>94566.6</v>
      </c>
      <c r="AA2321" s="2">
        <f t="shared" si="184"/>
        <v>94566.58243936392</v>
      </c>
      <c r="AB2321" s="1">
        <f t="shared" si="185"/>
        <v>9.4714192571305061E-2</v>
      </c>
      <c r="AC2321" s="1" t="b">
        <f t="shared" si="186"/>
        <v>1</v>
      </c>
    </row>
    <row r="2322" spans="1:29" x14ac:dyDescent="0.25">
      <c r="A2322" s="1" t="s">
        <v>848</v>
      </c>
      <c r="B2322">
        <v>20</v>
      </c>
      <c r="C2322" t="s">
        <v>27</v>
      </c>
      <c r="D2322" s="2">
        <v>94566.6</v>
      </c>
      <c r="E2322">
        <v>38785</v>
      </c>
      <c r="F2322" t="s">
        <v>15</v>
      </c>
      <c r="G2322" t="s">
        <v>57</v>
      </c>
      <c r="H2322">
        <v>133352</v>
      </c>
      <c r="I2322" t="s">
        <v>17</v>
      </c>
      <c r="J2322" t="s">
        <v>57</v>
      </c>
      <c r="K2322">
        <v>38785.760000000002</v>
      </c>
      <c r="L2322">
        <v>133352.20000000001</v>
      </c>
      <c r="M2322">
        <v>24</v>
      </c>
      <c r="Y2322" s="1">
        <f t="shared" si="182"/>
        <v>1057.4559999999999</v>
      </c>
      <c r="Z2322" s="2">
        <f t="shared" si="183"/>
        <v>94566.6</v>
      </c>
      <c r="AA2322" s="2">
        <f t="shared" si="184"/>
        <v>94566.58243936392</v>
      </c>
      <c r="AB2322" s="1">
        <f t="shared" si="185"/>
        <v>9.4714192571305061E-2</v>
      </c>
      <c r="AC2322" s="1" t="b">
        <f t="shared" si="186"/>
        <v>1</v>
      </c>
    </row>
    <row r="2323" spans="1:29" x14ac:dyDescent="0.25">
      <c r="A2323" s="1" t="s">
        <v>849</v>
      </c>
      <c r="B2323">
        <v>400</v>
      </c>
      <c r="D2323" s="2">
        <v>94579.6</v>
      </c>
      <c r="E2323">
        <v>18063</v>
      </c>
      <c r="F2323" t="s">
        <v>15</v>
      </c>
      <c r="G2323" t="s">
        <v>16</v>
      </c>
      <c r="H2323">
        <v>112643</v>
      </c>
      <c r="I2323" t="s">
        <v>17</v>
      </c>
      <c r="J2323" t="s">
        <v>23</v>
      </c>
      <c r="K2323">
        <v>18063.36</v>
      </c>
      <c r="L2323">
        <v>112643.2</v>
      </c>
      <c r="M2323">
        <v>24</v>
      </c>
      <c r="Y2323" s="1">
        <f t="shared" si="182"/>
        <v>1057.31</v>
      </c>
      <c r="Z2323" s="2">
        <f t="shared" si="183"/>
        <v>94579.6</v>
      </c>
      <c r="AA2323" s="2">
        <f t="shared" si="184"/>
        <v>94579.640786524295</v>
      </c>
      <c r="AB2323" s="1">
        <f t="shared" si="185"/>
        <v>9.4726542256539856E-2</v>
      </c>
      <c r="AC2323" s="1" t="b">
        <f t="shared" si="186"/>
        <v>1</v>
      </c>
    </row>
    <row r="2324" spans="1:29" x14ac:dyDescent="0.25">
      <c r="A2324" s="1" t="s">
        <v>850</v>
      </c>
      <c r="B2324">
        <v>200</v>
      </c>
      <c r="D2324" s="2">
        <v>94587</v>
      </c>
      <c r="E2324">
        <v>38785</v>
      </c>
      <c r="F2324" t="s">
        <v>15</v>
      </c>
      <c r="G2324" t="s">
        <v>57</v>
      </c>
      <c r="H2324">
        <v>133373</v>
      </c>
      <c r="I2324" t="s">
        <v>17</v>
      </c>
      <c r="J2324" t="s">
        <v>528</v>
      </c>
      <c r="K2324">
        <v>38785.760000000002</v>
      </c>
      <c r="L2324">
        <v>133373</v>
      </c>
      <c r="M2324">
        <v>24</v>
      </c>
      <c r="Y2324" s="1">
        <f t="shared" si="182"/>
        <v>1057.2280000000001</v>
      </c>
      <c r="Z2324" s="2">
        <f t="shared" si="183"/>
        <v>94587</v>
      </c>
      <c r="AA2324" s="2">
        <f t="shared" si="184"/>
        <v>94586.976508378502</v>
      </c>
      <c r="AB2324" s="1">
        <f t="shared" si="185"/>
        <v>9.4733480624982741E-2</v>
      </c>
      <c r="AC2324" s="1" t="b">
        <f t="shared" si="186"/>
        <v>1</v>
      </c>
    </row>
    <row r="2325" spans="1:29" x14ac:dyDescent="0.25">
      <c r="A2325" s="1" t="s">
        <v>851</v>
      </c>
      <c r="B2325">
        <v>40</v>
      </c>
      <c r="D2325" s="2">
        <v>94600.2</v>
      </c>
      <c r="E2325">
        <v>23175</v>
      </c>
      <c r="F2325" t="s">
        <v>15</v>
      </c>
      <c r="G2325" t="s">
        <v>50</v>
      </c>
      <c r="H2325">
        <v>117775</v>
      </c>
      <c r="I2325" t="s">
        <v>17</v>
      </c>
      <c r="J2325" t="s">
        <v>50</v>
      </c>
      <c r="K2325">
        <v>23175.09</v>
      </c>
      <c r="L2325">
        <v>117775.3</v>
      </c>
      <c r="M2325">
        <v>24</v>
      </c>
      <c r="Y2325" s="1">
        <f t="shared" si="182"/>
        <v>1057.08</v>
      </c>
      <c r="Z2325" s="2">
        <f t="shared" si="183"/>
        <v>94600.2</v>
      </c>
      <c r="AA2325" s="2">
        <f t="shared" si="184"/>
        <v>94600.219472509183</v>
      </c>
      <c r="AB2325" s="1">
        <f t="shared" si="185"/>
        <v>9.4746007621234529E-2</v>
      </c>
      <c r="AC2325" s="1" t="b">
        <f t="shared" si="186"/>
        <v>1</v>
      </c>
    </row>
    <row r="2326" spans="1:29" x14ac:dyDescent="0.25">
      <c r="A2326" s="1" t="s">
        <v>852</v>
      </c>
      <c r="B2326">
        <v>10</v>
      </c>
      <c r="C2326" t="s">
        <v>27</v>
      </c>
      <c r="D2326" s="2">
        <v>94623.9</v>
      </c>
      <c r="E2326">
        <v>23647</v>
      </c>
      <c r="F2326" t="s">
        <v>15</v>
      </c>
      <c r="G2326" t="s">
        <v>50</v>
      </c>
      <c r="H2326">
        <v>118271</v>
      </c>
      <c r="I2326" t="s">
        <v>17</v>
      </c>
      <c r="J2326" t="s">
        <v>23</v>
      </c>
      <c r="K2326">
        <v>23647.77</v>
      </c>
      <c r="L2326">
        <v>118271.6</v>
      </c>
      <c r="M2326">
        <v>24</v>
      </c>
      <c r="Y2326" s="1">
        <f t="shared" si="182"/>
        <v>1056.8150000000001</v>
      </c>
      <c r="Z2326" s="2">
        <f t="shared" si="183"/>
        <v>94623.9</v>
      </c>
      <c r="AA2326" s="2">
        <f t="shared" si="184"/>
        <v>94623.940803262623</v>
      </c>
      <c r="AB2326" s="1">
        <f t="shared" si="185"/>
        <v>9.4768450865696754E-2</v>
      </c>
      <c r="AC2326" s="1" t="b">
        <f t="shared" si="186"/>
        <v>1</v>
      </c>
    </row>
    <row r="2327" spans="1:29" x14ac:dyDescent="0.25">
      <c r="A2327" s="1" t="s">
        <v>852</v>
      </c>
      <c r="B2327">
        <v>10</v>
      </c>
      <c r="C2327" t="s">
        <v>27</v>
      </c>
      <c r="D2327" s="2">
        <v>94623.9</v>
      </c>
      <c r="E2327">
        <v>23844</v>
      </c>
      <c r="F2327" t="s">
        <v>15</v>
      </c>
      <c r="G2327" t="s">
        <v>16</v>
      </c>
      <c r="H2327">
        <v>118468</v>
      </c>
      <c r="I2327" t="s">
        <v>17</v>
      </c>
      <c r="J2327" t="s">
        <v>16</v>
      </c>
      <c r="K2327">
        <v>23844.58</v>
      </c>
      <c r="L2327">
        <v>118468.8</v>
      </c>
      <c r="M2327">
        <v>24</v>
      </c>
      <c r="Y2327" s="1">
        <f t="shared" si="182"/>
        <v>1056.8150000000001</v>
      </c>
      <c r="Z2327" s="2">
        <f t="shared" si="183"/>
        <v>94623.9</v>
      </c>
      <c r="AA2327" s="2">
        <f t="shared" si="184"/>
        <v>94623.940803262623</v>
      </c>
      <c r="AB2327" s="1">
        <f t="shared" si="185"/>
        <v>9.4768450865696754E-2</v>
      </c>
      <c r="AC2327" s="1" t="b">
        <f t="shared" si="186"/>
        <v>1</v>
      </c>
    </row>
    <row r="2328" spans="1:29" x14ac:dyDescent="0.25">
      <c r="A2328" s="1" t="s">
        <v>853</v>
      </c>
      <c r="B2328">
        <v>8</v>
      </c>
      <c r="D2328" s="2">
        <v>94641.5</v>
      </c>
      <c r="M2328">
        <v>24</v>
      </c>
      <c r="Y2328" s="1">
        <f t="shared" si="182"/>
        <v>1056.6189999999999</v>
      </c>
      <c r="Z2328" s="2">
        <f t="shared" si="183"/>
        <v>94641.5</v>
      </c>
      <c r="AA2328" s="2">
        <f t="shared" si="184"/>
        <v>94641.493291337756</v>
      </c>
      <c r="AB2328" s="1">
        <f t="shared" si="185"/>
        <v>9.4785061262071646E-2</v>
      </c>
      <c r="AC2328" s="1" t="b">
        <f t="shared" si="186"/>
        <v>1</v>
      </c>
    </row>
    <row r="2329" spans="1:29" x14ac:dyDescent="0.25">
      <c r="A2329" s="1" t="s">
        <v>854</v>
      </c>
      <c r="B2329">
        <v>100</v>
      </c>
      <c r="D2329" s="2">
        <v>94650.5</v>
      </c>
      <c r="E2329">
        <v>38701</v>
      </c>
      <c r="F2329" t="s">
        <v>15</v>
      </c>
      <c r="G2329" t="s">
        <v>50</v>
      </c>
      <c r="H2329">
        <v>133352</v>
      </c>
      <c r="I2329" t="s">
        <v>17</v>
      </c>
      <c r="J2329" t="s">
        <v>57</v>
      </c>
      <c r="K2329">
        <v>38701.589999999997</v>
      </c>
      <c r="L2329">
        <v>133352.20000000001</v>
      </c>
      <c r="M2329">
        <v>24</v>
      </c>
      <c r="Y2329" s="1">
        <f t="shared" si="182"/>
        <v>1056.518</v>
      </c>
      <c r="Z2329" s="2">
        <f t="shared" si="183"/>
        <v>94650.5</v>
      </c>
      <c r="AA2329" s="2">
        <f t="shared" si="184"/>
        <v>94650.540738539232</v>
      </c>
      <c r="AB2329" s="1">
        <f t="shared" si="185"/>
        <v>9.4793624310489377E-2</v>
      </c>
      <c r="AC2329" s="1" t="b">
        <f t="shared" si="186"/>
        <v>1</v>
      </c>
    </row>
    <row r="2330" spans="1:29" x14ac:dyDescent="0.25">
      <c r="A2330" s="1" t="s">
        <v>855</v>
      </c>
      <c r="B2330">
        <v>20</v>
      </c>
      <c r="D2330" s="2">
        <v>94668.800000000003</v>
      </c>
      <c r="E2330">
        <v>23532</v>
      </c>
      <c r="F2330" t="s">
        <v>15</v>
      </c>
      <c r="G2330" t="s">
        <v>28</v>
      </c>
      <c r="H2330">
        <v>118201</v>
      </c>
      <c r="I2330" t="s">
        <v>17</v>
      </c>
      <c r="J2330" t="s">
        <v>29</v>
      </c>
      <c r="K2330">
        <v>23532.86</v>
      </c>
      <c r="L2330">
        <v>118201.4</v>
      </c>
      <c r="M2330">
        <v>24</v>
      </c>
      <c r="Y2330" s="1">
        <f t="shared" si="182"/>
        <v>1056.3140000000001</v>
      </c>
      <c r="Z2330" s="2">
        <f t="shared" si="183"/>
        <v>94668.800000000003</v>
      </c>
      <c r="AA2330" s="2">
        <f t="shared" si="184"/>
        <v>94668.82006676044</v>
      </c>
      <c r="AB2330" s="1">
        <f t="shared" si="185"/>
        <v>9.4810927464163322E-2</v>
      </c>
      <c r="AC2330" s="1" t="b">
        <f t="shared" si="186"/>
        <v>1</v>
      </c>
    </row>
    <row r="2331" spans="1:29" x14ac:dyDescent="0.25">
      <c r="A2331" s="1" t="s">
        <v>856</v>
      </c>
      <c r="B2331">
        <v>50</v>
      </c>
      <c r="D2331" s="2">
        <v>94678</v>
      </c>
      <c r="M2331">
        <v>24</v>
      </c>
      <c r="Y2331" s="1">
        <f t="shared" si="182"/>
        <v>1056.211</v>
      </c>
      <c r="Z2331" s="2">
        <f t="shared" si="183"/>
        <v>94678</v>
      </c>
      <c r="AA2331" s="2">
        <f t="shared" si="184"/>
        <v>94678.05201801534</v>
      </c>
      <c r="AB2331" s="1">
        <f t="shared" si="185"/>
        <v>9.4819667669630098E-2</v>
      </c>
      <c r="AC2331" s="1" t="b">
        <f t="shared" si="186"/>
        <v>1</v>
      </c>
    </row>
    <row r="2332" spans="1:29" x14ac:dyDescent="0.25">
      <c r="A2332" s="1" t="s">
        <v>857</v>
      </c>
      <c r="B2332">
        <v>80</v>
      </c>
      <c r="D2332" s="2">
        <v>94694.3</v>
      </c>
      <c r="E2332">
        <v>21238</v>
      </c>
      <c r="F2332" t="s">
        <v>15</v>
      </c>
      <c r="G2332" t="s">
        <v>50</v>
      </c>
      <c r="H2332">
        <v>115933</v>
      </c>
      <c r="I2332" t="s">
        <v>17</v>
      </c>
      <c r="J2332" t="s">
        <v>23</v>
      </c>
      <c r="K2332">
        <v>21238.78</v>
      </c>
      <c r="L2332">
        <v>115933.2</v>
      </c>
      <c r="M2332">
        <v>24</v>
      </c>
      <c r="Y2332" s="1">
        <f t="shared" si="182"/>
        <v>1056.03</v>
      </c>
      <c r="Z2332" s="2">
        <f t="shared" si="183"/>
        <v>94694.3</v>
      </c>
      <c r="AA2332" s="2">
        <f t="shared" si="184"/>
        <v>94694.279518574287</v>
      </c>
      <c r="AB2332" s="1">
        <f t="shared" si="185"/>
        <v>9.483503286770939E-2</v>
      </c>
      <c r="AC2332" s="1" t="b">
        <f t="shared" si="186"/>
        <v>1</v>
      </c>
    </row>
    <row r="2333" spans="1:29" x14ac:dyDescent="0.25">
      <c r="A2333" s="1" t="s">
        <v>858</v>
      </c>
      <c r="B2333">
        <v>20</v>
      </c>
      <c r="D2333" s="2">
        <v>94709.8</v>
      </c>
      <c r="M2333">
        <v>24</v>
      </c>
      <c r="Y2333" s="1">
        <f t="shared" si="182"/>
        <v>1055.857</v>
      </c>
      <c r="Z2333" s="2">
        <f t="shared" si="183"/>
        <v>94709.8</v>
      </c>
      <c r="AA2333" s="2">
        <f t="shared" si="184"/>
        <v>94709.7949817068</v>
      </c>
      <c r="AB2333" s="1">
        <f t="shared" si="185"/>
        <v>9.484972632738467E-2</v>
      </c>
      <c r="AC2333" s="1" t="b">
        <f t="shared" si="186"/>
        <v>1</v>
      </c>
    </row>
    <row r="2334" spans="1:29" x14ac:dyDescent="0.25">
      <c r="A2334" s="1" t="s">
        <v>859</v>
      </c>
      <c r="B2334">
        <v>20</v>
      </c>
      <c r="D2334" s="2">
        <v>94726.8</v>
      </c>
      <c r="E2334">
        <v>21294</v>
      </c>
      <c r="F2334" t="s">
        <v>15</v>
      </c>
      <c r="G2334" t="s">
        <v>18</v>
      </c>
      <c r="H2334">
        <v>116021</v>
      </c>
      <c r="I2334" t="s">
        <v>17</v>
      </c>
      <c r="J2334" t="s">
        <v>18</v>
      </c>
      <c r="K2334">
        <v>21294.89</v>
      </c>
      <c r="L2334">
        <v>116021.8</v>
      </c>
      <c r="M2334">
        <v>24</v>
      </c>
      <c r="Y2334" s="1">
        <f t="shared" si="182"/>
        <v>1055.6679999999999</v>
      </c>
      <c r="Z2334" s="2">
        <f t="shared" si="183"/>
        <v>94726.8</v>
      </c>
      <c r="AA2334" s="2">
        <f t="shared" si="184"/>
        <v>94726.751213449694</v>
      </c>
      <c r="AB2334" s="1">
        <f t="shared" si="185"/>
        <v>9.4865786977273964E-2</v>
      </c>
      <c r="AC2334" s="1" t="b">
        <f t="shared" si="186"/>
        <v>1</v>
      </c>
    </row>
    <row r="2335" spans="1:29" x14ac:dyDescent="0.25">
      <c r="A2335" s="1" t="s">
        <v>860</v>
      </c>
      <c r="B2335">
        <v>20</v>
      </c>
      <c r="D2335" s="2">
        <v>94760</v>
      </c>
      <c r="M2335">
        <v>24</v>
      </c>
      <c r="Y2335" s="1">
        <f t="shared" si="182"/>
        <v>1055.297</v>
      </c>
      <c r="Z2335" s="2">
        <f t="shared" si="183"/>
        <v>94760</v>
      </c>
      <c r="AA2335" s="2">
        <f t="shared" si="184"/>
        <v>94760.053330958006</v>
      </c>
      <c r="AB2335" s="1">
        <f t="shared" si="185"/>
        <v>9.4897338536430037E-2</v>
      </c>
      <c r="AC2335" s="1" t="b">
        <f t="shared" si="186"/>
        <v>1</v>
      </c>
    </row>
    <row r="2336" spans="1:29" x14ac:dyDescent="0.25">
      <c r="A2336" s="1" t="s">
        <v>861</v>
      </c>
      <c r="B2336">
        <v>300</v>
      </c>
      <c r="D2336" s="2">
        <v>94773.9</v>
      </c>
      <c r="E2336">
        <v>21535</v>
      </c>
      <c r="F2336" t="s">
        <v>15</v>
      </c>
      <c r="G2336" t="s">
        <v>16</v>
      </c>
      <c r="H2336">
        <v>116309</v>
      </c>
      <c r="I2336" t="s">
        <v>17</v>
      </c>
      <c r="J2336" t="s">
        <v>23</v>
      </c>
      <c r="K2336">
        <v>21535.17</v>
      </c>
      <c r="L2336">
        <v>116309.2</v>
      </c>
      <c r="M2336">
        <v>24</v>
      </c>
      <c r="Y2336" s="1">
        <f t="shared" si="182"/>
        <v>1055.143</v>
      </c>
      <c r="Z2336" s="2">
        <f t="shared" si="183"/>
        <v>94773.9</v>
      </c>
      <c r="AA2336" s="2">
        <f t="shared" si="184"/>
        <v>94773.883729503956</v>
      </c>
      <c r="AB2336" s="1">
        <f t="shared" si="185"/>
        <v>9.4910445185867678E-2</v>
      </c>
      <c r="AC2336" s="1" t="b">
        <f t="shared" si="186"/>
        <v>1</v>
      </c>
    </row>
    <row r="2337" spans="1:29" x14ac:dyDescent="0.25">
      <c r="A2337" s="1" t="s">
        <v>862</v>
      </c>
      <c r="B2337">
        <v>30</v>
      </c>
      <c r="D2337" s="2">
        <v>94780.3</v>
      </c>
      <c r="M2337">
        <v>24</v>
      </c>
      <c r="Y2337" s="1">
        <f t="shared" si="182"/>
        <v>1055.0719999999999</v>
      </c>
      <c r="Z2337" s="2">
        <f t="shared" si="183"/>
        <v>94780.3</v>
      </c>
      <c r="AA2337" s="2">
        <f t="shared" si="184"/>
        <v>94780.261441873168</v>
      </c>
      <c r="AB2337" s="1">
        <f t="shared" si="185"/>
        <v>9.4916489794949155E-2</v>
      </c>
      <c r="AC2337" s="1" t="b">
        <f t="shared" si="186"/>
        <v>1</v>
      </c>
    </row>
    <row r="2338" spans="1:29" x14ac:dyDescent="0.25">
      <c r="A2338" s="1" t="s">
        <v>863</v>
      </c>
      <c r="B2338">
        <v>50</v>
      </c>
      <c r="D2338" s="2">
        <v>94821.5</v>
      </c>
      <c r="E2338">
        <v>20848</v>
      </c>
      <c r="F2338" t="s">
        <v>15</v>
      </c>
      <c r="G2338" t="s">
        <v>28</v>
      </c>
      <c r="H2338">
        <v>115670</v>
      </c>
      <c r="I2338" t="s">
        <v>17</v>
      </c>
      <c r="J2338" t="s">
        <v>18</v>
      </c>
      <c r="K2338">
        <v>20848.39</v>
      </c>
      <c r="L2338">
        <v>115670</v>
      </c>
      <c r="M2338">
        <v>24</v>
      </c>
      <c r="Y2338" s="1">
        <f t="shared" si="182"/>
        <v>1054.6130000000001</v>
      </c>
      <c r="Z2338" s="2">
        <f t="shared" si="183"/>
        <v>94821.5</v>
      </c>
      <c r="AA2338" s="2">
        <f t="shared" si="184"/>
        <v>94821.512725521112</v>
      </c>
      <c r="AB2338" s="1">
        <f t="shared" si="185"/>
        <v>9.495559637778081E-2</v>
      </c>
      <c r="AC2338" s="1" t="b">
        <f t="shared" si="186"/>
        <v>1</v>
      </c>
    </row>
    <row r="2339" spans="1:29" x14ac:dyDescent="0.25">
      <c r="A2339" s="1" t="s">
        <v>864</v>
      </c>
      <c r="B2339">
        <v>50</v>
      </c>
      <c r="C2339" t="s">
        <v>122</v>
      </c>
      <c r="D2339" s="2">
        <v>94826.5</v>
      </c>
      <c r="E2339">
        <v>16516</v>
      </c>
      <c r="F2339" t="s">
        <v>15</v>
      </c>
      <c r="G2339" t="s">
        <v>18</v>
      </c>
      <c r="H2339">
        <v>111342</v>
      </c>
      <c r="I2339" t="s">
        <v>17</v>
      </c>
      <c r="J2339" t="s">
        <v>18</v>
      </c>
      <c r="K2339">
        <v>16516.150000000001</v>
      </c>
      <c r="L2339">
        <v>111342.8</v>
      </c>
      <c r="M2339">
        <v>24</v>
      </c>
      <c r="Y2339" s="1">
        <f t="shared" si="182"/>
        <v>1054.558</v>
      </c>
      <c r="Z2339" s="2">
        <f t="shared" si="183"/>
        <v>94826.5</v>
      </c>
      <c r="AA2339" s="2">
        <f t="shared" si="184"/>
        <v>94826.458099032956</v>
      </c>
      <c r="AB2339" s="1">
        <f t="shared" si="185"/>
        <v>9.4960285778038278E-2</v>
      </c>
      <c r="AC2339" s="1" t="b">
        <f t="shared" si="186"/>
        <v>1</v>
      </c>
    </row>
    <row r="2340" spans="1:29" x14ac:dyDescent="0.25">
      <c r="A2340" s="1" t="s">
        <v>865</v>
      </c>
      <c r="B2340">
        <v>80</v>
      </c>
      <c r="C2340" t="s">
        <v>122</v>
      </c>
      <c r="D2340" s="2">
        <v>94829.4</v>
      </c>
      <c r="E2340">
        <v>23442</v>
      </c>
      <c r="F2340" t="s">
        <v>15</v>
      </c>
      <c r="G2340" t="s">
        <v>23</v>
      </c>
      <c r="H2340">
        <v>118271</v>
      </c>
      <c r="I2340" t="s">
        <v>17</v>
      </c>
      <c r="J2340" t="s">
        <v>23</v>
      </c>
      <c r="K2340">
        <v>23442.25</v>
      </c>
      <c r="L2340">
        <v>118271.6</v>
      </c>
      <c r="M2340">
        <v>24</v>
      </c>
      <c r="Y2340" s="1">
        <f t="shared" si="182"/>
        <v>1054.5250000000001</v>
      </c>
      <c r="Z2340" s="2">
        <f t="shared" si="183"/>
        <v>94829.4</v>
      </c>
      <c r="AA2340" s="2">
        <f t="shared" si="184"/>
        <v>94829.425570754596</v>
      </c>
      <c r="AB2340" s="1">
        <f t="shared" si="185"/>
        <v>9.4963099770396436E-2</v>
      </c>
      <c r="AC2340" s="1" t="b">
        <f t="shared" si="186"/>
        <v>1</v>
      </c>
    </row>
    <row r="2341" spans="1:29" x14ac:dyDescent="0.25">
      <c r="A2341" s="1" t="s">
        <v>866</v>
      </c>
      <c r="B2341">
        <v>60</v>
      </c>
      <c r="D2341" s="2">
        <v>94837</v>
      </c>
      <c r="M2341">
        <v>24</v>
      </c>
      <c r="Y2341" s="1">
        <f t="shared" si="182"/>
        <v>1054.441</v>
      </c>
      <c r="Z2341" s="2">
        <f t="shared" si="183"/>
        <v>94837</v>
      </c>
      <c r="AA2341" s="2">
        <f t="shared" si="184"/>
        <v>94836.979973274938</v>
      </c>
      <c r="AB2341" s="1">
        <f t="shared" si="185"/>
        <v>9.4970263852256764E-2</v>
      </c>
      <c r="AC2341" s="1" t="b">
        <f t="shared" si="186"/>
        <v>1</v>
      </c>
    </row>
    <row r="2342" spans="1:29" x14ac:dyDescent="0.25">
      <c r="A2342" s="1" t="s">
        <v>867</v>
      </c>
      <c r="B2342">
        <v>5</v>
      </c>
      <c r="D2342" s="2">
        <v>94841.7</v>
      </c>
      <c r="M2342">
        <v>24</v>
      </c>
      <c r="Y2342" s="1">
        <f t="shared" si="182"/>
        <v>1054.3879999999999</v>
      </c>
      <c r="Z2342" s="2">
        <f t="shared" si="183"/>
        <v>94841.7</v>
      </c>
      <c r="AA2342" s="2">
        <f t="shared" si="184"/>
        <v>94841.747060854264</v>
      </c>
      <c r="AB2342" s="1">
        <f t="shared" si="185"/>
        <v>9.4974784927775308E-2</v>
      </c>
      <c r="AC2342" s="1" t="b">
        <f t="shared" si="186"/>
        <v>1</v>
      </c>
    </row>
    <row r="2343" spans="1:29" x14ac:dyDescent="0.25">
      <c r="A2343" s="1" t="s">
        <v>868</v>
      </c>
      <c r="B2343">
        <v>7</v>
      </c>
      <c r="D2343" s="2">
        <v>94853</v>
      </c>
      <c r="M2343">
        <v>24</v>
      </c>
      <c r="Y2343" s="1">
        <f t="shared" si="182"/>
        <v>1054.2629999999999</v>
      </c>
      <c r="Z2343" s="2">
        <f t="shared" si="183"/>
        <v>94853</v>
      </c>
      <c r="AA2343" s="2">
        <f t="shared" si="184"/>
        <v>94852.992090208994</v>
      </c>
      <c r="AB2343" s="1">
        <f t="shared" si="185"/>
        <v>9.4985450542326252E-2</v>
      </c>
      <c r="AC2343" s="1" t="b">
        <f t="shared" si="186"/>
        <v>1</v>
      </c>
    </row>
    <row r="2344" spans="1:29" x14ac:dyDescent="0.25">
      <c r="A2344" s="1" t="s">
        <v>869</v>
      </c>
      <c r="B2344">
        <v>400</v>
      </c>
      <c r="D2344" s="2">
        <v>94887.8</v>
      </c>
      <c r="E2344">
        <v>23175</v>
      </c>
      <c r="F2344" t="s">
        <v>15</v>
      </c>
      <c r="G2344" t="s">
        <v>50</v>
      </c>
      <c r="H2344">
        <v>118063</v>
      </c>
      <c r="I2344" t="s">
        <v>17</v>
      </c>
      <c r="J2344" t="s">
        <v>57</v>
      </c>
      <c r="K2344">
        <v>23175.09</v>
      </c>
      <c r="L2344">
        <v>118063</v>
      </c>
      <c r="M2344">
        <v>24</v>
      </c>
      <c r="Y2344" s="1">
        <f t="shared" si="182"/>
        <v>1053.876</v>
      </c>
      <c r="Z2344" s="2">
        <f t="shared" si="183"/>
        <v>94887.8</v>
      </c>
      <c r="AA2344" s="2">
        <f t="shared" si="184"/>
        <v>94887.823614922439</v>
      </c>
      <c r="AB2344" s="1">
        <f t="shared" si="185"/>
        <v>9.501849535188317E-2</v>
      </c>
      <c r="AC2344" s="1" t="b">
        <f t="shared" si="186"/>
        <v>1</v>
      </c>
    </row>
    <row r="2345" spans="1:29" x14ac:dyDescent="0.25">
      <c r="A2345" s="1" t="s">
        <v>870</v>
      </c>
      <c r="B2345">
        <v>6</v>
      </c>
      <c r="D2345" s="2">
        <v>94914.1</v>
      </c>
      <c r="M2345">
        <v>24</v>
      </c>
      <c r="Y2345" s="1">
        <f t="shared" si="182"/>
        <v>1053.5840000000001</v>
      </c>
      <c r="Z2345" s="2">
        <f t="shared" si="183"/>
        <v>94914.1</v>
      </c>
      <c r="AA2345" s="2">
        <f t="shared" si="184"/>
        <v>94914.121702683406</v>
      </c>
      <c r="AB2345" s="1">
        <f t="shared" si="185"/>
        <v>9.504345249295898E-2</v>
      </c>
      <c r="AC2345" s="1" t="b">
        <f t="shared" si="186"/>
        <v>1</v>
      </c>
    </row>
    <row r="2346" spans="1:29" x14ac:dyDescent="0.25">
      <c r="A2346" s="1" t="s">
        <v>871</v>
      </c>
      <c r="B2346">
        <v>3</v>
      </c>
      <c r="C2346" t="s">
        <v>27</v>
      </c>
      <c r="D2346" s="2">
        <v>94917.9</v>
      </c>
      <c r="E2346">
        <v>18241</v>
      </c>
      <c r="F2346" t="s">
        <v>15</v>
      </c>
      <c r="G2346" t="s">
        <v>23</v>
      </c>
      <c r="H2346">
        <v>113158</v>
      </c>
      <c r="I2346" t="s">
        <v>17</v>
      </c>
      <c r="J2346" t="s">
        <v>16</v>
      </c>
      <c r="K2346">
        <v>18241.54</v>
      </c>
      <c r="L2346">
        <v>113158.8</v>
      </c>
      <c r="M2346">
        <v>24</v>
      </c>
      <c r="Y2346" s="1">
        <f t="shared" si="182"/>
        <v>1053.5419999999999</v>
      </c>
      <c r="Z2346" s="2">
        <f t="shared" si="183"/>
        <v>94917.9</v>
      </c>
      <c r="AA2346" s="2">
        <f t="shared" si="184"/>
        <v>94917.905503530012</v>
      </c>
      <c r="AB2346" s="1">
        <f t="shared" si="185"/>
        <v>9.5047043925885269E-2</v>
      </c>
      <c r="AC2346" s="1" t="b">
        <f t="shared" si="186"/>
        <v>1</v>
      </c>
    </row>
    <row r="2347" spans="1:29" x14ac:dyDescent="0.25">
      <c r="A2347" s="1" t="s">
        <v>871</v>
      </c>
      <c r="B2347">
        <v>3</v>
      </c>
      <c r="C2347" t="s">
        <v>27</v>
      </c>
      <c r="D2347" s="2">
        <v>94917.9</v>
      </c>
      <c r="E2347">
        <v>21535</v>
      </c>
      <c r="F2347" t="s">
        <v>15</v>
      </c>
      <c r="G2347" t="s">
        <v>16</v>
      </c>
      <c r="H2347">
        <v>116453</v>
      </c>
      <c r="I2347" t="s">
        <v>17</v>
      </c>
      <c r="J2347" t="s">
        <v>16</v>
      </c>
      <c r="K2347">
        <v>21535.17</v>
      </c>
      <c r="L2347">
        <v>116453.2</v>
      </c>
      <c r="M2347">
        <v>24</v>
      </c>
      <c r="Y2347" s="1">
        <f t="shared" si="182"/>
        <v>1053.5419999999999</v>
      </c>
      <c r="Z2347" s="2">
        <f t="shared" si="183"/>
        <v>94917.9</v>
      </c>
      <c r="AA2347" s="2">
        <f t="shared" si="184"/>
        <v>94917.905503530012</v>
      </c>
      <c r="AB2347" s="1">
        <f t="shared" si="185"/>
        <v>9.5047043925885269E-2</v>
      </c>
      <c r="AC2347" s="1" t="b">
        <f t="shared" si="186"/>
        <v>1</v>
      </c>
    </row>
    <row r="2348" spans="1:29" x14ac:dyDescent="0.25">
      <c r="A2348" s="1" t="s">
        <v>872</v>
      </c>
      <c r="B2348">
        <v>1</v>
      </c>
      <c r="D2348" s="2">
        <v>94929.600000000006</v>
      </c>
      <c r="M2348">
        <v>24</v>
      </c>
      <c r="Y2348" s="1">
        <f t="shared" si="182"/>
        <v>1053.412</v>
      </c>
      <c r="Z2348" s="2">
        <f t="shared" si="183"/>
        <v>94929.600000000006</v>
      </c>
      <c r="AA2348" s="2">
        <f t="shared" si="184"/>
        <v>94929.619180339694</v>
      </c>
      <c r="AB2348" s="1">
        <f t="shared" si="185"/>
        <v>9.5058162988621603E-2</v>
      </c>
      <c r="AC2348" s="1" t="b">
        <f t="shared" si="186"/>
        <v>1</v>
      </c>
    </row>
    <row r="2349" spans="1:29" x14ac:dyDescent="0.25">
      <c r="A2349" s="1" t="s">
        <v>873</v>
      </c>
      <c r="B2349">
        <v>40</v>
      </c>
      <c r="D2349" s="2">
        <v>94935.8</v>
      </c>
      <c r="E2349">
        <v>26446</v>
      </c>
      <c r="F2349" t="s">
        <v>15</v>
      </c>
      <c r="G2349" t="s">
        <v>18</v>
      </c>
      <c r="H2349">
        <v>121382</v>
      </c>
      <c r="I2349" t="s">
        <v>17</v>
      </c>
      <c r="J2349" t="s">
        <v>16</v>
      </c>
      <c r="K2349">
        <v>26446.97</v>
      </c>
      <c r="L2349">
        <v>121382.6</v>
      </c>
      <c r="M2349">
        <v>24</v>
      </c>
      <c r="Y2349" s="1">
        <f t="shared" si="182"/>
        <v>1053.3440000000001</v>
      </c>
      <c r="Z2349" s="2">
        <f t="shared" si="183"/>
        <v>94935.8</v>
      </c>
      <c r="AA2349" s="2">
        <f t="shared" si="184"/>
        <v>94935.747486101405</v>
      </c>
      <c r="AB2349" s="1">
        <f t="shared" si="185"/>
        <v>9.5063980753724048E-2</v>
      </c>
      <c r="AC2349" s="1" t="b">
        <f t="shared" si="186"/>
        <v>1</v>
      </c>
    </row>
    <row r="2350" spans="1:29" x14ac:dyDescent="0.25">
      <c r="A2350" s="1" t="s">
        <v>874</v>
      </c>
      <c r="B2350">
        <v>2</v>
      </c>
      <c r="D2350" s="2">
        <v>94943.3</v>
      </c>
      <c r="M2350">
        <v>24</v>
      </c>
      <c r="Y2350" s="1">
        <f t="shared" si="182"/>
        <v>1053.26</v>
      </c>
      <c r="Z2350" s="2">
        <f t="shared" si="183"/>
        <v>94943.3</v>
      </c>
      <c r="AA2350" s="2">
        <f t="shared" si="184"/>
        <v>94943.318838653329</v>
      </c>
      <c r="AB2350" s="1">
        <f t="shared" si="185"/>
        <v>9.507116896049092E-2</v>
      </c>
      <c r="AC2350" s="1" t="b">
        <f t="shared" si="186"/>
        <v>1</v>
      </c>
    </row>
    <row r="2351" spans="1:29" x14ac:dyDescent="0.25">
      <c r="A2351" s="1" t="s">
        <v>875</v>
      </c>
      <c r="B2351">
        <v>1</v>
      </c>
      <c r="D2351" s="2">
        <v>94950.8</v>
      </c>
      <c r="M2351">
        <v>24</v>
      </c>
      <c r="Y2351" s="1">
        <f t="shared" si="182"/>
        <v>1053.1769999999999</v>
      </c>
      <c r="Z2351" s="2">
        <f t="shared" si="183"/>
        <v>94950.8</v>
      </c>
      <c r="AA2351" s="2">
        <f t="shared" si="184"/>
        <v>94950.801242336296</v>
      </c>
      <c r="AB2351" s="1">
        <f t="shared" si="185"/>
        <v>9.5078273282808268E-2</v>
      </c>
      <c r="AC2351" s="1" t="b">
        <f t="shared" si="186"/>
        <v>1</v>
      </c>
    </row>
    <row r="2352" spans="1:29" x14ac:dyDescent="0.25">
      <c r="A2352" s="1" t="s">
        <v>876</v>
      </c>
      <c r="B2352">
        <v>1</v>
      </c>
      <c r="D2352" s="2">
        <v>94957.3</v>
      </c>
      <c r="M2352">
        <v>24</v>
      </c>
      <c r="Y2352" s="1">
        <f t="shared" si="182"/>
        <v>1053.105</v>
      </c>
      <c r="Z2352" s="2">
        <f t="shared" si="183"/>
        <v>94957.3</v>
      </c>
      <c r="AA2352" s="2">
        <f t="shared" si="184"/>
        <v>94957.292957492362</v>
      </c>
      <c r="AB2352" s="1">
        <f t="shared" si="185"/>
        <v>9.5084437429075144E-2</v>
      </c>
      <c r="AC2352" s="1" t="b">
        <f t="shared" si="186"/>
        <v>1</v>
      </c>
    </row>
    <row r="2353" spans="1:29" x14ac:dyDescent="0.25">
      <c r="A2353" s="1" t="s">
        <v>877</v>
      </c>
      <c r="B2353">
        <v>100</v>
      </c>
      <c r="D2353" s="2">
        <v>94964.9</v>
      </c>
      <c r="M2353">
        <v>24</v>
      </c>
      <c r="Y2353" s="1">
        <f t="shared" si="182"/>
        <v>1053.021</v>
      </c>
      <c r="Z2353" s="2">
        <f t="shared" si="183"/>
        <v>94964.9</v>
      </c>
      <c r="AA2353" s="2">
        <f t="shared" si="184"/>
        <v>94964.867747176933</v>
      </c>
      <c r="AB2353" s="1">
        <f t="shared" si="185"/>
        <v>9.509163053119403E-2</v>
      </c>
      <c r="AC2353" s="1" t="b">
        <f t="shared" si="186"/>
        <v>1</v>
      </c>
    </row>
    <row r="2354" spans="1:29" x14ac:dyDescent="0.25">
      <c r="A2354" s="1" t="s">
        <v>878</v>
      </c>
      <c r="B2354">
        <v>100</v>
      </c>
      <c r="C2354" t="s">
        <v>122</v>
      </c>
      <c r="D2354" s="2">
        <v>94979.4</v>
      </c>
      <c r="M2354">
        <v>24</v>
      </c>
      <c r="Y2354" s="1">
        <f t="shared" si="182"/>
        <v>1052.8599999999999</v>
      </c>
      <c r="Z2354" s="2">
        <f t="shared" si="183"/>
        <v>94979.4</v>
      </c>
      <c r="AA2354" s="2">
        <f t="shared" si="184"/>
        <v>94979.389472484487</v>
      </c>
      <c r="AB2354" s="1">
        <f t="shared" si="185"/>
        <v>9.5105422122829492E-2</v>
      </c>
      <c r="AC2354" s="1" t="b">
        <f t="shared" si="186"/>
        <v>1</v>
      </c>
    </row>
    <row r="2355" spans="1:29" x14ac:dyDescent="0.25">
      <c r="A2355" s="1" t="s">
        <v>879</v>
      </c>
      <c r="B2355">
        <v>40</v>
      </c>
      <c r="D2355" s="2">
        <v>94983.4</v>
      </c>
      <c r="M2355">
        <v>24</v>
      </c>
      <c r="Y2355" s="1">
        <f t="shared" si="182"/>
        <v>1052.8150000000001</v>
      </c>
      <c r="Z2355" s="2">
        <f t="shared" si="183"/>
        <v>94983.4</v>
      </c>
      <c r="AA2355" s="2">
        <f t="shared" si="184"/>
        <v>94983.449133988397</v>
      </c>
      <c r="AB2355" s="1">
        <f t="shared" si="185"/>
        <v>9.5109278046944801E-2</v>
      </c>
      <c r="AC2355" s="1" t="b">
        <f t="shared" si="186"/>
        <v>1</v>
      </c>
    </row>
    <row r="2356" spans="1:29" x14ac:dyDescent="0.25">
      <c r="A2356" s="1" t="s">
        <v>880</v>
      </c>
      <c r="B2356">
        <v>1000</v>
      </c>
      <c r="D2356" s="2">
        <v>94999.9</v>
      </c>
      <c r="E2356">
        <v>21238</v>
      </c>
      <c r="F2356" t="s">
        <v>15</v>
      </c>
      <c r="G2356" t="s">
        <v>50</v>
      </c>
      <c r="H2356">
        <v>116238</v>
      </c>
      <c r="I2356" t="s">
        <v>17</v>
      </c>
      <c r="J2356" t="s">
        <v>57</v>
      </c>
      <c r="K2356">
        <v>21238.78</v>
      </c>
      <c r="L2356">
        <v>116238.8</v>
      </c>
      <c r="M2356">
        <v>24</v>
      </c>
      <c r="Y2356" s="1">
        <f t="shared" si="182"/>
        <v>1052.633</v>
      </c>
      <c r="Z2356" s="2">
        <f t="shared" si="183"/>
        <v>94999.9</v>
      </c>
      <c r="AA2356" s="2">
        <f t="shared" si="184"/>
        <v>94999.87175017313</v>
      </c>
      <c r="AB2356" s="1">
        <f t="shared" si="185"/>
        <v>9.5124878162746729E-2</v>
      </c>
      <c r="AC2356" s="1" t="b">
        <f t="shared" si="186"/>
        <v>1</v>
      </c>
    </row>
    <row r="2357" spans="1:29" x14ac:dyDescent="0.25">
      <c r="A2357" s="1" t="s">
        <v>881</v>
      </c>
      <c r="B2357">
        <v>100</v>
      </c>
      <c r="D2357" s="2">
        <v>95005.5</v>
      </c>
      <c r="E2357">
        <v>15525</v>
      </c>
      <c r="F2357" t="s">
        <v>15</v>
      </c>
      <c r="G2357" t="s">
        <v>23</v>
      </c>
      <c r="H2357">
        <v>110530</v>
      </c>
      <c r="I2357" t="s">
        <v>17</v>
      </c>
      <c r="J2357" t="s">
        <v>50</v>
      </c>
      <c r="K2357">
        <v>15525.5</v>
      </c>
      <c r="L2357">
        <v>110530.9</v>
      </c>
      <c r="M2357">
        <v>24</v>
      </c>
      <c r="Y2357" s="1">
        <f t="shared" si="182"/>
        <v>1052.5709999999999</v>
      </c>
      <c r="Z2357" s="2">
        <f t="shared" si="183"/>
        <v>95005.5</v>
      </c>
      <c r="AA2357" s="2">
        <f t="shared" si="184"/>
        <v>95005.467564658349</v>
      </c>
      <c r="AB2357" s="1">
        <f t="shared" si="185"/>
        <v>9.5130194335896756E-2</v>
      </c>
      <c r="AC2357" s="1" t="b">
        <f t="shared" si="186"/>
        <v>1</v>
      </c>
    </row>
    <row r="2358" spans="1:29" x14ac:dyDescent="0.25">
      <c r="A2358" s="1" t="s">
        <v>882</v>
      </c>
      <c r="B2358">
        <v>3</v>
      </c>
      <c r="D2358" s="2">
        <v>95015.8</v>
      </c>
      <c r="E2358">
        <v>17627</v>
      </c>
      <c r="F2358" t="s">
        <v>15</v>
      </c>
      <c r="G2358" t="s">
        <v>16</v>
      </c>
      <c r="H2358">
        <v>112643</v>
      </c>
      <c r="I2358" t="s">
        <v>17</v>
      </c>
      <c r="J2358" t="s">
        <v>23</v>
      </c>
      <c r="K2358">
        <v>17627</v>
      </c>
      <c r="L2358">
        <v>112643.2</v>
      </c>
      <c r="M2358">
        <v>24</v>
      </c>
      <c r="Y2358" s="1">
        <f t="shared" si="182"/>
        <v>1052.4559999999999</v>
      </c>
      <c r="Z2358" s="2">
        <f t="shared" si="183"/>
        <v>95015.8</v>
      </c>
      <c r="AA2358" s="2">
        <f t="shared" si="184"/>
        <v>95015.848643553749</v>
      </c>
      <c r="AB2358" s="1">
        <f t="shared" si="185"/>
        <v>9.5140057467273581E-2</v>
      </c>
      <c r="AC2358" s="1" t="b">
        <f t="shared" si="186"/>
        <v>1</v>
      </c>
    </row>
    <row r="2359" spans="1:29" x14ac:dyDescent="0.25">
      <c r="A2359" s="1" t="s">
        <v>883</v>
      </c>
      <c r="B2359">
        <v>3</v>
      </c>
      <c r="D2359" s="2">
        <v>95033.4</v>
      </c>
      <c r="M2359">
        <v>24</v>
      </c>
      <c r="Y2359" s="1">
        <f t="shared" si="182"/>
        <v>1052.2619999999999</v>
      </c>
      <c r="Z2359" s="2">
        <f t="shared" si="183"/>
        <v>95033.4</v>
      </c>
      <c r="AA2359" s="2">
        <f t="shared" si="184"/>
        <v>95033.366214878042</v>
      </c>
      <c r="AB2359" s="1">
        <f t="shared" si="185"/>
        <v>9.5156703470655635E-2</v>
      </c>
      <c r="AC2359" s="1" t="b">
        <f t="shared" si="186"/>
        <v>1</v>
      </c>
    </row>
    <row r="2360" spans="1:29" x14ac:dyDescent="0.25">
      <c r="A2360" s="1" t="s">
        <v>884</v>
      </c>
      <c r="B2360">
        <v>5</v>
      </c>
      <c r="C2360" t="s">
        <v>122</v>
      </c>
      <c r="D2360" s="2">
        <v>95038.8</v>
      </c>
      <c r="M2360">
        <v>24</v>
      </c>
      <c r="Y2360" s="1">
        <f t="shared" si="182"/>
        <v>1052.202</v>
      </c>
      <c r="Z2360" s="2">
        <f t="shared" si="183"/>
        <v>95038.8</v>
      </c>
      <c r="AA2360" s="2">
        <f t="shared" si="184"/>
        <v>95038.785328292477</v>
      </c>
      <c r="AB2360" s="1">
        <f t="shared" si="185"/>
        <v>9.5161853583386302E-2</v>
      </c>
      <c r="AC2360" s="1" t="b">
        <f t="shared" si="186"/>
        <v>1</v>
      </c>
    </row>
    <row r="2361" spans="1:29" x14ac:dyDescent="0.25">
      <c r="A2361" s="1" t="s">
        <v>885</v>
      </c>
      <c r="B2361">
        <v>5</v>
      </c>
      <c r="C2361" t="s">
        <v>122</v>
      </c>
      <c r="D2361" s="2">
        <v>95045</v>
      </c>
      <c r="M2361">
        <v>24</v>
      </c>
      <c r="Y2361" s="1">
        <f t="shared" si="182"/>
        <v>1052.133</v>
      </c>
      <c r="Z2361" s="2">
        <f t="shared" si="183"/>
        <v>95045</v>
      </c>
      <c r="AA2361" s="2">
        <f t="shared" si="184"/>
        <v>95045.018072810184</v>
      </c>
      <c r="AB2361" s="1">
        <f t="shared" si="185"/>
        <v>9.516777730230408E-2</v>
      </c>
      <c r="AC2361" s="1" t="b">
        <f t="shared" si="186"/>
        <v>1</v>
      </c>
    </row>
    <row r="2362" spans="1:29" x14ac:dyDescent="0.25">
      <c r="A2362" s="1" t="s">
        <v>886</v>
      </c>
      <c r="B2362">
        <v>30</v>
      </c>
      <c r="D2362" s="2">
        <v>95063.4</v>
      </c>
      <c r="M2362">
        <v>24</v>
      </c>
      <c r="Y2362" s="1">
        <f t="shared" si="182"/>
        <v>1051.9290000000001</v>
      </c>
      <c r="Z2362" s="2">
        <f t="shared" si="183"/>
        <v>95063.4</v>
      </c>
      <c r="AA2362" s="2">
        <f t="shared" si="184"/>
        <v>95063.450099769077</v>
      </c>
      <c r="AB2362" s="1">
        <f t="shared" si="185"/>
        <v>9.5185297724356438E-2</v>
      </c>
      <c r="AC2362" s="1" t="b">
        <f t="shared" si="186"/>
        <v>1</v>
      </c>
    </row>
    <row r="2363" spans="1:29" x14ac:dyDescent="0.25">
      <c r="A2363" s="1" t="s">
        <v>887</v>
      </c>
      <c r="B2363">
        <v>5</v>
      </c>
      <c r="D2363" s="2">
        <v>95070.5</v>
      </c>
      <c r="E2363">
        <v>21238</v>
      </c>
      <c r="F2363" t="s">
        <v>15</v>
      </c>
      <c r="G2363" t="s">
        <v>50</v>
      </c>
      <c r="H2363">
        <v>116309</v>
      </c>
      <c r="I2363" t="s">
        <v>17</v>
      </c>
      <c r="J2363" t="s">
        <v>23</v>
      </c>
      <c r="K2363">
        <v>21238.78</v>
      </c>
      <c r="L2363">
        <v>116309.2</v>
      </c>
      <c r="M2363">
        <v>24</v>
      </c>
      <c r="Y2363" s="1">
        <f t="shared" si="182"/>
        <v>1051.8510000000001</v>
      </c>
      <c r="Z2363" s="2">
        <f t="shared" si="183"/>
        <v>95070.5</v>
      </c>
      <c r="AA2363" s="2">
        <f t="shared" si="184"/>
        <v>95070.499528925662</v>
      </c>
      <c r="AB2363" s="1">
        <f t="shared" si="185"/>
        <v>9.5191999403397273E-2</v>
      </c>
      <c r="AC2363" s="1" t="b">
        <f t="shared" si="186"/>
        <v>1</v>
      </c>
    </row>
    <row r="2364" spans="1:29" x14ac:dyDescent="0.25">
      <c r="A2364" s="1" t="s">
        <v>888</v>
      </c>
      <c r="B2364">
        <v>200</v>
      </c>
      <c r="D2364" s="2">
        <v>95075.8</v>
      </c>
      <c r="E2364">
        <v>19649</v>
      </c>
      <c r="F2364" t="s">
        <v>15</v>
      </c>
      <c r="G2364" t="s">
        <v>528</v>
      </c>
      <c r="H2364">
        <v>114725</v>
      </c>
      <c r="I2364" t="s">
        <v>17</v>
      </c>
      <c r="J2364" t="s">
        <v>528</v>
      </c>
      <c r="K2364">
        <v>19649.669999999998</v>
      </c>
      <c r="L2364">
        <v>114725.6</v>
      </c>
      <c r="M2364">
        <v>24</v>
      </c>
      <c r="Y2364" s="1">
        <f t="shared" si="182"/>
        <v>1051.7919999999999</v>
      </c>
      <c r="Z2364" s="2">
        <f t="shared" si="183"/>
        <v>95075.8</v>
      </c>
      <c r="AA2364" s="2">
        <f t="shared" si="184"/>
        <v>95075.83248398923</v>
      </c>
      <c r="AB2364" s="1">
        <f t="shared" si="185"/>
        <v>9.5197069612617924E-2</v>
      </c>
      <c r="AC2364" s="1" t="b">
        <f t="shared" si="186"/>
        <v>1</v>
      </c>
    </row>
    <row r="2365" spans="1:29" x14ac:dyDescent="0.25">
      <c r="A2365" s="1" t="s">
        <v>889</v>
      </c>
      <c r="B2365">
        <v>40</v>
      </c>
      <c r="D2365" s="2">
        <v>95081.2</v>
      </c>
      <c r="M2365">
        <v>24</v>
      </c>
      <c r="Y2365" s="1">
        <f t="shared" si="182"/>
        <v>1051.732</v>
      </c>
      <c r="Z2365" s="2">
        <f t="shared" si="183"/>
        <v>95081.2</v>
      </c>
      <c r="AA2365" s="2">
        <f t="shared" si="184"/>
        <v>95081.256441755133</v>
      </c>
      <c r="AB2365" s="1">
        <f t="shared" si="185"/>
        <v>9.5202226632714007E-2</v>
      </c>
      <c r="AC2365" s="1" t="b">
        <f t="shared" si="186"/>
        <v>1</v>
      </c>
    </row>
    <row r="2366" spans="1:29" x14ac:dyDescent="0.25">
      <c r="A2366" s="1" t="s">
        <v>890</v>
      </c>
      <c r="B2366">
        <v>200</v>
      </c>
      <c r="D2366" s="2">
        <v>95096.1</v>
      </c>
      <c r="E2366">
        <v>19700</v>
      </c>
      <c r="F2366" t="s">
        <v>15</v>
      </c>
      <c r="G2366" t="s">
        <v>23</v>
      </c>
      <c r="H2366">
        <v>114797</v>
      </c>
      <c r="I2366" t="s">
        <v>17</v>
      </c>
      <c r="J2366" t="s">
        <v>50</v>
      </c>
      <c r="K2366">
        <v>19700.900000000001</v>
      </c>
      <c r="L2366">
        <v>114797.2</v>
      </c>
      <c r="M2366">
        <v>24</v>
      </c>
      <c r="Y2366" s="1">
        <f t="shared" si="182"/>
        <v>1051.568</v>
      </c>
      <c r="Z2366" s="2">
        <f t="shared" si="183"/>
        <v>95096.1</v>
      </c>
      <c r="AA2366" s="2">
        <f t="shared" si="184"/>
        <v>95096.085084369246</v>
      </c>
      <c r="AB2366" s="1">
        <f t="shared" si="185"/>
        <v>9.5216326991867981E-2</v>
      </c>
      <c r="AC2366" s="1" t="b">
        <f t="shared" si="186"/>
        <v>1</v>
      </c>
    </row>
    <row r="2367" spans="1:29" x14ac:dyDescent="0.25">
      <c r="A2367" s="1" t="s">
        <v>891</v>
      </c>
      <c r="B2367">
        <v>30</v>
      </c>
      <c r="D2367" s="2">
        <v>95109.2</v>
      </c>
      <c r="M2367">
        <v>24</v>
      </c>
      <c r="Y2367" s="1">
        <f t="shared" si="182"/>
        <v>1051.423</v>
      </c>
      <c r="Z2367" s="2">
        <f t="shared" si="183"/>
        <v>95109.2</v>
      </c>
      <c r="AA2367" s="2">
        <f t="shared" si="184"/>
        <v>95109.199627552371</v>
      </c>
      <c r="AB2367" s="1">
        <f t="shared" si="185"/>
        <v>9.5228799268968045E-2</v>
      </c>
      <c r="AC2367" s="1" t="b">
        <f t="shared" si="186"/>
        <v>1</v>
      </c>
    </row>
    <row r="2368" spans="1:29" x14ac:dyDescent="0.25">
      <c r="A2368" s="1" t="s">
        <v>892</v>
      </c>
      <c r="B2368">
        <v>5</v>
      </c>
      <c r="D2368" s="2">
        <v>95116.1</v>
      </c>
      <c r="E2368">
        <v>21611</v>
      </c>
      <c r="F2368" t="s">
        <v>15</v>
      </c>
      <c r="G2368" t="s">
        <v>28</v>
      </c>
      <c r="H2368">
        <v>116727</v>
      </c>
      <c r="I2368" t="s">
        <v>17</v>
      </c>
      <c r="J2368" t="s">
        <v>28</v>
      </c>
      <c r="K2368">
        <v>21611.19</v>
      </c>
      <c r="L2368">
        <v>116727.1</v>
      </c>
      <c r="M2368">
        <v>24</v>
      </c>
      <c r="Y2368" s="1">
        <f t="shared" si="182"/>
        <v>1051.347</v>
      </c>
      <c r="Z2368" s="2">
        <f t="shared" si="183"/>
        <v>95116.1</v>
      </c>
      <c r="AA2368" s="2">
        <f t="shared" si="184"/>
        <v>95116.074902006672</v>
      </c>
      <c r="AB2368" s="1">
        <f t="shared" si="185"/>
        <v>9.5235338523820712E-2</v>
      </c>
      <c r="AC2368" s="1" t="b">
        <f t="shared" si="186"/>
        <v>1</v>
      </c>
    </row>
    <row r="2369" spans="1:29" x14ac:dyDescent="0.25">
      <c r="A2369" s="1" t="s">
        <v>893</v>
      </c>
      <c r="B2369">
        <v>20</v>
      </c>
      <c r="D2369" s="2">
        <v>95119.2</v>
      </c>
      <c r="E2369">
        <v>22527</v>
      </c>
      <c r="F2369" t="s">
        <v>15</v>
      </c>
      <c r="G2369" t="s">
        <v>18</v>
      </c>
      <c r="H2369">
        <v>117647</v>
      </c>
      <c r="I2369" t="s">
        <v>17</v>
      </c>
      <c r="J2369" t="s">
        <v>18</v>
      </c>
      <c r="K2369">
        <v>22527.7</v>
      </c>
      <c r="L2369">
        <v>117647.2</v>
      </c>
      <c r="M2369">
        <v>24</v>
      </c>
      <c r="Y2369" s="1">
        <f t="shared" si="182"/>
        <v>1051.3130000000001</v>
      </c>
      <c r="Z2369" s="2">
        <f t="shared" si="183"/>
        <v>95119.2</v>
      </c>
      <c r="AA2369" s="2">
        <f t="shared" si="184"/>
        <v>95119.15100450578</v>
      </c>
      <c r="AB2369" s="1">
        <f t="shared" si="185"/>
        <v>9.5238264439089865E-2</v>
      </c>
      <c r="AC2369" s="1" t="b">
        <f t="shared" si="186"/>
        <v>1</v>
      </c>
    </row>
    <row r="2370" spans="1:29" x14ac:dyDescent="0.25">
      <c r="A2370" s="1" t="s">
        <v>894</v>
      </c>
      <c r="B2370">
        <v>10</v>
      </c>
      <c r="D2370" s="2">
        <v>95139.1</v>
      </c>
      <c r="M2370">
        <v>24</v>
      </c>
      <c r="Y2370" s="1">
        <f t="shared" si="182"/>
        <v>1051.0930000000001</v>
      </c>
      <c r="Z2370" s="2">
        <f t="shared" si="183"/>
        <v>95139.1</v>
      </c>
      <c r="AA2370" s="2">
        <f t="shared" si="184"/>
        <v>95139.060007059306</v>
      </c>
      <c r="AB2370" s="1">
        <f t="shared" si="185"/>
        <v>9.5257203695134157E-2</v>
      </c>
      <c r="AC2370" s="1" t="b">
        <f t="shared" si="186"/>
        <v>1</v>
      </c>
    </row>
    <row r="2371" spans="1:29" x14ac:dyDescent="0.25">
      <c r="A2371" s="1" t="s">
        <v>895</v>
      </c>
      <c r="B2371">
        <v>5</v>
      </c>
      <c r="D2371" s="2">
        <v>95151</v>
      </c>
      <c r="E2371">
        <v>23050</v>
      </c>
      <c r="F2371" t="s">
        <v>15</v>
      </c>
      <c r="G2371" t="s">
        <v>29</v>
      </c>
      <c r="H2371">
        <v>118201</v>
      </c>
      <c r="I2371" t="s">
        <v>17</v>
      </c>
      <c r="J2371" t="s">
        <v>29</v>
      </c>
      <c r="K2371">
        <v>23050.61</v>
      </c>
      <c r="L2371">
        <v>118201.4</v>
      </c>
      <c r="M2371">
        <v>24</v>
      </c>
      <c r="Y2371" s="1">
        <f t="shared" ref="Y2371:Y2434" si="187">ROUND($A2371,3)+0</f>
        <v>1050.961</v>
      </c>
      <c r="Z2371" s="2">
        <f t="shared" ref="Z2371:Z2434" si="188">ROUND($D2371,1)+0</f>
        <v>95151</v>
      </c>
      <c r="AA2371" s="2">
        <f t="shared" ref="AA2371:AA2434" si="189">100000000/Y2371</f>
        <v>95151.009409483318</v>
      </c>
      <c r="AB2371" s="1">
        <f t="shared" ref="AB2371:AB2434" si="190">0.0005/$Y2371*AA2371+0.05</f>
        <v>9.5268572958217917E-2</v>
      </c>
      <c r="AC2371" s="1" t="b">
        <f t="shared" ref="AC2371:AC2434" si="191">ABS(Z2371-AA2371)&lt;AB2371</f>
        <v>1</v>
      </c>
    </row>
    <row r="2372" spans="1:29" x14ac:dyDescent="0.25">
      <c r="A2372" s="1" t="s">
        <v>896</v>
      </c>
      <c r="B2372">
        <v>10</v>
      </c>
      <c r="C2372" t="s">
        <v>27</v>
      </c>
      <c r="D2372" s="2">
        <v>95158.2</v>
      </c>
      <c r="E2372">
        <v>21294</v>
      </c>
      <c r="F2372" t="s">
        <v>15</v>
      </c>
      <c r="G2372" t="s">
        <v>18</v>
      </c>
      <c r="H2372">
        <v>116453</v>
      </c>
      <c r="I2372" t="s">
        <v>17</v>
      </c>
      <c r="J2372" t="s">
        <v>16</v>
      </c>
      <c r="K2372">
        <v>21294.89</v>
      </c>
      <c r="L2372">
        <v>116453.2</v>
      </c>
      <c r="M2372">
        <v>24</v>
      </c>
      <c r="Y2372" s="1">
        <f t="shared" si="187"/>
        <v>1050.8810000000001</v>
      </c>
      <c r="Z2372" s="2">
        <f t="shared" si="188"/>
        <v>95158.2</v>
      </c>
      <c r="AA2372" s="2">
        <f t="shared" si="189"/>
        <v>95158.252932539457</v>
      </c>
      <c r="AB2372" s="1">
        <f t="shared" si="190"/>
        <v>9.527546550586577E-2</v>
      </c>
      <c r="AC2372" s="1" t="b">
        <f t="shared" si="191"/>
        <v>1</v>
      </c>
    </row>
    <row r="2373" spans="1:29" x14ac:dyDescent="0.25">
      <c r="A2373" s="1" t="s">
        <v>896</v>
      </c>
      <c r="B2373">
        <v>10</v>
      </c>
      <c r="C2373" t="s">
        <v>27</v>
      </c>
      <c r="D2373" s="2">
        <v>95158.2</v>
      </c>
      <c r="E2373">
        <v>22527</v>
      </c>
      <c r="F2373" t="s">
        <v>15</v>
      </c>
      <c r="G2373" t="s">
        <v>18</v>
      </c>
      <c r="H2373">
        <v>117686</v>
      </c>
      <c r="I2373" t="s">
        <v>17</v>
      </c>
      <c r="J2373" t="s">
        <v>28</v>
      </c>
      <c r="K2373">
        <v>22527.7</v>
      </c>
      <c r="L2373">
        <v>117686.39999999999</v>
      </c>
      <c r="M2373">
        <v>24</v>
      </c>
      <c r="Y2373" s="1">
        <f t="shared" si="187"/>
        <v>1050.8810000000001</v>
      </c>
      <c r="Z2373" s="2">
        <f t="shared" si="188"/>
        <v>95158.2</v>
      </c>
      <c r="AA2373" s="2">
        <f t="shared" si="189"/>
        <v>95158.252932539457</v>
      </c>
      <c r="AB2373" s="1">
        <f t="shared" si="190"/>
        <v>9.527546550586577E-2</v>
      </c>
      <c r="AC2373" s="1" t="b">
        <f t="shared" si="191"/>
        <v>1</v>
      </c>
    </row>
    <row r="2374" spans="1:29" x14ac:dyDescent="0.25">
      <c r="A2374" s="1" t="s">
        <v>897</v>
      </c>
      <c r="B2374">
        <v>1</v>
      </c>
      <c r="D2374" s="2">
        <v>95168.3</v>
      </c>
      <c r="E2374">
        <v>23442</v>
      </c>
      <c r="F2374" t="s">
        <v>15</v>
      </c>
      <c r="G2374" t="s">
        <v>23</v>
      </c>
      <c r="H2374">
        <v>118610</v>
      </c>
      <c r="I2374" t="s">
        <v>17</v>
      </c>
      <c r="J2374" t="s">
        <v>50</v>
      </c>
      <c r="K2374">
        <v>23442.25</v>
      </c>
      <c r="L2374">
        <v>118610.9</v>
      </c>
      <c r="M2374">
        <v>24</v>
      </c>
      <c r="Y2374" s="1">
        <f t="shared" si="187"/>
        <v>1050.77</v>
      </c>
      <c r="Z2374" s="2">
        <f t="shared" si="188"/>
        <v>95168.3</v>
      </c>
      <c r="AA2374" s="2">
        <f t="shared" si="189"/>
        <v>95168.30514765362</v>
      </c>
      <c r="AB2374" s="1">
        <f t="shared" si="190"/>
        <v>9.5285031523384578E-2</v>
      </c>
      <c r="AC2374" s="1" t="b">
        <f t="shared" si="191"/>
        <v>1</v>
      </c>
    </row>
    <row r="2375" spans="1:29" x14ac:dyDescent="0.25">
      <c r="A2375" s="1" t="s">
        <v>898</v>
      </c>
      <c r="B2375">
        <v>7</v>
      </c>
      <c r="D2375" s="2">
        <v>95179</v>
      </c>
      <c r="M2375">
        <v>24</v>
      </c>
      <c r="Y2375" s="1">
        <f t="shared" si="187"/>
        <v>1050.652</v>
      </c>
      <c r="Z2375" s="2">
        <f t="shared" si="188"/>
        <v>95179</v>
      </c>
      <c r="AA2375" s="2">
        <f t="shared" si="189"/>
        <v>95178.993615393105</v>
      </c>
      <c r="AB2375" s="1">
        <f t="shared" si="190"/>
        <v>9.5295204128195213E-2</v>
      </c>
      <c r="AC2375" s="1" t="b">
        <f t="shared" si="191"/>
        <v>1</v>
      </c>
    </row>
    <row r="2376" spans="1:29" x14ac:dyDescent="0.25">
      <c r="A2376" s="1" t="s">
        <v>899</v>
      </c>
      <c r="B2376">
        <v>3</v>
      </c>
      <c r="D2376" s="2">
        <v>95184.2</v>
      </c>
      <c r="E2376">
        <v>20315</v>
      </c>
      <c r="F2376" t="s">
        <v>15</v>
      </c>
      <c r="G2376" t="s">
        <v>16</v>
      </c>
      <c r="H2376">
        <v>115499</v>
      </c>
      <c r="I2376" t="s">
        <v>17</v>
      </c>
      <c r="J2376" t="s">
        <v>16</v>
      </c>
      <c r="K2376">
        <v>20315.650000000001</v>
      </c>
      <c r="L2376">
        <v>115499.8</v>
      </c>
      <c r="M2376">
        <v>24</v>
      </c>
      <c r="Y2376" s="1">
        <f t="shared" si="187"/>
        <v>1050.595</v>
      </c>
      <c r="Z2376" s="2">
        <f t="shared" si="188"/>
        <v>95184.2</v>
      </c>
      <c r="AA2376" s="2">
        <f t="shared" si="189"/>
        <v>95184.157548817573</v>
      </c>
      <c r="AB2376" s="1">
        <f t="shared" si="190"/>
        <v>9.5300119241390632E-2</v>
      </c>
      <c r="AC2376" s="1" t="b">
        <f t="shared" si="191"/>
        <v>1</v>
      </c>
    </row>
    <row r="2377" spans="1:29" x14ac:dyDescent="0.25">
      <c r="A2377" s="1" t="s">
        <v>900</v>
      </c>
      <c r="B2377">
        <v>20</v>
      </c>
      <c r="D2377" s="2">
        <v>95198.8</v>
      </c>
      <c r="M2377">
        <v>24</v>
      </c>
      <c r="Y2377" s="1">
        <f t="shared" si="187"/>
        <v>1050.433</v>
      </c>
      <c r="Z2377" s="2">
        <f t="shared" si="188"/>
        <v>95198.8</v>
      </c>
      <c r="AA2377" s="2">
        <f t="shared" si="189"/>
        <v>95198.837051006587</v>
      </c>
      <c r="AB2377" s="1">
        <f t="shared" si="190"/>
        <v>9.5314092879320522E-2</v>
      </c>
      <c r="AC2377" s="1" t="b">
        <f t="shared" si="191"/>
        <v>1</v>
      </c>
    </row>
    <row r="2378" spans="1:29" x14ac:dyDescent="0.25">
      <c r="A2378" s="1" t="s">
        <v>901</v>
      </c>
      <c r="B2378">
        <v>100</v>
      </c>
      <c r="D2378" s="2">
        <v>95208.8</v>
      </c>
      <c r="M2378">
        <v>24</v>
      </c>
      <c r="Y2378" s="1">
        <f t="shared" si="187"/>
        <v>1050.3230000000001</v>
      </c>
      <c r="Z2378" s="2">
        <f t="shared" si="188"/>
        <v>95208.8</v>
      </c>
      <c r="AA2378" s="2">
        <f t="shared" si="189"/>
        <v>95208.807195500805</v>
      </c>
      <c r="AB2378" s="1">
        <f t="shared" si="190"/>
        <v>9.5323584837950226E-2</v>
      </c>
      <c r="AC2378" s="1" t="b">
        <f t="shared" si="191"/>
        <v>1</v>
      </c>
    </row>
    <row r="2379" spans="1:29" x14ac:dyDescent="0.25">
      <c r="A2379" s="1" t="s">
        <v>902</v>
      </c>
      <c r="B2379">
        <v>70</v>
      </c>
      <c r="D2379" s="2">
        <v>95228.4</v>
      </c>
      <c r="E2379">
        <v>18063</v>
      </c>
      <c r="F2379" t="s">
        <v>15</v>
      </c>
      <c r="G2379" t="s">
        <v>16</v>
      </c>
      <c r="H2379">
        <v>113291</v>
      </c>
      <c r="I2379" t="s">
        <v>17</v>
      </c>
      <c r="J2379" t="s">
        <v>18</v>
      </c>
      <c r="K2379">
        <v>18063.36</v>
      </c>
      <c r="L2379">
        <v>113291.8</v>
      </c>
      <c r="M2379">
        <v>24</v>
      </c>
      <c r="Y2379" s="1">
        <f t="shared" si="187"/>
        <v>1050.107</v>
      </c>
      <c r="Z2379" s="2">
        <f t="shared" si="188"/>
        <v>95228.4</v>
      </c>
      <c r="AA2379" s="2">
        <f t="shared" si="189"/>
        <v>95228.391011582629</v>
      </c>
      <c r="AB2379" s="1">
        <f t="shared" si="190"/>
        <v>9.534223227327436E-2</v>
      </c>
      <c r="AC2379" s="1" t="b">
        <f t="shared" si="191"/>
        <v>1</v>
      </c>
    </row>
    <row r="2380" spans="1:29" x14ac:dyDescent="0.25">
      <c r="A2380" s="1" t="s">
        <v>903</v>
      </c>
      <c r="B2380">
        <v>20</v>
      </c>
      <c r="D2380" s="2">
        <v>95233</v>
      </c>
      <c r="M2380">
        <v>24</v>
      </c>
      <c r="Y2380" s="1">
        <f t="shared" si="187"/>
        <v>1050.056</v>
      </c>
      <c r="Z2380" s="2">
        <f t="shared" si="188"/>
        <v>95233</v>
      </c>
      <c r="AA2380" s="2">
        <f t="shared" si="189"/>
        <v>95233.016143900895</v>
      </c>
      <c r="AB2380" s="1">
        <f t="shared" si="190"/>
        <v>9.5346636819322442E-2</v>
      </c>
      <c r="AC2380" s="1" t="b">
        <f t="shared" si="191"/>
        <v>1</v>
      </c>
    </row>
    <row r="2381" spans="1:29" x14ac:dyDescent="0.25">
      <c r="A2381" s="1" t="s">
        <v>904</v>
      </c>
      <c r="B2381">
        <v>1</v>
      </c>
      <c r="D2381" s="2">
        <v>95245.9</v>
      </c>
      <c r="M2381">
        <v>24</v>
      </c>
      <c r="Y2381" s="1">
        <f t="shared" si="187"/>
        <v>1049.914</v>
      </c>
      <c r="Z2381" s="2">
        <f t="shared" si="188"/>
        <v>95245.9</v>
      </c>
      <c r="AA2381" s="2">
        <f t="shared" si="189"/>
        <v>95245.896330556599</v>
      </c>
      <c r="AB2381" s="1">
        <f t="shared" si="190"/>
        <v>9.5358903839055681E-2</v>
      </c>
      <c r="AC2381" s="1" t="b">
        <f t="shared" si="191"/>
        <v>1</v>
      </c>
    </row>
    <row r="2382" spans="1:29" x14ac:dyDescent="0.25">
      <c r="A2382" s="1" t="s">
        <v>905</v>
      </c>
      <c r="B2382">
        <v>20</v>
      </c>
      <c r="D2382" s="2">
        <v>95279.3</v>
      </c>
      <c r="M2382">
        <v>24</v>
      </c>
      <c r="Y2382" s="1">
        <f t="shared" si="187"/>
        <v>1049.546</v>
      </c>
      <c r="Z2382" s="2">
        <f t="shared" si="188"/>
        <v>95279.3</v>
      </c>
      <c r="AA2382" s="2">
        <f t="shared" si="189"/>
        <v>95279.292189194181</v>
      </c>
      <c r="AB2382" s="1">
        <f t="shared" si="190"/>
        <v>9.5390717600369199E-2</v>
      </c>
      <c r="AC2382" s="1" t="b">
        <f t="shared" si="191"/>
        <v>1</v>
      </c>
    </row>
    <row r="2383" spans="1:29" x14ac:dyDescent="0.25">
      <c r="A2383" s="1" t="s">
        <v>906</v>
      </c>
      <c r="B2383">
        <v>100</v>
      </c>
      <c r="C2383" t="s">
        <v>27</v>
      </c>
      <c r="D2383" s="2">
        <v>95287.5</v>
      </c>
      <c r="E2383">
        <v>15045</v>
      </c>
      <c r="F2383" t="s">
        <v>15</v>
      </c>
      <c r="G2383" t="s">
        <v>28</v>
      </c>
      <c r="H2383">
        <v>110333</v>
      </c>
      <c r="I2383" t="s">
        <v>17</v>
      </c>
      <c r="J2383" t="s">
        <v>18</v>
      </c>
      <c r="K2383">
        <v>15045.8</v>
      </c>
      <c r="L2383">
        <v>110333.5</v>
      </c>
      <c r="M2383">
        <v>24</v>
      </c>
      <c r="Y2383" s="1">
        <f t="shared" si="187"/>
        <v>1049.4559999999999</v>
      </c>
      <c r="Z2383" s="2">
        <f t="shared" si="188"/>
        <v>95287.5</v>
      </c>
      <c r="AA2383" s="2">
        <f t="shared" si="189"/>
        <v>95287.4632190392</v>
      </c>
      <c r="AB2383" s="1">
        <f t="shared" si="190"/>
        <v>9.5398503233598747E-2</v>
      </c>
      <c r="AC2383" s="1" t="b">
        <f t="shared" si="191"/>
        <v>1</v>
      </c>
    </row>
    <row r="2384" spans="1:29" x14ac:dyDescent="0.25">
      <c r="A2384" s="1" t="s">
        <v>906</v>
      </c>
      <c r="B2384">
        <v>100</v>
      </c>
      <c r="C2384" t="s">
        <v>27</v>
      </c>
      <c r="D2384" s="2">
        <v>95287.5</v>
      </c>
      <c r="E2384">
        <v>26095</v>
      </c>
      <c r="F2384" t="s">
        <v>15</v>
      </c>
      <c r="G2384" t="s">
        <v>23</v>
      </c>
      <c r="H2384">
        <v>121382</v>
      </c>
      <c r="I2384" t="s">
        <v>17</v>
      </c>
      <c r="J2384" t="s">
        <v>16</v>
      </c>
      <c r="K2384">
        <v>26095.23</v>
      </c>
      <c r="L2384">
        <v>121382.6</v>
      </c>
      <c r="M2384">
        <v>24</v>
      </c>
      <c r="Y2384" s="1">
        <f t="shared" si="187"/>
        <v>1049.4559999999999</v>
      </c>
      <c r="Z2384" s="2">
        <f t="shared" si="188"/>
        <v>95287.5</v>
      </c>
      <c r="AA2384" s="2">
        <f t="shared" si="189"/>
        <v>95287.4632190392</v>
      </c>
      <c r="AB2384" s="1">
        <f t="shared" si="190"/>
        <v>9.5398503233598747E-2</v>
      </c>
      <c r="AC2384" s="1" t="b">
        <f t="shared" si="191"/>
        <v>1</v>
      </c>
    </row>
    <row r="2385" spans="1:29" x14ac:dyDescent="0.25">
      <c r="A2385" s="1" t="s">
        <v>907</v>
      </c>
      <c r="B2385">
        <v>20</v>
      </c>
      <c r="D2385" s="2">
        <v>95308.2</v>
      </c>
      <c r="E2385">
        <v>21418</v>
      </c>
      <c r="F2385" t="s">
        <v>15</v>
      </c>
      <c r="G2385" t="s">
        <v>28</v>
      </c>
      <c r="H2385">
        <v>116727</v>
      </c>
      <c r="I2385" t="s">
        <v>17</v>
      </c>
      <c r="J2385" t="s">
        <v>28</v>
      </c>
      <c r="K2385">
        <v>21418.84</v>
      </c>
      <c r="L2385">
        <v>116727.1</v>
      </c>
      <c r="M2385">
        <v>24</v>
      </c>
      <c r="Y2385" s="1">
        <f t="shared" si="187"/>
        <v>1049.2280000000001</v>
      </c>
      <c r="Z2385" s="2">
        <f t="shared" si="188"/>
        <v>95308.2</v>
      </c>
      <c r="AA2385" s="2">
        <f t="shared" si="189"/>
        <v>95308.169435051284</v>
      </c>
      <c r="AB2385" s="1">
        <f t="shared" si="190"/>
        <v>9.5418235805302232E-2</v>
      </c>
      <c r="AC2385" s="1" t="b">
        <f t="shared" si="191"/>
        <v>1</v>
      </c>
    </row>
    <row r="2386" spans="1:29" x14ac:dyDescent="0.25">
      <c r="A2386" s="1" t="s">
        <v>908</v>
      </c>
      <c r="B2386">
        <v>2000</v>
      </c>
      <c r="D2386" s="2">
        <v>95321.1</v>
      </c>
      <c r="E2386">
        <v>19649</v>
      </c>
      <c r="F2386" t="s">
        <v>15</v>
      </c>
      <c r="G2386" t="s">
        <v>528</v>
      </c>
      <c r="H2386">
        <v>114970</v>
      </c>
      <c r="I2386" t="s">
        <v>17</v>
      </c>
      <c r="J2386" t="s">
        <v>634</v>
      </c>
      <c r="K2386">
        <v>19649.669999999998</v>
      </c>
      <c r="L2386">
        <v>114970.7</v>
      </c>
      <c r="M2386">
        <v>24</v>
      </c>
      <c r="Y2386" s="1">
        <f t="shared" si="187"/>
        <v>1049.086</v>
      </c>
      <c r="Z2386" s="2">
        <f t="shared" si="188"/>
        <v>95321.1</v>
      </c>
      <c r="AA2386" s="2">
        <f t="shared" si="189"/>
        <v>95321.069959946079</v>
      </c>
      <c r="AB2386" s="1">
        <f t="shared" si="190"/>
        <v>9.5430531891544684E-2</v>
      </c>
      <c r="AC2386" s="1" t="b">
        <f t="shared" si="191"/>
        <v>1</v>
      </c>
    </row>
    <row r="2387" spans="1:29" x14ac:dyDescent="0.25">
      <c r="A2387" s="1" t="s">
        <v>909</v>
      </c>
      <c r="B2387">
        <v>5</v>
      </c>
      <c r="D2387" s="2">
        <v>95333.3</v>
      </c>
      <c r="E2387">
        <v>22747</v>
      </c>
      <c r="F2387" t="s">
        <v>15</v>
      </c>
      <c r="G2387" t="s">
        <v>16</v>
      </c>
      <c r="H2387">
        <v>118081</v>
      </c>
      <c r="I2387" t="s">
        <v>17</v>
      </c>
      <c r="J2387" t="s">
        <v>16</v>
      </c>
      <c r="K2387">
        <v>22747.69</v>
      </c>
      <c r="L2387">
        <v>118081.1</v>
      </c>
      <c r="M2387">
        <v>24</v>
      </c>
      <c r="Y2387" s="1">
        <f t="shared" si="187"/>
        <v>1048.951</v>
      </c>
      <c r="Z2387" s="2">
        <f t="shared" si="188"/>
        <v>95333.3</v>
      </c>
      <c r="AA2387" s="2">
        <f t="shared" si="189"/>
        <v>95333.337782222428</v>
      </c>
      <c r="AB2387" s="1">
        <f t="shared" si="190"/>
        <v>9.5442226463496593E-2</v>
      </c>
      <c r="AC2387" s="1" t="b">
        <f t="shared" si="191"/>
        <v>1</v>
      </c>
    </row>
    <row r="2388" spans="1:29" x14ac:dyDescent="0.25">
      <c r="A2388" s="1" t="s">
        <v>910</v>
      </c>
      <c r="B2388">
        <v>15</v>
      </c>
      <c r="D2388" s="2">
        <v>95335.9</v>
      </c>
      <c r="E2388">
        <v>26095</v>
      </c>
      <c r="F2388" t="s">
        <v>15</v>
      </c>
      <c r="G2388" t="s">
        <v>23</v>
      </c>
      <c r="H2388">
        <v>121431</v>
      </c>
      <c r="I2388" t="s">
        <v>17</v>
      </c>
      <c r="J2388" t="s">
        <v>50</v>
      </c>
      <c r="K2388">
        <v>26095.23</v>
      </c>
      <c r="L2388">
        <v>121431.2</v>
      </c>
      <c r="M2388">
        <v>24</v>
      </c>
      <c r="Y2388" s="1">
        <f t="shared" si="187"/>
        <v>1048.923</v>
      </c>
      <c r="Z2388" s="2">
        <f t="shared" si="188"/>
        <v>95335.9</v>
      </c>
      <c r="AA2388" s="2">
        <f t="shared" si="189"/>
        <v>95335.882614834452</v>
      </c>
      <c r="AB2388" s="1">
        <f t="shared" si="190"/>
        <v>9.5444652569747476E-2</v>
      </c>
      <c r="AC2388" s="1" t="b">
        <f t="shared" si="191"/>
        <v>1</v>
      </c>
    </row>
    <row r="2389" spans="1:29" x14ac:dyDescent="0.25">
      <c r="A2389" s="1" t="s">
        <v>911</v>
      </c>
      <c r="B2389">
        <v>100</v>
      </c>
      <c r="C2389" t="s">
        <v>122</v>
      </c>
      <c r="D2389" s="2">
        <v>95355.9</v>
      </c>
      <c r="E2389">
        <v>15525</v>
      </c>
      <c r="F2389" t="s">
        <v>15</v>
      </c>
      <c r="G2389" t="s">
        <v>23</v>
      </c>
      <c r="H2389">
        <v>110881</v>
      </c>
      <c r="I2389" t="s">
        <v>17</v>
      </c>
      <c r="J2389" t="s">
        <v>23</v>
      </c>
      <c r="K2389">
        <v>15525.5</v>
      </c>
      <c r="L2389">
        <v>110881.1</v>
      </c>
      <c r="M2389">
        <v>24</v>
      </c>
      <c r="Y2389" s="1">
        <f t="shared" si="187"/>
        <v>1048.703</v>
      </c>
      <c r="Z2389" s="2">
        <f t="shared" si="188"/>
        <v>95355.9</v>
      </c>
      <c r="AA2389" s="2">
        <f t="shared" si="189"/>
        <v>95355.882456710809</v>
      </c>
      <c r="AB2389" s="1">
        <f t="shared" si="190"/>
        <v>9.5463721595490242E-2</v>
      </c>
      <c r="AC2389" s="1" t="b">
        <f t="shared" si="191"/>
        <v>1</v>
      </c>
    </row>
    <row r="2390" spans="1:29" x14ac:dyDescent="0.25">
      <c r="A2390" s="1" t="s">
        <v>912</v>
      </c>
      <c r="B2390">
        <v>20</v>
      </c>
      <c r="C2390" t="s">
        <v>628</v>
      </c>
      <c r="D2390" s="2">
        <v>95358.7</v>
      </c>
      <c r="E2390">
        <v>16135</v>
      </c>
      <c r="F2390" t="s">
        <v>15</v>
      </c>
      <c r="G2390" t="s">
        <v>18</v>
      </c>
      <c r="H2390">
        <v>111494</v>
      </c>
      <c r="I2390" t="s">
        <v>17</v>
      </c>
      <c r="J2390" t="s">
        <v>28</v>
      </c>
      <c r="K2390">
        <v>16135.97</v>
      </c>
      <c r="L2390">
        <v>111494.8</v>
      </c>
      <c r="M2390">
        <v>24</v>
      </c>
      <c r="Y2390" s="1">
        <f t="shared" si="187"/>
        <v>1048.672</v>
      </c>
      <c r="Z2390" s="2">
        <f t="shared" si="188"/>
        <v>95358.7</v>
      </c>
      <c r="AA2390" s="2">
        <f t="shared" si="189"/>
        <v>95358.701290775381</v>
      </c>
      <c r="AB2390" s="1">
        <f t="shared" si="190"/>
        <v>9.5466409559316637E-2</v>
      </c>
      <c r="AC2390" s="1" t="b">
        <f t="shared" si="191"/>
        <v>1</v>
      </c>
    </row>
    <row r="2391" spans="1:29" x14ac:dyDescent="0.25">
      <c r="A2391" s="1" t="s">
        <v>912</v>
      </c>
      <c r="B2391">
        <v>20</v>
      </c>
      <c r="C2391" t="s">
        <v>628</v>
      </c>
      <c r="D2391" s="2">
        <v>95358.7</v>
      </c>
      <c r="E2391">
        <v>18241</v>
      </c>
      <c r="F2391" t="s">
        <v>15</v>
      </c>
      <c r="G2391" t="s">
        <v>23</v>
      </c>
      <c r="H2391">
        <v>113600</v>
      </c>
      <c r="I2391" t="s">
        <v>17</v>
      </c>
      <c r="J2391" t="s">
        <v>50</v>
      </c>
      <c r="K2391">
        <v>18241.54</v>
      </c>
      <c r="L2391">
        <v>113600.3</v>
      </c>
      <c r="M2391">
        <v>24</v>
      </c>
      <c r="Y2391" s="1">
        <f t="shared" si="187"/>
        <v>1048.672</v>
      </c>
      <c r="Z2391" s="2">
        <f t="shared" si="188"/>
        <v>95358.7</v>
      </c>
      <c r="AA2391" s="2">
        <f t="shared" si="189"/>
        <v>95358.701290775381</v>
      </c>
      <c r="AB2391" s="1">
        <f t="shared" si="190"/>
        <v>9.5466409559316637E-2</v>
      </c>
      <c r="AC2391" s="1" t="b">
        <f t="shared" si="191"/>
        <v>1</v>
      </c>
    </row>
    <row r="2392" spans="1:29" x14ac:dyDescent="0.25">
      <c r="A2392" s="1" t="s">
        <v>913</v>
      </c>
      <c r="B2392">
        <v>200</v>
      </c>
      <c r="C2392" t="s">
        <v>122</v>
      </c>
      <c r="D2392" s="2">
        <v>95361.3</v>
      </c>
      <c r="E2392">
        <v>17534</v>
      </c>
      <c r="F2392" t="s">
        <v>15</v>
      </c>
      <c r="G2392" t="s">
        <v>57</v>
      </c>
      <c r="H2392">
        <v>112896</v>
      </c>
      <c r="I2392" t="s">
        <v>17</v>
      </c>
      <c r="J2392" t="s">
        <v>57</v>
      </c>
      <c r="K2392">
        <v>17534.759999999998</v>
      </c>
      <c r="L2392">
        <v>112896.3</v>
      </c>
      <c r="M2392">
        <v>24</v>
      </c>
      <c r="Y2392" s="1">
        <f t="shared" si="187"/>
        <v>1048.643</v>
      </c>
      <c r="Z2392" s="2">
        <f t="shared" si="188"/>
        <v>95361.3</v>
      </c>
      <c r="AA2392" s="2">
        <f t="shared" si="189"/>
        <v>95361.338415456921</v>
      </c>
      <c r="AB2392" s="1">
        <f t="shared" si="190"/>
        <v>9.5468924321936502E-2</v>
      </c>
      <c r="AC2392" s="1" t="b">
        <f t="shared" si="191"/>
        <v>1</v>
      </c>
    </row>
    <row r="2393" spans="1:29" x14ac:dyDescent="0.25">
      <c r="A2393" s="1" t="s">
        <v>914</v>
      </c>
      <c r="B2393">
        <v>3</v>
      </c>
      <c r="D2393" s="2">
        <v>95382.2</v>
      </c>
      <c r="M2393">
        <v>24</v>
      </c>
      <c r="Y2393" s="1">
        <f t="shared" si="187"/>
        <v>1048.413</v>
      </c>
      <c r="Z2393" s="2">
        <f t="shared" si="188"/>
        <v>95382.2</v>
      </c>
      <c r="AA2393" s="2">
        <f t="shared" si="189"/>
        <v>95382.258709115587</v>
      </c>
      <c r="AB2393" s="1">
        <f t="shared" si="190"/>
        <v>9.5488876382263291E-2</v>
      </c>
      <c r="AC2393" s="1" t="b">
        <f t="shared" si="191"/>
        <v>1</v>
      </c>
    </row>
    <row r="2394" spans="1:29" x14ac:dyDescent="0.25">
      <c r="A2394" s="1" t="s">
        <v>915</v>
      </c>
      <c r="B2394">
        <v>4</v>
      </c>
      <c r="D2394" s="2">
        <v>95390.9</v>
      </c>
      <c r="M2394">
        <v>24</v>
      </c>
      <c r="Y2394" s="1">
        <f t="shared" si="187"/>
        <v>1048.318</v>
      </c>
      <c r="Z2394" s="2">
        <f t="shared" si="188"/>
        <v>95390.9</v>
      </c>
      <c r="AA2394" s="2">
        <f t="shared" si="189"/>
        <v>95390.902378858329</v>
      </c>
      <c r="AB2394" s="1">
        <f t="shared" si="190"/>
        <v>9.5497121283264402E-2</v>
      </c>
      <c r="AC2394" s="1" t="b">
        <f t="shared" si="191"/>
        <v>1</v>
      </c>
    </row>
    <row r="2395" spans="1:29" x14ac:dyDescent="0.25">
      <c r="A2395" s="1" t="s">
        <v>916</v>
      </c>
      <c r="B2395">
        <v>40</v>
      </c>
      <c r="D2395" s="2">
        <v>95396.6</v>
      </c>
      <c r="E2395">
        <v>15525</v>
      </c>
      <c r="F2395" t="s">
        <v>15</v>
      </c>
      <c r="G2395" t="s">
        <v>23</v>
      </c>
      <c r="H2395">
        <v>110922</v>
      </c>
      <c r="I2395" t="s">
        <v>17</v>
      </c>
      <c r="J2395" t="s">
        <v>16</v>
      </c>
      <c r="K2395">
        <v>15525.5</v>
      </c>
      <c r="L2395">
        <v>110922.5</v>
      </c>
      <c r="M2395">
        <v>24</v>
      </c>
      <c r="Y2395" s="1">
        <f t="shared" si="187"/>
        <v>1048.2550000000001</v>
      </c>
      <c r="Z2395" s="2">
        <f t="shared" si="188"/>
        <v>95396.6</v>
      </c>
      <c r="AA2395" s="2">
        <f t="shared" si="189"/>
        <v>95396.635360670814</v>
      </c>
      <c r="AB2395" s="1">
        <f t="shared" si="190"/>
        <v>9.5502590190683953E-2</v>
      </c>
      <c r="AC2395" s="1" t="b">
        <f t="shared" si="191"/>
        <v>1</v>
      </c>
    </row>
    <row r="2396" spans="1:29" x14ac:dyDescent="0.25">
      <c r="A2396" s="1" t="s">
        <v>917</v>
      </c>
      <c r="B2396">
        <v>7</v>
      </c>
      <c r="D2396" s="2">
        <v>95408.7</v>
      </c>
      <c r="E2396">
        <v>22277</v>
      </c>
      <c r="F2396" t="s">
        <v>15</v>
      </c>
      <c r="G2396" t="s">
        <v>29</v>
      </c>
      <c r="H2396">
        <v>117686</v>
      </c>
      <c r="I2396" t="s">
        <v>17</v>
      </c>
      <c r="J2396" t="s">
        <v>28</v>
      </c>
      <c r="K2396">
        <v>22277.66</v>
      </c>
      <c r="L2396">
        <v>117686.39999999999</v>
      </c>
      <c r="M2396">
        <v>24</v>
      </c>
      <c r="Y2396" s="1">
        <f t="shared" si="187"/>
        <v>1048.1220000000001</v>
      </c>
      <c r="Z2396" s="2">
        <f t="shared" si="188"/>
        <v>95408.7</v>
      </c>
      <c r="AA2396" s="2">
        <f t="shared" si="189"/>
        <v>95408.740585542517</v>
      </c>
      <c r="AB2396" s="1">
        <f t="shared" si="190"/>
        <v>9.5514138900596735E-2</v>
      </c>
      <c r="AC2396" s="1" t="b">
        <f t="shared" si="191"/>
        <v>1</v>
      </c>
    </row>
    <row r="2397" spans="1:29" x14ac:dyDescent="0.25">
      <c r="A2397" s="1" t="s">
        <v>918</v>
      </c>
      <c r="B2397">
        <v>3</v>
      </c>
      <c r="D2397" s="2">
        <v>95422.9</v>
      </c>
      <c r="E2397">
        <v>18241</v>
      </c>
      <c r="F2397" t="s">
        <v>15</v>
      </c>
      <c r="G2397" t="s">
        <v>23</v>
      </c>
      <c r="H2397">
        <v>113664</v>
      </c>
      <c r="I2397" t="s">
        <v>17</v>
      </c>
      <c r="J2397" t="s">
        <v>23</v>
      </c>
      <c r="K2397">
        <v>18241.54</v>
      </c>
      <c r="L2397">
        <v>113664.3</v>
      </c>
      <c r="M2397">
        <v>24</v>
      </c>
      <c r="Y2397" s="1">
        <f t="shared" si="187"/>
        <v>1047.9659999999999</v>
      </c>
      <c r="Z2397" s="2">
        <f t="shared" si="188"/>
        <v>95422.9</v>
      </c>
      <c r="AA2397" s="2">
        <f t="shared" si="189"/>
        <v>95422.94311074978</v>
      </c>
      <c r="AB2397" s="1">
        <f t="shared" si="190"/>
        <v>9.5527690359586942E-2</v>
      </c>
      <c r="AC2397" s="1" t="b">
        <f t="shared" si="191"/>
        <v>1</v>
      </c>
    </row>
    <row r="2398" spans="1:29" x14ac:dyDescent="0.25">
      <c r="A2398" s="1" t="s">
        <v>919</v>
      </c>
      <c r="B2398">
        <v>8</v>
      </c>
      <c r="D2398" s="2">
        <v>95426.8</v>
      </c>
      <c r="E2398">
        <v>15454</v>
      </c>
      <c r="F2398" t="s">
        <v>15</v>
      </c>
      <c r="G2398" t="s">
        <v>50</v>
      </c>
      <c r="H2398">
        <v>110881</v>
      </c>
      <c r="I2398" t="s">
        <v>17</v>
      </c>
      <c r="J2398" t="s">
        <v>23</v>
      </c>
      <c r="K2398">
        <v>15454.16</v>
      </c>
      <c r="L2398">
        <v>110881.1</v>
      </c>
      <c r="M2398">
        <v>24</v>
      </c>
      <c r="Y2398" s="1">
        <f t="shared" si="187"/>
        <v>1047.924</v>
      </c>
      <c r="Z2398" s="2">
        <f t="shared" si="188"/>
        <v>95426.8</v>
      </c>
      <c r="AA2398" s="2">
        <f t="shared" si="189"/>
        <v>95426.767590016068</v>
      </c>
      <c r="AB2398" s="1">
        <f t="shared" si="190"/>
        <v>9.553133986339471E-2</v>
      </c>
      <c r="AC2398" s="1" t="b">
        <f t="shared" si="191"/>
        <v>1</v>
      </c>
    </row>
    <row r="2399" spans="1:29" x14ac:dyDescent="0.25">
      <c r="A2399" s="1" t="s">
        <v>920</v>
      </c>
      <c r="B2399">
        <v>100</v>
      </c>
      <c r="C2399" t="s">
        <v>27</v>
      </c>
      <c r="D2399" s="2">
        <v>95437.1</v>
      </c>
      <c r="E2399">
        <v>19360</v>
      </c>
      <c r="F2399" t="s">
        <v>15</v>
      </c>
      <c r="G2399" t="s">
        <v>50</v>
      </c>
      <c r="H2399">
        <v>114797</v>
      </c>
      <c r="I2399" t="s">
        <v>17</v>
      </c>
      <c r="J2399" t="s">
        <v>50</v>
      </c>
      <c r="K2399">
        <v>19360.099999999999</v>
      </c>
      <c r="L2399">
        <v>114797.2</v>
      </c>
      <c r="M2399">
        <v>24</v>
      </c>
      <c r="Y2399" s="1">
        <f t="shared" si="187"/>
        <v>1047.8109999999999</v>
      </c>
      <c r="Z2399" s="2">
        <f t="shared" si="188"/>
        <v>95437.1</v>
      </c>
      <c r="AA2399" s="2">
        <f t="shared" si="189"/>
        <v>95437.058782547625</v>
      </c>
      <c r="AB2399" s="1">
        <f t="shared" si="190"/>
        <v>9.5541160945317255E-2</v>
      </c>
      <c r="AC2399" s="1" t="b">
        <f t="shared" si="191"/>
        <v>1</v>
      </c>
    </row>
    <row r="2400" spans="1:29" x14ac:dyDescent="0.25">
      <c r="A2400" s="1" t="s">
        <v>920</v>
      </c>
      <c r="B2400">
        <v>100</v>
      </c>
      <c r="C2400" t="s">
        <v>27</v>
      </c>
      <c r="D2400" s="2">
        <v>95437.1</v>
      </c>
      <c r="E2400">
        <v>23442</v>
      </c>
      <c r="F2400" t="s">
        <v>15</v>
      </c>
      <c r="G2400" t="s">
        <v>23</v>
      </c>
      <c r="H2400">
        <v>118879</v>
      </c>
      <c r="I2400" t="s">
        <v>17</v>
      </c>
      <c r="J2400" t="s">
        <v>23</v>
      </c>
      <c r="K2400">
        <v>23442.25</v>
      </c>
      <c r="L2400">
        <v>118879.3</v>
      </c>
      <c r="M2400">
        <v>24</v>
      </c>
      <c r="Y2400" s="1">
        <f t="shared" si="187"/>
        <v>1047.8109999999999</v>
      </c>
      <c r="Z2400" s="2">
        <f t="shared" si="188"/>
        <v>95437.1</v>
      </c>
      <c r="AA2400" s="2">
        <f t="shared" si="189"/>
        <v>95437.058782547625</v>
      </c>
      <c r="AB2400" s="1">
        <f t="shared" si="190"/>
        <v>9.5541160945317255E-2</v>
      </c>
      <c r="AC2400" s="1" t="b">
        <f t="shared" si="191"/>
        <v>1</v>
      </c>
    </row>
    <row r="2401" spans="1:29" x14ac:dyDescent="0.25">
      <c r="A2401" s="1">
        <v>1047.752</v>
      </c>
      <c r="B2401">
        <v>1</v>
      </c>
      <c r="D2401" s="2">
        <v>95442.4</v>
      </c>
      <c r="M2401">
        <v>25</v>
      </c>
      <c r="Y2401" s="1">
        <f t="shared" si="187"/>
        <v>1047.752</v>
      </c>
      <c r="Z2401" s="2">
        <f t="shared" si="188"/>
        <v>95442.4</v>
      </c>
      <c r="AA2401" s="2">
        <f t="shared" si="189"/>
        <v>95442.432942146625</v>
      </c>
      <c r="AB2401" s="1">
        <f t="shared" si="190"/>
        <v>9.5546290029580774E-2</v>
      </c>
      <c r="AC2401" s="1" t="b">
        <f t="shared" si="191"/>
        <v>1</v>
      </c>
    </row>
    <row r="2402" spans="1:29" x14ac:dyDescent="0.25">
      <c r="A2402" s="1">
        <v>1047.625</v>
      </c>
      <c r="B2402">
        <v>10</v>
      </c>
      <c r="D2402" s="2">
        <v>95454</v>
      </c>
      <c r="M2402">
        <v>25</v>
      </c>
      <c r="Y2402" s="1">
        <f t="shared" si="187"/>
        <v>1047.625</v>
      </c>
      <c r="Z2402" s="2">
        <f t="shared" si="188"/>
        <v>95454</v>
      </c>
      <c r="AA2402" s="2">
        <f t="shared" si="189"/>
        <v>95454.003102255097</v>
      </c>
      <c r="AB2402" s="1">
        <f t="shared" si="190"/>
        <v>9.5557333541226641E-2</v>
      </c>
      <c r="AC2402" s="1" t="b">
        <f t="shared" si="191"/>
        <v>1</v>
      </c>
    </row>
    <row r="2403" spans="1:29" x14ac:dyDescent="0.25">
      <c r="A2403" s="1">
        <v>1047.375</v>
      </c>
      <c r="B2403">
        <v>10</v>
      </c>
      <c r="C2403" t="s">
        <v>122</v>
      </c>
      <c r="D2403" s="2">
        <v>95476.800000000003</v>
      </c>
      <c r="E2403">
        <v>16516</v>
      </c>
      <c r="F2403" t="s">
        <v>15</v>
      </c>
      <c r="G2403" t="s">
        <v>18</v>
      </c>
      <c r="H2403">
        <v>111993</v>
      </c>
      <c r="I2403" t="s">
        <v>17</v>
      </c>
      <c r="J2403" t="s">
        <v>16</v>
      </c>
      <c r="K2403">
        <v>16516.150000000001</v>
      </c>
      <c r="L2403">
        <v>111993</v>
      </c>
      <c r="M2403">
        <v>25</v>
      </c>
      <c r="Y2403" s="1">
        <f t="shared" si="187"/>
        <v>1047.375</v>
      </c>
      <c r="Z2403" s="2">
        <f t="shared" si="188"/>
        <v>95476.800000000003</v>
      </c>
      <c r="AA2403" s="2">
        <f t="shared" si="189"/>
        <v>95476.787206110515</v>
      </c>
      <c r="AB2403" s="1">
        <f t="shared" si="190"/>
        <v>9.557908447600455E-2</v>
      </c>
      <c r="AC2403" s="1" t="b">
        <f t="shared" si="191"/>
        <v>1</v>
      </c>
    </row>
    <row r="2404" spans="1:29" x14ac:dyDescent="0.25">
      <c r="A2404" s="1">
        <v>1047.3520000000001</v>
      </c>
      <c r="B2404">
        <v>10</v>
      </c>
      <c r="C2404" t="s">
        <v>122</v>
      </c>
      <c r="D2404" s="2">
        <v>95478.9</v>
      </c>
      <c r="M2404">
        <v>25</v>
      </c>
      <c r="Y2404" s="1">
        <f t="shared" si="187"/>
        <v>1047.3520000000001</v>
      </c>
      <c r="Z2404" s="2">
        <f t="shared" si="188"/>
        <v>95478.9</v>
      </c>
      <c r="AA2404" s="2">
        <f t="shared" si="189"/>
        <v>95478.883890038866</v>
      </c>
      <c r="AB2404" s="1">
        <f t="shared" si="190"/>
        <v>9.5581086344437627E-2</v>
      </c>
      <c r="AC2404" s="1" t="b">
        <f t="shared" si="191"/>
        <v>1</v>
      </c>
    </row>
    <row r="2405" spans="1:29" x14ac:dyDescent="0.25">
      <c r="A2405" s="1">
        <v>1047.2439999999999</v>
      </c>
      <c r="B2405">
        <v>3000</v>
      </c>
      <c r="D2405" s="2">
        <v>95488.7</v>
      </c>
      <c r="E2405">
        <v>17534</v>
      </c>
      <c r="F2405" t="s">
        <v>15</v>
      </c>
      <c r="G2405" t="s">
        <v>57</v>
      </c>
      <c r="H2405">
        <v>113023</v>
      </c>
      <c r="I2405" t="s">
        <v>17</v>
      </c>
      <c r="J2405" t="s">
        <v>528</v>
      </c>
      <c r="K2405">
        <v>17534.759999999998</v>
      </c>
      <c r="L2405">
        <v>113023.5</v>
      </c>
      <c r="M2405">
        <v>25</v>
      </c>
      <c r="Y2405" s="1">
        <f t="shared" si="187"/>
        <v>1047.2439999999999</v>
      </c>
      <c r="Z2405" s="2">
        <f t="shared" si="188"/>
        <v>95488.7</v>
      </c>
      <c r="AA2405" s="2">
        <f t="shared" si="189"/>
        <v>95488.730420035834</v>
      </c>
      <c r="AB2405" s="1">
        <f t="shared" si="190"/>
        <v>9.5590488186151387E-2</v>
      </c>
      <c r="AC2405" s="1" t="b">
        <f t="shared" si="191"/>
        <v>1</v>
      </c>
    </row>
    <row r="2406" spans="1:29" x14ac:dyDescent="0.25">
      <c r="A2406" s="1">
        <v>1047.105</v>
      </c>
      <c r="B2406">
        <v>3</v>
      </c>
      <c r="D2406" s="2">
        <v>95501.4</v>
      </c>
      <c r="M2406">
        <v>25</v>
      </c>
      <c r="Y2406" s="1">
        <f t="shared" si="187"/>
        <v>1047.105</v>
      </c>
      <c r="Z2406" s="2">
        <f t="shared" si="188"/>
        <v>95501.4</v>
      </c>
      <c r="AA2406" s="2">
        <f t="shared" si="189"/>
        <v>95501.406258207149</v>
      </c>
      <c r="AB2406" s="1">
        <f t="shared" si="190"/>
        <v>9.5602592986475637E-2</v>
      </c>
      <c r="AC2406" s="1" t="b">
        <f t="shared" si="191"/>
        <v>1</v>
      </c>
    </row>
    <row r="2407" spans="1:29" x14ac:dyDescent="0.25">
      <c r="A2407" s="1">
        <v>1047.048</v>
      </c>
      <c r="B2407">
        <v>1</v>
      </c>
      <c r="D2407" s="2">
        <v>95506.6</v>
      </c>
      <c r="M2407">
        <v>25</v>
      </c>
      <c r="Y2407" s="1">
        <f t="shared" si="187"/>
        <v>1047.048</v>
      </c>
      <c r="Z2407" s="2">
        <f t="shared" si="188"/>
        <v>95506.6</v>
      </c>
      <c r="AA2407" s="2">
        <f t="shared" si="189"/>
        <v>95506.605236818184</v>
      </c>
      <c r="AB2407" s="1">
        <f t="shared" si="190"/>
        <v>9.5607558219307137E-2</v>
      </c>
      <c r="AC2407" s="1" t="b">
        <f t="shared" si="191"/>
        <v>1</v>
      </c>
    </row>
    <row r="2408" spans="1:29" x14ac:dyDescent="0.25">
      <c r="A2408" s="1">
        <v>1046.941</v>
      </c>
      <c r="B2408">
        <v>3</v>
      </c>
      <c r="D2408" s="2">
        <v>95516.4</v>
      </c>
      <c r="M2408">
        <v>25</v>
      </c>
      <c r="Y2408" s="1">
        <f t="shared" si="187"/>
        <v>1046.941</v>
      </c>
      <c r="Z2408" s="2">
        <f t="shared" si="188"/>
        <v>95516.4</v>
      </c>
      <c r="AA2408" s="2">
        <f t="shared" si="189"/>
        <v>95516.366251775413</v>
      </c>
      <c r="AB2408" s="1">
        <f t="shared" si="190"/>
        <v>9.5616881109716501E-2</v>
      </c>
      <c r="AC2408" s="1" t="b">
        <f t="shared" si="191"/>
        <v>1</v>
      </c>
    </row>
    <row r="2409" spans="1:29" x14ac:dyDescent="0.25">
      <c r="A2409" s="1">
        <v>1046.779</v>
      </c>
      <c r="B2409">
        <v>300</v>
      </c>
      <c r="D2409" s="2">
        <v>95531.1</v>
      </c>
      <c r="M2409">
        <v>25</v>
      </c>
      <c r="Y2409" s="1">
        <f t="shared" si="187"/>
        <v>1046.779</v>
      </c>
      <c r="Z2409" s="2">
        <f t="shared" si="188"/>
        <v>95531.1</v>
      </c>
      <c r="AA2409" s="2">
        <f t="shared" si="189"/>
        <v>95531.148408594367</v>
      </c>
      <c r="AB2409" s="1">
        <f t="shared" si="190"/>
        <v>9.5631001581324412E-2</v>
      </c>
      <c r="AC2409" s="1" t="b">
        <f t="shared" si="191"/>
        <v>1</v>
      </c>
    </row>
    <row r="2410" spans="1:29" x14ac:dyDescent="0.25">
      <c r="A2410" s="1">
        <v>1046.7</v>
      </c>
      <c r="B2410">
        <v>20</v>
      </c>
      <c r="D2410" s="2">
        <v>95538.4</v>
      </c>
      <c r="M2410">
        <v>25</v>
      </c>
      <c r="Y2410" s="1">
        <f t="shared" si="187"/>
        <v>1046.7</v>
      </c>
      <c r="Z2410" s="2">
        <f t="shared" si="188"/>
        <v>95538.4</v>
      </c>
      <c r="AA2410" s="2">
        <f t="shared" si="189"/>
        <v>95538.358650998372</v>
      </c>
      <c r="AB2410" s="1">
        <f t="shared" si="190"/>
        <v>9.5637889868633974E-2</v>
      </c>
      <c r="AC2410" s="1" t="b">
        <f t="shared" si="191"/>
        <v>1</v>
      </c>
    </row>
    <row r="2411" spans="1:29" x14ac:dyDescent="0.25">
      <c r="A2411" s="1">
        <v>1046.5940000000001</v>
      </c>
      <c r="B2411">
        <v>1</v>
      </c>
      <c r="D2411" s="2">
        <v>95548</v>
      </c>
      <c r="E2411">
        <v>19872</v>
      </c>
      <c r="F2411" t="s">
        <v>15</v>
      </c>
      <c r="G2411" t="s">
        <v>18</v>
      </c>
      <c r="H2411">
        <v>115420</v>
      </c>
      <c r="I2411" t="s">
        <v>17</v>
      </c>
      <c r="J2411" t="s">
        <v>18</v>
      </c>
      <c r="K2411">
        <v>19872.43</v>
      </c>
      <c r="L2411">
        <v>115420.8</v>
      </c>
      <c r="M2411">
        <v>25</v>
      </c>
      <c r="Y2411" s="1">
        <f t="shared" si="187"/>
        <v>1046.5940000000001</v>
      </c>
      <c r="Z2411" s="2">
        <f t="shared" si="188"/>
        <v>95548</v>
      </c>
      <c r="AA2411" s="2">
        <f t="shared" si="189"/>
        <v>95548.034863566951</v>
      </c>
      <c r="AB2411" s="1">
        <f t="shared" si="190"/>
        <v>9.5647134831447031E-2</v>
      </c>
      <c r="AC2411" s="1" t="b">
        <f t="shared" si="191"/>
        <v>1</v>
      </c>
    </row>
    <row r="2412" spans="1:29" x14ac:dyDescent="0.25">
      <c r="A2412" s="1">
        <v>1046.5429999999999</v>
      </c>
      <c r="B2412">
        <v>1</v>
      </c>
      <c r="D2412" s="2">
        <v>95552.7</v>
      </c>
      <c r="M2412">
        <v>25</v>
      </c>
      <c r="Y2412" s="1">
        <f t="shared" si="187"/>
        <v>1046.5429999999999</v>
      </c>
      <c r="Z2412" s="2">
        <f t="shared" si="188"/>
        <v>95552.7</v>
      </c>
      <c r="AA2412" s="2">
        <f t="shared" si="189"/>
        <v>95552.691098215757</v>
      </c>
      <c r="AB2412" s="1">
        <f t="shared" si="190"/>
        <v>9.5651583880555197E-2</v>
      </c>
      <c r="AC2412" s="1" t="b">
        <f t="shared" si="191"/>
        <v>1</v>
      </c>
    </row>
    <row r="2413" spans="1:29" x14ac:dyDescent="0.25">
      <c r="A2413" s="1">
        <v>1046.1949999999999</v>
      </c>
      <c r="B2413">
        <v>500</v>
      </c>
      <c r="D2413" s="2">
        <v>95584.5</v>
      </c>
      <c r="E2413">
        <v>15525</v>
      </c>
      <c r="F2413" t="s">
        <v>15</v>
      </c>
      <c r="G2413" t="s">
        <v>23</v>
      </c>
      <c r="H2413">
        <v>111110</v>
      </c>
      <c r="I2413" t="s">
        <v>17</v>
      </c>
      <c r="J2413" t="s">
        <v>50</v>
      </c>
      <c r="K2413">
        <v>15525.5</v>
      </c>
      <c r="L2413">
        <v>111110.3</v>
      </c>
      <c r="M2413">
        <v>25</v>
      </c>
      <c r="Y2413" s="1">
        <f t="shared" si="187"/>
        <v>1046.1949999999999</v>
      </c>
      <c r="Z2413" s="2">
        <f t="shared" si="188"/>
        <v>95584.5</v>
      </c>
      <c r="AA2413" s="2">
        <f t="shared" si="189"/>
        <v>95584.475169542973</v>
      </c>
      <c r="AB2413" s="1">
        <f t="shared" si="190"/>
        <v>9.5681959467184885E-2</v>
      </c>
      <c r="AC2413" s="1" t="b">
        <f t="shared" si="191"/>
        <v>1</v>
      </c>
    </row>
    <row r="2414" spans="1:29" x14ac:dyDescent="0.25">
      <c r="A2414" s="1">
        <v>1046.1130000000001</v>
      </c>
      <c r="B2414">
        <v>10</v>
      </c>
      <c r="D2414" s="2">
        <v>95592</v>
      </c>
      <c r="M2414">
        <v>25</v>
      </c>
      <c r="Y2414" s="1">
        <f t="shared" si="187"/>
        <v>1046.1130000000001</v>
      </c>
      <c r="Z2414" s="2">
        <f t="shared" si="188"/>
        <v>95592</v>
      </c>
      <c r="AA2414" s="2">
        <f t="shared" si="189"/>
        <v>95591.967598146657</v>
      </c>
      <c r="AB2414" s="1">
        <f t="shared" si="190"/>
        <v>9.5689121346425599E-2</v>
      </c>
      <c r="AC2414" s="1" t="b">
        <f t="shared" si="191"/>
        <v>1</v>
      </c>
    </row>
    <row r="2415" spans="1:29" x14ac:dyDescent="0.25">
      <c r="A2415" s="1">
        <v>1046.0139999999999</v>
      </c>
      <c r="B2415">
        <v>30</v>
      </c>
      <c r="D2415" s="2">
        <v>95601</v>
      </c>
      <c r="E2415">
        <v>18063</v>
      </c>
      <c r="F2415" t="s">
        <v>15</v>
      </c>
      <c r="G2415" t="s">
        <v>16</v>
      </c>
      <c r="H2415">
        <v>113664</v>
      </c>
      <c r="I2415" t="s">
        <v>17</v>
      </c>
      <c r="J2415" t="s">
        <v>23</v>
      </c>
      <c r="K2415">
        <v>18063.36</v>
      </c>
      <c r="L2415">
        <v>113664.3</v>
      </c>
      <c r="M2415">
        <v>25</v>
      </c>
      <c r="Y2415" s="1">
        <f t="shared" si="187"/>
        <v>1046.0139999999999</v>
      </c>
      <c r="Z2415" s="2">
        <f t="shared" si="188"/>
        <v>95601</v>
      </c>
      <c r="AA2415" s="2">
        <f t="shared" si="189"/>
        <v>95601.014900374197</v>
      </c>
      <c r="AB2415" s="1">
        <f t="shared" si="190"/>
        <v>9.5697770249907846E-2</v>
      </c>
      <c r="AC2415" s="1" t="b">
        <f t="shared" si="191"/>
        <v>1</v>
      </c>
    </row>
    <row r="2416" spans="1:29" x14ac:dyDescent="0.25">
      <c r="A2416" s="1">
        <v>1045.9000000000001</v>
      </c>
      <c r="B2416">
        <v>10</v>
      </c>
      <c r="D2416" s="2">
        <v>95611.4</v>
      </c>
      <c r="M2416">
        <v>25</v>
      </c>
      <c r="Y2416" s="1">
        <f t="shared" si="187"/>
        <v>1045.9000000000001</v>
      </c>
      <c r="Z2416" s="2">
        <f t="shared" si="188"/>
        <v>95611.4</v>
      </c>
      <c r="AA2416" s="2">
        <f t="shared" si="189"/>
        <v>95611.435127641264</v>
      </c>
      <c r="AB2416" s="1">
        <f t="shared" si="190"/>
        <v>9.5707732635835763E-2</v>
      </c>
      <c r="AC2416" s="1" t="b">
        <f t="shared" si="191"/>
        <v>1</v>
      </c>
    </row>
    <row r="2417" spans="1:29" x14ac:dyDescent="0.25">
      <c r="A2417" s="1">
        <v>1045.8579999999999</v>
      </c>
      <c r="B2417">
        <v>100</v>
      </c>
      <c r="D2417" s="2">
        <v>95615.3</v>
      </c>
      <c r="M2417">
        <v>25</v>
      </c>
      <c r="Y2417" s="1">
        <f t="shared" si="187"/>
        <v>1045.8579999999999</v>
      </c>
      <c r="Z2417" s="2">
        <f t="shared" si="188"/>
        <v>95615.3</v>
      </c>
      <c r="AA2417" s="2">
        <f t="shared" si="189"/>
        <v>95615.274731368889</v>
      </c>
      <c r="AB2417" s="1">
        <f t="shared" si="190"/>
        <v>9.5711403809775747E-2</v>
      </c>
      <c r="AC2417" s="1" t="b">
        <f t="shared" si="191"/>
        <v>1</v>
      </c>
    </row>
    <row r="2418" spans="1:29" x14ac:dyDescent="0.25">
      <c r="A2418" s="1">
        <v>1045.7650000000001</v>
      </c>
      <c r="B2418">
        <v>5</v>
      </c>
      <c r="D2418" s="2">
        <v>95623.8</v>
      </c>
      <c r="E2418">
        <v>19700</v>
      </c>
      <c r="F2418" t="s">
        <v>15</v>
      </c>
      <c r="G2418" t="s">
        <v>23</v>
      </c>
      <c r="H2418">
        <v>115324</v>
      </c>
      <c r="I2418" t="s">
        <v>17</v>
      </c>
      <c r="J2418" t="s">
        <v>16</v>
      </c>
      <c r="K2418">
        <v>19700.900000000001</v>
      </c>
      <c r="L2418">
        <v>115324.3</v>
      </c>
      <c r="M2418">
        <v>25</v>
      </c>
      <c r="Y2418" s="1">
        <f t="shared" si="187"/>
        <v>1045.7650000000001</v>
      </c>
      <c r="Z2418" s="2">
        <f t="shared" si="188"/>
        <v>95623.8</v>
      </c>
      <c r="AA2418" s="2">
        <f t="shared" si="189"/>
        <v>95623.777808589875</v>
      </c>
      <c r="AB2418" s="1">
        <f t="shared" si="190"/>
        <v>9.571953441193283E-2</v>
      </c>
      <c r="AC2418" s="1" t="b">
        <f t="shared" si="191"/>
        <v>1</v>
      </c>
    </row>
    <row r="2419" spans="1:29" x14ac:dyDescent="0.25">
      <c r="A2419" s="1">
        <v>1045.7070000000001</v>
      </c>
      <c r="B2419">
        <v>20</v>
      </c>
      <c r="D2419" s="2">
        <v>95629.1</v>
      </c>
      <c r="M2419">
        <v>25</v>
      </c>
      <c r="Y2419" s="1">
        <f t="shared" si="187"/>
        <v>1045.7070000000001</v>
      </c>
      <c r="Z2419" s="2">
        <f t="shared" si="188"/>
        <v>95629.1</v>
      </c>
      <c r="AA2419" s="2">
        <f t="shared" si="189"/>
        <v>95629.081568737689</v>
      </c>
      <c r="AB2419" s="1">
        <f t="shared" si="190"/>
        <v>9.5724606208401453E-2</v>
      </c>
      <c r="AC2419" s="1" t="b">
        <f t="shared" si="191"/>
        <v>1</v>
      </c>
    </row>
    <row r="2420" spans="1:29" x14ac:dyDescent="0.25">
      <c r="A2420" s="1">
        <v>1045.511</v>
      </c>
      <c r="B2420">
        <v>10</v>
      </c>
      <c r="C2420" t="s">
        <v>124</v>
      </c>
      <c r="D2420" s="2">
        <v>95647</v>
      </c>
      <c r="M2420">
        <v>25</v>
      </c>
      <c r="Y2420" s="1">
        <f t="shared" si="187"/>
        <v>1045.511</v>
      </c>
      <c r="Z2420" s="2">
        <f t="shared" si="188"/>
        <v>95647</v>
      </c>
      <c r="AA2420" s="2">
        <f t="shared" si="189"/>
        <v>95647.008974558848</v>
      </c>
      <c r="AB2420" s="1">
        <f t="shared" si="190"/>
        <v>9.5741751628896712E-2</v>
      </c>
      <c r="AC2420" s="1" t="b">
        <f t="shared" si="191"/>
        <v>1</v>
      </c>
    </row>
    <row r="2421" spans="1:29" x14ac:dyDescent="0.25">
      <c r="A2421" s="1">
        <f>$P2421</f>
        <v>1045.4469999999999</v>
      </c>
      <c r="B2421">
        <v>20</v>
      </c>
      <c r="C2421" t="s">
        <v>122</v>
      </c>
      <c r="D2421" s="6">
        <f>ROUND($Q2421,1)</f>
        <v>95652.9</v>
      </c>
      <c r="M2421">
        <v>25</v>
      </c>
      <c r="N2421" t="s">
        <v>921</v>
      </c>
      <c r="O2421" s="4" t="s">
        <v>1088</v>
      </c>
      <c r="P2421">
        <f>RIGHT($N2421,8)+0</f>
        <v>1045.4469999999999</v>
      </c>
      <c r="Q2421" s="2">
        <f>100000000/P2421</f>
        <v>95652.864277194356</v>
      </c>
      <c r="Y2421" s="1">
        <f t="shared" si="187"/>
        <v>1045.4469999999999</v>
      </c>
      <c r="Z2421" s="2">
        <f t="shared" si="188"/>
        <v>95652.9</v>
      </c>
      <c r="AA2421" s="2">
        <f t="shared" si="189"/>
        <v>95652.864277194356</v>
      </c>
      <c r="AB2421" s="1">
        <f t="shared" si="190"/>
        <v>9.5747352222156829E-2</v>
      </c>
      <c r="AC2421" s="1" t="b">
        <f t="shared" si="191"/>
        <v>1</v>
      </c>
    </row>
    <row r="2422" spans="1:29" x14ac:dyDescent="0.25">
      <c r="A2422" s="1">
        <v>1045.4110000000001</v>
      </c>
      <c r="B2422">
        <v>300</v>
      </c>
      <c r="C2422" t="s">
        <v>122</v>
      </c>
      <c r="D2422" s="2">
        <v>95656.2</v>
      </c>
      <c r="E2422">
        <v>15454</v>
      </c>
      <c r="F2422" t="s">
        <v>15</v>
      </c>
      <c r="G2422" t="s">
        <v>50</v>
      </c>
      <c r="H2422">
        <v>111110</v>
      </c>
      <c r="I2422" t="s">
        <v>17</v>
      </c>
      <c r="J2422" t="s">
        <v>50</v>
      </c>
      <c r="K2422">
        <v>15454.16</v>
      </c>
      <c r="L2422">
        <v>111110.3</v>
      </c>
      <c r="M2422">
        <v>25</v>
      </c>
      <c r="Y2422" s="1">
        <f t="shared" si="187"/>
        <v>1045.4110000000001</v>
      </c>
      <c r="Z2422" s="2">
        <f t="shared" si="188"/>
        <v>95656.2</v>
      </c>
      <c r="AA2422" s="2">
        <f t="shared" si="189"/>
        <v>95656.158199980666</v>
      </c>
      <c r="AB2422" s="1">
        <f t="shared" si="190"/>
        <v>9.5750503007898641E-2</v>
      </c>
      <c r="AC2422" s="1" t="b">
        <f t="shared" si="191"/>
        <v>1</v>
      </c>
    </row>
    <row r="2423" spans="1:29" x14ac:dyDescent="0.25">
      <c r="A2423" s="1">
        <v>1045.248</v>
      </c>
      <c r="B2423">
        <v>8</v>
      </c>
      <c r="D2423" s="2">
        <v>95671.1</v>
      </c>
      <c r="E2423">
        <v>14859</v>
      </c>
      <c r="F2423" t="s">
        <v>15</v>
      </c>
      <c r="G2423" t="s">
        <v>23</v>
      </c>
      <c r="H2423">
        <v>110530</v>
      </c>
      <c r="I2423" t="s">
        <v>17</v>
      </c>
      <c r="J2423" t="s">
        <v>50</v>
      </c>
      <c r="K2423">
        <v>14859.96</v>
      </c>
      <c r="L2423">
        <v>110530.9</v>
      </c>
      <c r="M2423">
        <v>25</v>
      </c>
      <c r="Y2423" s="1">
        <f t="shared" si="187"/>
        <v>1045.248</v>
      </c>
      <c r="Z2423" s="2">
        <f t="shared" si="188"/>
        <v>95671.1</v>
      </c>
      <c r="AA2423" s="2">
        <f t="shared" si="189"/>
        <v>95671.07518981141</v>
      </c>
      <c r="AB2423" s="1">
        <f t="shared" si="190"/>
        <v>9.576477313987275E-2</v>
      </c>
      <c r="AC2423" s="1" t="b">
        <f t="shared" si="191"/>
        <v>1</v>
      </c>
    </row>
    <row r="2424" spans="1:29" x14ac:dyDescent="0.25">
      <c r="A2424" s="1">
        <v>1045.181</v>
      </c>
      <c r="B2424">
        <v>1</v>
      </c>
      <c r="D2424" s="2">
        <v>95677.2</v>
      </c>
      <c r="M2424">
        <v>25</v>
      </c>
      <c r="Y2424" s="1">
        <f t="shared" si="187"/>
        <v>1045.181</v>
      </c>
      <c r="Z2424" s="2">
        <f t="shared" si="188"/>
        <v>95677.2</v>
      </c>
      <c r="AA2424" s="2">
        <f t="shared" si="189"/>
        <v>95677.208062526959</v>
      </c>
      <c r="AB2424" s="1">
        <f t="shared" si="190"/>
        <v>9.5770640713200378E-2</v>
      </c>
      <c r="AC2424" s="1" t="b">
        <f t="shared" si="191"/>
        <v>1</v>
      </c>
    </row>
    <row r="2425" spans="1:29" x14ac:dyDescent="0.25">
      <c r="A2425" s="1">
        <v>1045.049</v>
      </c>
      <c r="B2425">
        <v>1</v>
      </c>
      <c r="D2425" s="2">
        <v>95689.3</v>
      </c>
      <c r="M2425">
        <v>25</v>
      </c>
      <c r="Y2425" s="1">
        <f t="shared" si="187"/>
        <v>1045.049</v>
      </c>
      <c r="Z2425" s="2">
        <f t="shared" si="188"/>
        <v>95689.3</v>
      </c>
      <c r="AA2425" s="2">
        <f t="shared" si="189"/>
        <v>95689.293037934112</v>
      </c>
      <c r="AB2425" s="1">
        <f t="shared" si="190"/>
        <v>9.5782204010498126E-2</v>
      </c>
      <c r="AC2425" s="1" t="b">
        <f t="shared" si="191"/>
        <v>1</v>
      </c>
    </row>
    <row r="2426" spans="1:29" x14ac:dyDescent="0.25">
      <c r="A2426" s="1">
        <v>1044.9929999999999</v>
      </c>
      <c r="B2426">
        <v>4</v>
      </c>
      <c r="D2426" s="2">
        <v>95694.399999999994</v>
      </c>
      <c r="M2426">
        <v>25</v>
      </c>
      <c r="Y2426" s="1">
        <f t="shared" si="187"/>
        <v>1044.9929999999999</v>
      </c>
      <c r="Z2426" s="2">
        <f t="shared" si="188"/>
        <v>95694.399999999994</v>
      </c>
      <c r="AA2426" s="2">
        <f t="shared" si="189"/>
        <v>95694.420919565979</v>
      </c>
      <c r="AB2426" s="1">
        <f t="shared" si="190"/>
        <v>9.5787110975655343E-2</v>
      </c>
      <c r="AC2426" s="1" t="b">
        <f t="shared" si="191"/>
        <v>1</v>
      </c>
    </row>
    <row r="2427" spans="1:29" x14ac:dyDescent="0.25">
      <c r="A2427" s="1">
        <v>1044.9090000000001</v>
      </c>
      <c r="B2427">
        <v>30</v>
      </c>
      <c r="C2427" t="s">
        <v>27</v>
      </c>
      <c r="D2427" s="2">
        <v>95702.1</v>
      </c>
      <c r="E2427">
        <v>18211</v>
      </c>
      <c r="F2427" t="s">
        <v>15</v>
      </c>
      <c r="G2427" t="s">
        <v>28</v>
      </c>
      <c r="H2427">
        <v>113914</v>
      </c>
      <c r="I2427" t="s">
        <v>17</v>
      </c>
      <c r="J2427" t="s">
        <v>28</v>
      </c>
      <c r="K2427">
        <v>18211.759999999998</v>
      </c>
      <c r="L2427">
        <v>113914.1</v>
      </c>
      <c r="M2427">
        <v>25</v>
      </c>
      <c r="Y2427" s="1">
        <f t="shared" si="187"/>
        <v>1044.9090000000001</v>
      </c>
      <c r="Z2427" s="2">
        <f t="shared" si="188"/>
        <v>95702.1</v>
      </c>
      <c r="AA2427" s="2">
        <f t="shared" si="189"/>
        <v>95702.11377258689</v>
      </c>
      <c r="AB2427" s="1">
        <f t="shared" si="190"/>
        <v>9.5794472902705832E-2</v>
      </c>
      <c r="AC2427" s="1" t="b">
        <f t="shared" si="191"/>
        <v>1</v>
      </c>
    </row>
    <row r="2428" spans="1:29" x14ac:dyDescent="0.25">
      <c r="A2428" s="1">
        <v>1044.9090000000001</v>
      </c>
      <c r="B2428">
        <v>30</v>
      </c>
      <c r="C2428" t="s">
        <v>27</v>
      </c>
      <c r="D2428" s="2">
        <v>95702.1</v>
      </c>
      <c r="E2428">
        <v>19700</v>
      </c>
      <c r="F2428" t="s">
        <v>15</v>
      </c>
      <c r="G2428" t="s">
        <v>23</v>
      </c>
      <c r="H2428">
        <v>115403</v>
      </c>
      <c r="I2428" t="s">
        <v>17</v>
      </c>
      <c r="J2428" t="s">
        <v>23</v>
      </c>
      <c r="K2428">
        <v>19700.900000000001</v>
      </c>
      <c r="L2428">
        <v>115403.3</v>
      </c>
      <c r="M2428">
        <v>25</v>
      </c>
      <c r="Y2428" s="1">
        <f t="shared" si="187"/>
        <v>1044.9090000000001</v>
      </c>
      <c r="Z2428" s="2">
        <f t="shared" si="188"/>
        <v>95702.1</v>
      </c>
      <c r="AA2428" s="2">
        <f t="shared" si="189"/>
        <v>95702.11377258689</v>
      </c>
      <c r="AB2428" s="1">
        <f t="shared" si="190"/>
        <v>9.5794472902705832E-2</v>
      </c>
      <c r="AC2428" s="1" t="b">
        <f t="shared" si="191"/>
        <v>1</v>
      </c>
    </row>
    <row r="2429" spans="1:29" x14ac:dyDescent="0.25">
      <c r="A2429" s="1">
        <v>1044.8510000000001</v>
      </c>
      <c r="B2429">
        <v>10</v>
      </c>
      <c r="D2429" s="2">
        <v>95707.4</v>
      </c>
      <c r="E2429">
        <v>19700</v>
      </c>
      <c r="F2429" t="s">
        <v>15</v>
      </c>
      <c r="G2429" t="s">
        <v>23</v>
      </c>
      <c r="H2429">
        <v>115408</v>
      </c>
      <c r="I2429" t="s">
        <v>17</v>
      </c>
      <c r="J2429" t="s">
        <v>50</v>
      </c>
      <c r="K2429">
        <v>19700.900000000001</v>
      </c>
      <c r="L2429">
        <v>115408.4</v>
      </c>
      <c r="M2429">
        <v>25</v>
      </c>
      <c r="Y2429" s="1">
        <f t="shared" si="187"/>
        <v>1044.8510000000001</v>
      </c>
      <c r="Z2429" s="2">
        <f t="shared" si="188"/>
        <v>95707.4</v>
      </c>
      <c r="AA2429" s="2">
        <f t="shared" si="189"/>
        <v>95707.426226323165</v>
      </c>
      <c r="AB2429" s="1">
        <f t="shared" si="190"/>
        <v>9.579955717433547E-2</v>
      </c>
      <c r="AC2429" s="1" t="b">
        <f t="shared" si="191"/>
        <v>1</v>
      </c>
    </row>
    <row r="2430" spans="1:29" x14ac:dyDescent="0.25">
      <c r="A2430" s="1">
        <v>1044.6079999999999</v>
      </c>
      <c r="B2430">
        <v>30</v>
      </c>
      <c r="D2430" s="2">
        <v>95729.7</v>
      </c>
      <c r="M2430">
        <v>25</v>
      </c>
      <c r="Y2430" s="1">
        <f t="shared" si="187"/>
        <v>1044.6079999999999</v>
      </c>
      <c r="Z2430" s="2">
        <f t="shared" si="188"/>
        <v>95729.7</v>
      </c>
      <c r="AA2430" s="2">
        <f t="shared" si="189"/>
        <v>95729.68998897195</v>
      </c>
      <c r="AB2430" s="1">
        <f t="shared" si="190"/>
        <v>9.5820867726923387E-2</v>
      </c>
      <c r="AC2430" s="1" t="b">
        <f t="shared" si="191"/>
        <v>1</v>
      </c>
    </row>
    <row r="2431" spans="1:29" x14ac:dyDescent="0.25">
      <c r="A2431" s="1">
        <v>1044.239</v>
      </c>
      <c r="B2431">
        <v>50</v>
      </c>
      <c r="D2431" s="2">
        <v>95763.5</v>
      </c>
      <c r="M2431">
        <v>25</v>
      </c>
      <c r="Y2431" s="1">
        <f t="shared" si="187"/>
        <v>1044.239</v>
      </c>
      <c r="Z2431" s="2">
        <f t="shared" si="188"/>
        <v>95763.5</v>
      </c>
      <c r="AA2431" s="2">
        <f t="shared" si="189"/>
        <v>95763.51773875521</v>
      </c>
      <c r="AB2431" s="1">
        <f t="shared" si="190"/>
        <v>9.5853256648504415E-2</v>
      </c>
      <c r="AC2431" s="1" t="b">
        <f t="shared" si="191"/>
        <v>1</v>
      </c>
    </row>
    <row r="2432" spans="1:29" x14ac:dyDescent="0.25">
      <c r="A2432" s="1">
        <v>1044.203</v>
      </c>
      <c r="B2432">
        <v>50</v>
      </c>
      <c r="D2432" s="2">
        <v>95766.8</v>
      </c>
      <c r="M2432">
        <v>25</v>
      </c>
      <c r="Y2432" s="1">
        <f t="shared" si="187"/>
        <v>1044.203</v>
      </c>
      <c r="Z2432" s="2">
        <f t="shared" si="188"/>
        <v>95766.8</v>
      </c>
      <c r="AA2432" s="2">
        <f t="shared" si="189"/>
        <v>95766.819287054343</v>
      </c>
      <c r="AB2432" s="1">
        <f t="shared" si="190"/>
        <v>9.5856418381796621E-2</v>
      </c>
      <c r="AC2432" s="1" t="b">
        <f t="shared" si="191"/>
        <v>1</v>
      </c>
    </row>
    <row r="2433" spans="1:29" x14ac:dyDescent="0.25">
      <c r="A2433" s="1">
        <v>1044.117</v>
      </c>
      <c r="B2433">
        <v>3</v>
      </c>
      <c r="D2433" s="2">
        <v>95774.7</v>
      </c>
      <c r="E2433">
        <v>14558</v>
      </c>
      <c r="F2433" t="s">
        <v>15</v>
      </c>
      <c r="G2433" t="s">
        <v>16</v>
      </c>
      <c r="H2433">
        <v>110333</v>
      </c>
      <c r="I2433" t="s">
        <v>17</v>
      </c>
      <c r="J2433" t="s">
        <v>18</v>
      </c>
      <c r="K2433">
        <v>14558.82</v>
      </c>
      <c r="L2433">
        <v>110333.5</v>
      </c>
      <c r="M2433">
        <v>25</v>
      </c>
      <c r="Y2433" s="1">
        <f t="shared" si="187"/>
        <v>1044.117</v>
      </c>
      <c r="Z2433" s="2">
        <f t="shared" si="188"/>
        <v>95774.7</v>
      </c>
      <c r="AA2433" s="2">
        <f t="shared" si="189"/>
        <v>95774.707240663643</v>
      </c>
      <c r="AB2433" s="1">
        <f t="shared" si="190"/>
        <v>9.5863972735174149E-2</v>
      </c>
      <c r="AC2433" s="1" t="b">
        <f t="shared" si="191"/>
        <v>1</v>
      </c>
    </row>
    <row r="2434" spans="1:29" x14ac:dyDescent="0.25">
      <c r="A2434" s="1">
        <v>1044.029</v>
      </c>
      <c r="B2434">
        <v>500</v>
      </c>
      <c r="D2434" s="2">
        <v>95782.8</v>
      </c>
      <c r="E2434">
        <v>17113</v>
      </c>
      <c r="F2434" t="s">
        <v>15</v>
      </c>
      <c r="G2434" t="s">
        <v>50</v>
      </c>
      <c r="H2434">
        <v>112896</v>
      </c>
      <c r="I2434" t="s">
        <v>17</v>
      </c>
      <c r="J2434" t="s">
        <v>57</v>
      </c>
      <c r="K2434">
        <v>17113.189999999999</v>
      </c>
      <c r="L2434">
        <v>112896.3</v>
      </c>
      <c r="M2434">
        <v>25</v>
      </c>
      <c r="Y2434" s="1">
        <f t="shared" si="187"/>
        <v>1044.029</v>
      </c>
      <c r="Z2434" s="2">
        <f t="shared" si="188"/>
        <v>95782.8</v>
      </c>
      <c r="AA2434" s="2">
        <f t="shared" si="189"/>
        <v>95782.779980249587</v>
      </c>
      <c r="AB2434" s="1">
        <f t="shared" si="190"/>
        <v>9.5871704703724497E-2</v>
      </c>
      <c r="AC2434" s="1" t="b">
        <f t="shared" si="191"/>
        <v>1</v>
      </c>
    </row>
    <row r="2435" spans="1:29" x14ac:dyDescent="0.25">
      <c r="A2435" s="1">
        <v>1043.97</v>
      </c>
      <c r="B2435">
        <v>3</v>
      </c>
      <c r="D2435" s="2">
        <v>95788.2</v>
      </c>
      <c r="E2435">
        <v>21535</v>
      </c>
      <c r="F2435" t="s">
        <v>15</v>
      </c>
      <c r="G2435" t="s">
        <v>16</v>
      </c>
      <c r="H2435">
        <v>117323</v>
      </c>
      <c r="I2435" t="s">
        <v>17</v>
      </c>
      <c r="J2435" t="s">
        <v>23</v>
      </c>
      <c r="K2435">
        <v>21535.17</v>
      </c>
      <c r="L2435">
        <v>117323.1</v>
      </c>
      <c r="M2435">
        <v>25</v>
      </c>
      <c r="Y2435" s="1">
        <f t="shared" ref="Y2435:Y2498" si="192">ROUND($A2435,3)+0</f>
        <v>1043.97</v>
      </c>
      <c r="Z2435" s="2">
        <f t="shared" ref="Z2435:Z2498" si="193">ROUND($D2435,1)+0</f>
        <v>95788.2</v>
      </c>
      <c r="AA2435" s="2">
        <f t="shared" ref="AA2435:AA2498" si="194">100000000/Y2435</f>
        <v>95788.193147312661</v>
      </c>
      <c r="AB2435" s="1">
        <f t="shared" ref="AB2435:AB2498" si="195">0.0005/$Y2435*AA2435+0.05</f>
        <v>9.5876889732134374E-2</v>
      </c>
      <c r="AC2435" s="1" t="b">
        <f t="shared" ref="AC2435:AC2498" si="196">ABS(Z2435-AA2435)&lt;AB2435</f>
        <v>1</v>
      </c>
    </row>
    <row r="2436" spans="1:29" x14ac:dyDescent="0.25">
      <c r="A2436" s="1">
        <v>1043.8530000000001</v>
      </c>
      <c r="B2436">
        <v>50</v>
      </c>
      <c r="D2436" s="2">
        <v>95798.9</v>
      </c>
      <c r="E2436">
        <v>19700</v>
      </c>
      <c r="F2436" t="s">
        <v>15</v>
      </c>
      <c r="G2436" t="s">
        <v>23</v>
      </c>
      <c r="H2436">
        <v>115499</v>
      </c>
      <c r="I2436" t="s">
        <v>17</v>
      </c>
      <c r="J2436" t="s">
        <v>16</v>
      </c>
      <c r="K2436">
        <v>19700.900000000001</v>
      </c>
      <c r="L2436">
        <v>115499.8</v>
      </c>
      <c r="M2436">
        <v>25</v>
      </c>
      <c r="Y2436" s="1">
        <f t="shared" si="192"/>
        <v>1043.8530000000001</v>
      </c>
      <c r="Z2436" s="2">
        <f t="shared" si="193"/>
        <v>95798.9</v>
      </c>
      <c r="AA2436" s="2">
        <f t="shared" si="194"/>
        <v>95798.929542761281</v>
      </c>
      <c r="AB2436" s="1">
        <f t="shared" si="195"/>
        <v>9.5887174507694711E-2</v>
      </c>
      <c r="AC2436" s="1" t="b">
        <f t="shared" si="196"/>
        <v>1</v>
      </c>
    </row>
    <row r="2437" spans="1:29" x14ac:dyDescent="0.25">
      <c r="A2437" s="1">
        <v>1043.797</v>
      </c>
      <c r="B2437">
        <v>500</v>
      </c>
      <c r="D2437" s="2">
        <v>95804.1</v>
      </c>
      <c r="E2437">
        <v>18921</v>
      </c>
      <c r="F2437" t="s">
        <v>15</v>
      </c>
      <c r="G2437" t="s">
        <v>57</v>
      </c>
      <c r="H2437">
        <v>114725</v>
      </c>
      <c r="I2437" t="s">
        <v>17</v>
      </c>
      <c r="J2437" t="s">
        <v>528</v>
      </c>
      <c r="K2437">
        <v>18921.240000000002</v>
      </c>
      <c r="L2437">
        <v>114725.6</v>
      </c>
      <c r="M2437">
        <v>25</v>
      </c>
      <c r="Y2437" s="1">
        <f t="shared" si="192"/>
        <v>1043.797</v>
      </c>
      <c r="Z2437" s="2">
        <f t="shared" si="193"/>
        <v>95804.1</v>
      </c>
      <c r="AA2437" s="2">
        <f t="shared" si="194"/>
        <v>95804.069182034436</v>
      </c>
      <c r="AB2437" s="1">
        <f t="shared" si="195"/>
        <v>9.5892098359180195E-2</v>
      </c>
      <c r="AC2437" s="1" t="b">
        <f t="shared" si="196"/>
        <v>1</v>
      </c>
    </row>
    <row r="2438" spans="1:29" x14ac:dyDescent="0.25">
      <c r="A2438" s="1">
        <v>1043.6389999999999</v>
      </c>
      <c r="B2438">
        <v>10</v>
      </c>
      <c r="D2438" s="2">
        <v>95818.6</v>
      </c>
      <c r="E2438">
        <v>21755</v>
      </c>
      <c r="F2438" t="s">
        <v>15</v>
      </c>
      <c r="G2438" t="s">
        <v>23</v>
      </c>
      <c r="H2438">
        <v>117574</v>
      </c>
      <c r="I2438" t="s">
        <v>17</v>
      </c>
      <c r="J2438" t="s">
        <v>23</v>
      </c>
      <c r="K2438">
        <v>21755.84</v>
      </c>
      <c r="L2438">
        <v>117574.5</v>
      </c>
      <c r="M2438">
        <v>25</v>
      </c>
      <c r="Y2438" s="1">
        <f t="shared" si="192"/>
        <v>1043.6389999999999</v>
      </c>
      <c r="Z2438" s="2">
        <f t="shared" si="193"/>
        <v>95818.6</v>
      </c>
      <c r="AA2438" s="2">
        <f t="shared" si="194"/>
        <v>95818.573280607583</v>
      </c>
      <c r="AB2438" s="1">
        <f t="shared" si="195"/>
        <v>9.5905994927655835E-2</v>
      </c>
      <c r="AC2438" s="1" t="b">
        <f t="shared" si="196"/>
        <v>1</v>
      </c>
    </row>
    <row r="2439" spans="1:29" x14ac:dyDescent="0.25">
      <c r="A2439" s="1">
        <v>1043.501</v>
      </c>
      <c r="B2439">
        <v>50</v>
      </c>
      <c r="D2439" s="2">
        <v>95831.2</v>
      </c>
      <c r="M2439">
        <v>25</v>
      </c>
      <c r="Y2439" s="1">
        <f t="shared" si="192"/>
        <v>1043.501</v>
      </c>
      <c r="Z2439" s="2">
        <f t="shared" si="193"/>
        <v>95831.2</v>
      </c>
      <c r="AA2439" s="2">
        <f t="shared" si="194"/>
        <v>95831.245010785802</v>
      </c>
      <c r="AB2439" s="1">
        <f t="shared" si="195"/>
        <v>9.5918137601586295E-2</v>
      </c>
      <c r="AC2439" s="1" t="b">
        <f t="shared" si="196"/>
        <v>1</v>
      </c>
    </row>
    <row r="2440" spans="1:29" x14ac:dyDescent="0.25">
      <c r="A2440" s="1">
        <v>1043.2940000000001</v>
      </c>
      <c r="B2440">
        <v>5</v>
      </c>
      <c r="D2440" s="2">
        <v>95850.2</v>
      </c>
      <c r="M2440">
        <v>25</v>
      </c>
      <c r="Y2440" s="1">
        <f t="shared" si="192"/>
        <v>1043.2940000000001</v>
      </c>
      <c r="Z2440" s="2">
        <f t="shared" si="193"/>
        <v>95850.2</v>
      </c>
      <c r="AA2440" s="2">
        <f t="shared" si="194"/>
        <v>95850.258891549252</v>
      </c>
      <c r="AB2440" s="1">
        <f t="shared" si="195"/>
        <v>9.5936360647885077E-2</v>
      </c>
      <c r="AC2440" s="1" t="b">
        <f t="shared" si="196"/>
        <v>1</v>
      </c>
    </row>
    <row r="2441" spans="1:29" x14ac:dyDescent="0.25">
      <c r="A2441" s="1">
        <v>1043.223</v>
      </c>
      <c r="B2441">
        <v>200</v>
      </c>
      <c r="D2441" s="2">
        <v>95856.8</v>
      </c>
      <c r="E2441">
        <v>16135</v>
      </c>
      <c r="F2441" t="s">
        <v>15</v>
      </c>
      <c r="G2441" t="s">
        <v>18</v>
      </c>
      <c r="H2441">
        <v>111993</v>
      </c>
      <c r="I2441" t="s">
        <v>17</v>
      </c>
      <c r="J2441" t="s">
        <v>16</v>
      </c>
      <c r="K2441">
        <v>16135.97</v>
      </c>
      <c r="L2441">
        <v>111993</v>
      </c>
      <c r="M2441">
        <v>25</v>
      </c>
      <c r="Y2441" s="1">
        <f t="shared" si="192"/>
        <v>1043.223</v>
      </c>
      <c r="Z2441" s="2">
        <f t="shared" si="193"/>
        <v>95856.8</v>
      </c>
      <c r="AA2441" s="2">
        <f t="shared" si="194"/>
        <v>95856.782298703154</v>
      </c>
      <c r="AB2441" s="1">
        <f t="shared" si="195"/>
        <v>9.5942613563304857E-2</v>
      </c>
      <c r="AC2441" s="1" t="b">
        <f t="shared" si="196"/>
        <v>1</v>
      </c>
    </row>
    <row r="2442" spans="1:29" x14ac:dyDescent="0.25">
      <c r="A2442" s="1">
        <v>1043.1099999999999</v>
      </c>
      <c r="B2442">
        <v>10</v>
      </c>
      <c r="D2442" s="2">
        <v>95867.199999999997</v>
      </c>
      <c r="M2442">
        <v>25</v>
      </c>
      <c r="Y2442" s="1">
        <f t="shared" si="192"/>
        <v>1043.1099999999999</v>
      </c>
      <c r="Z2442" s="2">
        <f t="shared" si="193"/>
        <v>95867.199999999997</v>
      </c>
      <c r="AA2442" s="2">
        <f t="shared" si="194"/>
        <v>95867.166454161124</v>
      </c>
      <c r="AB2442" s="1">
        <f t="shared" si="195"/>
        <v>9.595256801974919E-2</v>
      </c>
      <c r="AC2442" s="1" t="b">
        <f t="shared" si="196"/>
        <v>1</v>
      </c>
    </row>
    <row r="2443" spans="1:29" x14ac:dyDescent="0.25">
      <c r="A2443" s="1">
        <v>1042.9639999999999</v>
      </c>
      <c r="B2443">
        <v>1000</v>
      </c>
      <c r="D2443" s="2">
        <v>95880.6</v>
      </c>
      <c r="E2443">
        <v>15454</v>
      </c>
      <c r="F2443" t="s">
        <v>15</v>
      </c>
      <c r="G2443" t="s">
        <v>50</v>
      </c>
      <c r="H2443">
        <v>111335</v>
      </c>
      <c r="I2443" t="s">
        <v>17</v>
      </c>
      <c r="J2443" t="s">
        <v>57</v>
      </c>
      <c r="K2443">
        <v>15454.16</v>
      </c>
      <c r="L2443">
        <v>111335.1</v>
      </c>
      <c r="M2443">
        <v>25</v>
      </c>
      <c r="Y2443" s="1">
        <f t="shared" si="192"/>
        <v>1042.9639999999999</v>
      </c>
      <c r="Z2443" s="2">
        <f t="shared" si="193"/>
        <v>95880.6</v>
      </c>
      <c r="AA2443" s="2">
        <f t="shared" si="194"/>
        <v>95880.586482371407</v>
      </c>
      <c r="AB2443" s="1">
        <f t="shared" si="195"/>
        <v>9.5965434321017506E-2</v>
      </c>
      <c r="AC2443" s="1" t="b">
        <f t="shared" si="196"/>
        <v>1</v>
      </c>
    </row>
    <row r="2444" spans="1:29" x14ac:dyDescent="0.25">
      <c r="A2444" s="1">
        <v>1042.819</v>
      </c>
      <c r="B2444">
        <v>10</v>
      </c>
      <c r="D2444" s="2">
        <v>95893.9</v>
      </c>
      <c r="M2444">
        <v>25</v>
      </c>
      <c r="Y2444" s="1">
        <f t="shared" si="192"/>
        <v>1042.819</v>
      </c>
      <c r="Z2444" s="2">
        <f t="shared" si="193"/>
        <v>95893.9</v>
      </c>
      <c r="AA2444" s="2">
        <f t="shared" si="194"/>
        <v>95893.918311806745</v>
      </c>
      <c r="AB2444" s="1">
        <f t="shared" si="195"/>
        <v>9.5978217845957337E-2</v>
      </c>
      <c r="AC2444" s="1" t="b">
        <f t="shared" si="196"/>
        <v>1</v>
      </c>
    </row>
    <row r="2445" spans="1:29" x14ac:dyDescent="0.25">
      <c r="A2445" s="1">
        <v>1042.6510000000001</v>
      </c>
      <c r="B2445">
        <v>7</v>
      </c>
      <c r="D2445" s="2">
        <v>95909.4</v>
      </c>
      <c r="M2445">
        <v>25</v>
      </c>
      <c r="Y2445" s="1">
        <f t="shared" si="192"/>
        <v>1042.6510000000001</v>
      </c>
      <c r="Z2445" s="2">
        <f t="shared" si="193"/>
        <v>95909.4</v>
      </c>
      <c r="AA2445" s="2">
        <f t="shared" si="194"/>
        <v>95909.369482214082</v>
      </c>
      <c r="AB2445" s="1">
        <f t="shared" si="195"/>
        <v>9.599303577237929E-2</v>
      </c>
      <c r="AC2445" s="1" t="b">
        <f t="shared" si="196"/>
        <v>1</v>
      </c>
    </row>
    <row r="2446" spans="1:29" x14ac:dyDescent="0.25">
      <c r="A2446" s="1">
        <v>1042.4780000000001</v>
      </c>
      <c r="B2446">
        <v>100</v>
      </c>
      <c r="D2446" s="2">
        <v>95925.3</v>
      </c>
      <c r="E2446">
        <v>32288</v>
      </c>
      <c r="F2446" t="s">
        <v>15</v>
      </c>
      <c r="G2446" t="s">
        <v>29</v>
      </c>
      <c r="H2446">
        <v>128214</v>
      </c>
      <c r="I2446" t="s">
        <v>17</v>
      </c>
      <c r="J2446" t="s">
        <v>29</v>
      </c>
      <c r="K2446">
        <v>32288.92</v>
      </c>
      <c r="L2446">
        <v>128214.2</v>
      </c>
      <c r="M2446">
        <v>25</v>
      </c>
      <c r="Y2446" s="1">
        <f t="shared" si="192"/>
        <v>1042.4780000000001</v>
      </c>
      <c r="Z2446" s="2">
        <f t="shared" si="193"/>
        <v>95925.3</v>
      </c>
      <c r="AA2446" s="2">
        <f t="shared" si="194"/>
        <v>95925.285713463498</v>
      </c>
      <c r="AB2446" s="1">
        <f t="shared" si="195"/>
        <v>9.6008302196048029E-2</v>
      </c>
      <c r="AC2446" s="1" t="b">
        <f t="shared" si="196"/>
        <v>1</v>
      </c>
    </row>
    <row r="2447" spans="1:29" x14ac:dyDescent="0.25">
      <c r="A2447" s="1">
        <v>1042.306</v>
      </c>
      <c r="B2447">
        <v>2</v>
      </c>
      <c r="D2447" s="2">
        <v>95941.1</v>
      </c>
      <c r="E2447">
        <v>22527</v>
      </c>
      <c r="F2447" t="s">
        <v>15</v>
      </c>
      <c r="G2447" t="s">
        <v>18</v>
      </c>
      <c r="H2447">
        <v>118468</v>
      </c>
      <c r="I2447" t="s">
        <v>17</v>
      </c>
      <c r="J2447" t="s">
        <v>16</v>
      </c>
      <c r="K2447">
        <v>22527.7</v>
      </c>
      <c r="L2447">
        <v>118468.8</v>
      </c>
      <c r="M2447">
        <v>25</v>
      </c>
      <c r="Y2447" s="1">
        <f t="shared" si="192"/>
        <v>1042.306</v>
      </c>
      <c r="Z2447" s="2">
        <f t="shared" si="193"/>
        <v>95941.1</v>
      </c>
      <c r="AA2447" s="2">
        <f t="shared" si="194"/>
        <v>95941.115181146422</v>
      </c>
      <c r="AB2447" s="1">
        <f t="shared" si="195"/>
        <v>9.6023487911010022E-2</v>
      </c>
      <c r="AC2447" s="1" t="b">
        <f t="shared" si="196"/>
        <v>1</v>
      </c>
    </row>
    <row r="2448" spans="1:29" x14ac:dyDescent="0.25">
      <c r="A2448" s="1">
        <v>1042.25</v>
      </c>
      <c r="B2448">
        <v>20</v>
      </c>
      <c r="D2448" s="2">
        <v>95946.3</v>
      </c>
      <c r="M2448">
        <v>25</v>
      </c>
      <c r="Y2448" s="1">
        <f t="shared" si="192"/>
        <v>1042.25</v>
      </c>
      <c r="Z2448" s="2">
        <f t="shared" si="193"/>
        <v>95946.3</v>
      </c>
      <c r="AA2448" s="2">
        <f t="shared" si="194"/>
        <v>95946.270088750302</v>
      </c>
      <c r="AB2448" s="1">
        <f t="shared" si="195"/>
        <v>9.6028433719717116E-2</v>
      </c>
      <c r="AC2448" s="1" t="b">
        <f t="shared" si="196"/>
        <v>1</v>
      </c>
    </row>
    <row r="2449" spans="1:29" x14ac:dyDescent="0.25">
      <c r="A2449" s="1">
        <v>1042.0309999999999</v>
      </c>
      <c r="B2449">
        <v>3</v>
      </c>
      <c r="D2449" s="2">
        <v>95966.399999999994</v>
      </c>
      <c r="M2449">
        <v>25</v>
      </c>
      <c r="Y2449" s="1">
        <f t="shared" si="192"/>
        <v>1042.0309999999999</v>
      </c>
      <c r="Z2449" s="2">
        <f t="shared" si="193"/>
        <v>95966.399999999994</v>
      </c>
      <c r="AA2449" s="2">
        <f t="shared" si="194"/>
        <v>95966.434779771429</v>
      </c>
      <c r="AB2449" s="1">
        <f t="shared" si="195"/>
        <v>9.6047783021700611E-2</v>
      </c>
      <c r="AC2449" s="1" t="b">
        <f t="shared" si="196"/>
        <v>1</v>
      </c>
    </row>
    <row r="2450" spans="1:29" x14ac:dyDescent="0.25">
      <c r="A2450" s="1">
        <v>1041.963</v>
      </c>
      <c r="B2450">
        <v>60</v>
      </c>
      <c r="D2450" s="2">
        <v>95972.7</v>
      </c>
      <c r="E2450">
        <v>25409</v>
      </c>
      <c r="F2450" t="s">
        <v>15</v>
      </c>
      <c r="G2450" t="s">
        <v>18</v>
      </c>
      <c r="H2450">
        <v>121382</v>
      </c>
      <c r="I2450" t="s">
        <v>17</v>
      </c>
      <c r="J2450" t="s">
        <v>16</v>
      </c>
      <c r="K2450">
        <v>25409.74</v>
      </c>
      <c r="L2450">
        <v>121382.6</v>
      </c>
      <c r="M2450">
        <v>25</v>
      </c>
      <c r="Y2450" s="1">
        <f t="shared" si="192"/>
        <v>1041.963</v>
      </c>
      <c r="Z2450" s="2">
        <f t="shared" si="193"/>
        <v>95972.7</v>
      </c>
      <c r="AA2450" s="2">
        <f t="shared" si="194"/>
        <v>95972.697686962012</v>
      </c>
      <c r="AB2450" s="1">
        <f t="shared" si="195"/>
        <v>9.6053793506565024E-2</v>
      </c>
      <c r="AC2450" s="1" t="b">
        <f t="shared" si="196"/>
        <v>1</v>
      </c>
    </row>
    <row r="2451" spans="1:29" x14ac:dyDescent="0.25">
      <c r="A2451" s="1">
        <v>1041.8720000000001</v>
      </c>
      <c r="B2451">
        <v>100</v>
      </c>
      <c r="D2451" s="2">
        <v>95981.1</v>
      </c>
      <c r="M2451">
        <v>25</v>
      </c>
      <c r="Y2451" s="1">
        <f t="shared" si="192"/>
        <v>1041.8720000000001</v>
      </c>
      <c r="Z2451" s="2">
        <f t="shared" si="193"/>
        <v>95981.1</v>
      </c>
      <c r="AA2451" s="2">
        <f t="shared" si="194"/>
        <v>95981.080209469103</v>
      </c>
      <c r="AB2451" s="1">
        <f t="shared" si="195"/>
        <v>9.6061838790882703E-2</v>
      </c>
      <c r="AC2451" s="1" t="b">
        <f t="shared" si="196"/>
        <v>1</v>
      </c>
    </row>
    <row r="2452" spans="1:29" x14ac:dyDescent="0.25">
      <c r="A2452" s="1">
        <v>1041.74</v>
      </c>
      <c r="B2452">
        <v>100</v>
      </c>
      <c r="D2452" s="2">
        <v>95993.2</v>
      </c>
      <c r="E2452">
        <v>20315</v>
      </c>
      <c r="F2452" t="s">
        <v>15</v>
      </c>
      <c r="G2452" t="s">
        <v>16</v>
      </c>
      <c r="H2452">
        <v>116309</v>
      </c>
      <c r="I2452" t="s">
        <v>17</v>
      </c>
      <c r="J2452" t="s">
        <v>23</v>
      </c>
      <c r="K2452">
        <v>20315.650000000001</v>
      </c>
      <c r="L2452">
        <v>116309.2</v>
      </c>
      <c r="M2452">
        <v>25</v>
      </c>
      <c r="Y2452" s="1">
        <f t="shared" si="192"/>
        <v>1041.74</v>
      </c>
      <c r="Z2452" s="2">
        <f t="shared" si="193"/>
        <v>95993.2</v>
      </c>
      <c r="AA2452" s="2">
        <f t="shared" si="194"/>
        <v>95993.242075757866</v>
      </c>
      <c r="AB2452" s="1">
        <f t="shared" si="195"/>
        <v>9.6073512621075247E-2</v>
      </c>
      <c r="AC2452" s="1" t="b">
        <f t="shared" si="196"/>
        <v>1</v>
      </c>
    </row>
    <row r="2453" spans="1:29" x14ac:dyDescent="0.25">
      <c r="A2453" s="1">
        <v>1041.625</v>
      </c>
      <c r="B2453">
        <v>100</v>
      </c>
      <c r="D2453" s="2">
        <v>96003.8</v>
      </c>
      <c r="E2453">
        <v>17627</v>
      </c>
      <c r="F2453" t="s">
        <v>15</v>
      </c>
      <c r="G2453" t="s">
        <v>16</v>
      </c>
      <c r="H2453">
        <v>113630</v>
      </c>
      <c r="I2453" t="s">
        <v>17</v>
      </c>
      <c r="J2453" t="s">
        <v>18</v>
      </c>
      <c r="K2453">
        <v>17627</v>
      </c>
      <c r="L2453">
        <v>113630.9</v>
      </c>
      <c r="M2453">
        <v>25</v>
      </c>
      <c r="Y2453" s="1">
        <f t="shared" si="192"/>
        <v>1041.625</v>
      </c>
      <c r="Z2453" s="2">
        <f t="shared" si="193"/>
        <v>96003.8</v>
      </c>
      <c r="AA2453" s="2">
        <f t="shared" si="194"/>
        <v>96003.840153606143</v>
      </c>
      <c r="AB2453" s="1">
        <f t="shared" si="195"/>
        <v>9.6083686621195805E-2</v>
      </c>
      <c r="AC2453" s="1" t="b">
        <f t="shared" si="196"/>
        <v>1</v>
      </c>
    </row>
    <row r="2454" spans="1:29" x14ac:dyDescent="0.25">
      <c r="A2454" s="1">
        <v>1041.5630000000001</v>
      </c>
      <c r="B2454">
        <v>20</v>
      </c>
      <c r="D2454" s="2">
        <v>96009.600000000006</v>
      </c>
      <c r="E2454">
        <v>21238</v>
      </c>
      <c r="F2454" t="s">
        <v>15</v>
      </c>
      <c r="G2454" t="s">
        <v>50</v>
      </c>
      <c r="H2454">
        <v>117248</v>
      </c>
      <c r="I2454" t="s">
        <v>17</v>
      </c>
      <c r="J2454" t="s">
        <v>50</v>
      </c>
      <c r="K2454">
        <v>21238.78</v>
      </c>
      <c r="L2454">
        <v>117248.2</v>
      </c>
      <c r="M2454">
        <v>25</v>
      </c>
      <c r="Y2454" s="1">
        <f t="shared" si="192"/>
        <v>1041.5630000000001</v>
      </c>
      <c r="Z2454" s="2">
        <f t="shared" si="193"/>
        <v>96009.600000000006</v>
      </c>
      <c r="AA2454" s="2">
        <f t="shared" si="194"/>
        <v>96009.554870900742</v>
      </c>
      <c r="AB2454" s="1">
        <f t="shared" si="195"/>
        <v>9.6089173132542505E-2</v>
      </c>
      <c r="AC2454" s="1" t="b">
        <f t="shared" si="196"/>
        <v>1</v>
      </c>
    </row>
    <row r="2455" spans="1:29" x14ac:dyDescent="0.25">
      <c r="A2455" s="1">
        <v>1041.4590000000001</v>
      </c>
      <c r="B2455">
        <v>400</v>
      </c>
      <c r="D2455" s="2">
        <v>96019.1</v>
      </c>
      <c r="E2455">
        <v>21755</v>
      </c>
      <c r="F2455" t="s">
        <v>15</v>
      </c>
      <c r="G2455" t="s">
        <v>23</v>
      </c>
      <c r="H2455">
        <v>117775</v>
      </c>
      <c r="I2455" t="s">
        <v>17</v>
      </c>
      <c r="J2455" t="s">
        <v>50</v>
      </c>
      <c r="K2455">
        <v>21755.84</v>
      </c>
      <c r="L2455">
        <v>117775.3</v>
      </c>
      <c r="M2455">
        <v>25</v>
      </c>
      <c r="Y2455" s="1">
        <f t="shared" si="192"/>
        <v>1041.4590000000001</v>
      </c>
      <c r="Z2455" s="2">
        <f t="shared" si="193"/>
        <v>96019.1</v>
      </c>
      <c r="AA2455" s="2">
        <f t="shared" si="194"/>
        <v>96019.142376224117</v>
      </c>
      <c r="AB2455" s="1">
        <f t="shared" si="195"/>
        <v>9.6098378513328003E-2</v>
      </c>
      <c r="AC2455" s="1" t="b">
        <f t="shared" si="196"/>
        <v>1</v>
      </c>
    </row>
    <row r="2456" spans="1:29" x14ac:dyDescent="0.25">
      <c r="A2456" s="1">
        <v>1041.26</v>
      </c>
      <c r="B2456">
        <v>200</v>
      </c>
      <c r="D2456" s="2">
        <v>96037.5</v>
      </c>
      <c r="E2456">
        <v>17627</v>
      </c>
      <c r="F2456" t="s">
        <v>15</v>
      </c>
      <c r="G2456" t="s">
        <v>16</v>
      </c>
      <c r="H2456">
        <v>113664</v>
      </c>
      <c r="I2456" t="s">
        <v>17</v>
      </c>
      <c r="J2456" t="s">
        <v>23</v>
      </c>
      <c r="K2456">
        <v>17627</v>
      </c>
      <c r="L2456">
        <v>113664.3</v>
      </c>
      <c r="M2456">
        <v>25</v>
      </c>
      <c r="Y2456" s="1">
        <f t="shared" si="192"/>
        <v>1041.26</v>
      </c>
      <c r="Z2456" s="2">
        <f t="shared" si="193"/>
        <v>96037.5</v>
      </c>
      <c r="AA2456" s="2">
        <f t="shared" si="194"/>
        <v>96037.493037281762</v>
      </c>
      <c r="AB2456" s="1">
        <f t="shared" si="195"/>
        <v>9.6116000344429714E-2</v>
      </c>
      <c r="AC2456" s="1" t="b">
        <f t="shared" si="196"/>
        <v>1</v>
      </c>
    </row>
    <row r="2457" spans="1:29" x14ac:dyDescent="0.25">
      <c r="A2457" s="1">
        <v>1041.2049999999999</v>
      </c>
      <c r="B2457">
        <v>20</v>
      </c>
      <c r="D2457" s="2">
        <v>96042.6</v>
      </c>
      <c r="E2457">
        <v>19360</v>
      </c>
      <c r="F2457" t="s">
        <v>15</v>
      </c>
      <c r="G2457" t="s">
        <v>50</v>
      </c>
      <c r="H2457">
        <v>115403</v>
      </c>
      <c r="I2457" t="s">
        <v>17</v>
      </c>
      <c r="J2457" t="s">
        <v>23</v>
      </c>
      <c r="K2457">
        <v>19360.099999999999</v>
      </c>
      <c r="L2457">
        <v>115403.3</v>
      </c>
      <c r="M2457">
        <v>25</v>
      </c>
      <c r="Y2457" s="1">
        <f t="shared" si="192"/>
        <v>1041.2049999999999</v>
      </c>
      <c r="Z2457" s="2">
        <f t="shared" si="193"/>
        <v>96042.6</v>
      </c>
      <c r="AA2457" s="2">
        <f t="shared" si="194"/>
        <v>96042.566065280145</v>
      </c>
      <c r="AB2457" s="1">
        <f t="shared" si="195"/>
        <v>9.6120872482018505E-2</v>
      </c>
      <c r="AC2457" s="1" t="b">
        <f t="shared" si="196"/>
        <v>1</v>
      </c>
    </row>
    <row r="2458" spans="1:29" x14ac:dyDescent="0.25">
      <c r="A2458" s="1">
        <v>1041.145</v>
      </c>
      <c r="B2458">
        <v>100</v>
      </c>
      <c r="D2458" s="2">
        <v>96048.1</v>
      </c>
      <c r="E2458">
        <v>19360</v>
      </c>
      <c r="F2458" t="s">
        <v>15</v>
      </c>
      <c r="G2458" t="s">
        <v>50</v>
      </c>
      <c r="H2458">
        <v>115408</v>
      </c>
      <c r="I2458" t="s">
        <v>17</v>
      </c>
      <c r="J2458" t="s">
        <v>50</v>
      </c>
      <c r="K2458">
        <v>19360.099999999999</v>
      </c>
      <c r="L2458">
        <v>115408.4</v>
      </c>
      <c r="M2458">
        <v>25</v>
      </c>
      <c r="Y2458" s="1">
        <f t="shared" si="192"/>
        <v>1041.145</v>
      </c>
      <c r="Z2458" s="2">
        <f t="shared" si="193"/>
        <v>96048.1</v>
      </c>
      <c r="AA2458" s="2">
        <f t="shared" si="194"/>
        <v>96048.100888925183</v>
      </c>
      <c r="AB2458" s="1">
        <f t="shared" si="195"/>
        <v>9.6126188421845754E-2</v>
      </c>
      <c r="AC2458" s="1" t="b">
        <f t="shared" si="196"/>
        <v>1</v>
      </c>
    </row>
    <row r="2459" spans="1:29" x14ac:dyDescent="0.25">
      <c r="A2459" s="1">
        <v>1041.002</v>
      </c>
      <c r="B2459">
        <v>60</v>
      </c>
      <c r="D2459" s="2">
        <v>96061.3</v>
      </c>
      <c r="E2459">
        <v>25033</v>
      </c>
      <c r="F2459" t="s">
        <v>15</v>
      </c>
      <c r="G2459" t="s">
        <v>16</v>
      </c>
      <c r="H2459">
        <v>121095</v>
      </c>
      <c r="I2459" t="s">
        <v>17</v>
      </c>
      <c r="J2459" t="s">
        <v>23</v>
      </c>
      <c r="K2459">
        <v>25033.91</v>
      </c>
      <c r="L2459">
        <v>121095.2</v>
      </c>
      <c r="M2459">
        <v>25</v>
      </c>
      <c r="Y2459" s="1">
        <f t="shared" si="192"/>
        <v>1041.002</v>
      </c>
      <c r="Z2459" s="2">
        <f t="shared" si="193"/>
        <v>96061.3</v>
      </c>
      <c r="AA2459" s="2">
        <f t="shared" si="194"/>
        <v>96061.294790980231</v>
      </c>
      <c r="AB2459" s="1">
        <f t="shared" si="195"/>
        <v>9.6138861784598031E-2</v>
      </c>
      <c r="AC2459" s="1" t="b">
        <f t="shared" si="196"/>
        <v>1</v>
      </c>
    </row>
    <row r="2460" spans="1:29" x14ac:dyDescent="0.25">
      <c r="A2460" s="1">
        <v>1040.8489999999999</v>
      </c>
      <c r="B2460">
        <v>10</v>
      </c>
      <c r="D2460" s="2">
        <v>96075.4</v>
      </c>
      <c r="E2460">
        <v>21611</v>
      </c>
      <c r="F2460" t="s">
        <v>15</v>
      </c>
      <c r="G2460" t="s">
        <v>28</v>
      </c>
      <c r="H2460">
        <v>117686</v>
      </c>
      <c r="I2460" t="s">
        <v>17</v>
      </c>
      <c r="J2460" t="s">
        <v>28</v>
      </c>
      <c r="K2460">
        <v>21611.19</v>
      </c>
      <c r="L2460">
        <v>117686.39999999999</v>
      </c>
      <c r="M2460">
        <v>25</v>
      </c>
      <c r="Y2460" s="1">
        <f t="shared" si="192"/>
        <v>1040.8489999999999</v>
      </c>
      <c r="Z2460" s="2">
        <f t="shared" si="193"/>
        <v>96075.4</v>
      </c>
      <c r="AA2460" s="2">
        <f t="shared" si="194"/>
        <v>96075.415358039449</v>
      </c>
      <c r="AB2460" s="1">
        <f t="shared" si="195"/>
        <v>9.6152427181099023E-2</v>
      </c>
      <c r="AC2460" s="1" t="b">
        <f t="shared" si="196"/>
        <v>1</v>
      </c>
    </row>
    <row r="2461" spans="1:29" x14ac:dyDescent="0.25">
      <c r="A2461" s="1">
        <v>1040.646</v>
      </c>
      <c r="B2461">
        <v>50</v>
      </c>
      <c r="D2461" s="2">
        <v>96094.2</v>
      </c>
      <c r="E2461">
        <v>19308</v>
      </c>
      <c r="F2461" t="s">
        <v>15</v>
      </c>
      <c r="G2461" t="s">
        <v>23</v>
      </c>
      <c r="H2461">
        <v>115403</v>
      </c>
      <c r="I2461" t="s">
        <v>17</v>
      </c>
      <c r="J2461" t="s">
        <v>23</v>
      </c>
      <c r="K2461">
        <v>19308.93</v>
      </c>
      <c r="L2461">
        <v>115403.3</v>
      </c>
      <c r="M2461">
        <v>25</v>
      </c>
      <c r="Y2461" s="1">
        <f t="shared" si="192"/>
        <v>1040.646</v>
      </c>
      <c r="Z2461" s="2">
        <f t="shared" si="193"/>
        <v>96094.2</v>
      </c>
      <c r="AA2461" s="2">
        <f t="shared" si="194"/>
        <v>96094.156898695626</v>
      </c>
      <c r="AB2461" s="1">
        <f t="shared" si="195"/>
        <v>9.6170434950355654E-2</v>
      </c>
      <c r="AC2461" s="1" t="b">
        <f t="shared" si="196"/>
        <v>1</v>
      </c>
    </row>
    <row r="2462" spans="1:29" x14ac:dyDescent="0.25">
      <c r="A2462" s="1">
        <v>1040.5909999999999</v>
      </c>
      <c r="B2462">
        <v>100</v>
      </c>
      <c r="D2462" s="2">
        <v>96099.199999999997</v>
      </c>
      <c r="E2462">
        <v>19308</v>
      </c>
      <c r="F2462" t="s">
        <v>15</v>
      </c>
      <c r="G2462" t="s">
        <v>23</v>
      </c>
      <c r="H2462">
        <v>115408</v>
      </c>
      <c r="I2462" t="s">
        <v>17</v>
      </c>
      <c r="J2462" t="s">
        <v>50</v>
      </c>
      <c r="K2462">
        <v>19308.93</v>
      </c>
      <c r="L2462">
        <v>115408.4</v>
      </c>
      <c r="M2462">
        <v>25</v>
      </c>
      <c r="Y2462" s="1">
        <f t="shared" si="192"/>
        <v>1040.5909999999999</v>
      </c>
      <c r="Z2462" s="2">
        <f t="shared" si="193"/>
        <v>96099.199999999997</v>
      </c>
      <c r="AA2462" s="2">
        <f t="shared" si="194"/>
        <v>96099.235914975245</v>
      </c>
      <c r="AB2462" s="1">
        <f t="shared" si="195"/>
        <v>9.6175315717210358E-2</v>
      </c>
      <c r="AC2462" s="1" t="b">
        <f t="shared" si="196"/>
        <v>1</v>
      </c>
    </row>
    <row r="2463" spans="1:29" x14ac:dyDescent="0.25">
      <c r="A2463" s="1">
        <v>1040.4369999999999</v>
      </c>
      <c r="B2463">
        <v>6</v>
      </c>
      <c r="D2463" s="2">
        <v>96113.5</v>
      </c>
      <c r="M2463">
        <v>25</v>
      </c>
      <c r="Y2463" s="1">
        <f t="shared" si="192"/>
        <v>1040.4369999999999</v>
      </c>
      <c r="Z2463" s="2">
        <f t="shared" si="193"/>
        <v>96113.5</v>
      </c>
      <c r="AA2463" s="2">
        <f t="shared" si="194"/>
        <v>96113.460017281206</v>
      </c>
      <c r="AB2463" s="1">
        <f t="shared" si="195"/>
        <v>9.6188985982467556E-2</v>
      </c>
      <c r="AC2463" s="1" t="b">
        <f t="shared" si="196"/>
        <v>1</v>
      </c>
    </row>
    <row r="2464" spans="1:29" x14ac:dyDescent="0.25">
      <c r="A2464" s="1">
        <v>1040.3869999999999</v>
      </c>
      <c r="B2464">
        <v>3</v>
      </c>
      <c r="D2464" s="2">
        <v>96118.1</v>
      </c>
      <c r="M2464">
        <v>25</v>
      </c>
      <c r="Y2464" s="1">
        <f t="shared" si="192"/>
        <v>1040.3869999999999</v>
      </c>
      <c r="Z2464" s="2">
        <f t="shared" si="193"/>
        <v>96118.1</v>
      </c>
      <c r="AA2464" s="2">
        <f t="shared" si="194"/>
        <v>96118.079137859284</v>
      </c>
      <c r="AB2464" s="1">
        <f t="shared" si="195"/>
        <v>9.6193425685758907E-2</v>
      </c>
      <c r="AC2464" s="1" t="b">
        <f t="shared" si="196"/>
        <v>1</v>
      </c>
    </row>
    <row r="2465" spans="1:29" x14ac:dyDescent="0.25">
      <c r="A2465" s="1">
        <v>1040.2470000000001</v>
      </c>
      <c r="B2465">
        <v>20</v>
      </c>
      <c r="D2465" s="2">
        <v>96131</v>
      </c>
      <c r="E2465">
        <v>22747</v>
      </c>
      <c r="F2465" t="s">
        <v>15</v>
      </c>
      <c r="G2465" t="s">
        <v>16</v>
      </c>
      <c r="H2465">
        <v>118879</v>
      </c>
      <c r="I2465" t="s">
        <v>17</v>
      </c>
      <c r="J2465" t="s">
        <v>23</v>
      </c>
      <c r="K2465">
        <v>22747.69</v>
      </c>
      <c r="L2465">
        <v>118879.3</v>
      </c>
      <c r="M2465">
        <v>25</v>
      </c>
      <c r="Y2465" s="1">
        <f t="shared" si="192"/>
        <v>1040.2470000000001</v>
      </c>
      <c r="Z2465" s="2">
        <f t="shared" si="193"/>
        <v>96131</v>
      </c>
      <c r="AA2465" s="2">
        <f t="shared" si="194"/>
        <v>96131.015037774676</v>
      </c>
      <c r="AB2465" s="1">
        <f t="shared" si="195"/>
        <v>9.620586026096431E-2</v>
      </c>
      <c r="AC2465" s="1" t="b">
        <f t="shared" si="196"/>
        <v>1</v>
      </c>
    </row>
    <row r="2466" spans="1:29" x14ac:dyDescent="0.25">
      <c r="A2466" s="1">
        <v>1040.18</v>
      </c>
      <c r="B2466">
        <v>100</v>
      </c>
      <c r="D2466" s="2">
        <v>96137.2</v>
      </c>
      <c r="E2466">
        <v>20315</v>
      </c>
      <c r="F2466" t="s">
        <v>15</v>
      </c>
      <c r="G2466" t="s">
        <v>16</v>
      </c>
      <c r="H2466">
        <v>116453</v>
      </c>
      <c r="I2466" t="s">
        <v>17</v>
      </c>
      <c r="J2466" t="s">
        <v>16</v>
      </c>
      <c r="K2466">
        <v>20315.650000000001</v>
      </c>
      <c r="L2466">
        <v>116453.2</v>
      </c>
      <c r="M2466">
        <v>25</v>
      </c>
      <c r="Y2466" s="1">
        <f t="shared" si="192"/>
        <v>1040.18</v>
      </c>
      <c r="Z2466" s="2">
        <f t="shared" si="193"/>
        <v>96137.2</v>
      </c>
      <c r="AA2466" s="2">
        <f t="shared" si="194"/>
        <v>96137.207021861599</v>
      </c>
      <c r="AB2466" s="1">
        <f t="shared" si="195"/>
        <v>9.6211812869821375E-2</v>
      </c>
      <c r="AC2466" s="1" t="b">
        <f t="shared" si="196"/>
        <v>1</v>
      </c>
    </row>
    <row r="2467" spans="1:29" x14ac:dyDescent="0.25">
      <c r="A2467" s="1">
        <v>1040.1389999999999</v>
      </c>
      <c r="B2467">
        <v>50</v>
      </c>
      <c r="D2467" s="2">
        <v>96141</v>
      </c>
      <c r="M2467">
        <v>25</v>
      </c>
      <c r="Y2467" s="1">
        <f t="shared" si="192"/>
        <v>1040.1389999999999</v>
      </c>
      <c r="Z2467" s="2">
        <f t="shared" si="193"/>
        <v>96141</v>
      </c>
      <c r="AA2467" s="2">
        <f t="shared" si="194"/>
        <v>96140.996539885542</v>
      </c>
      <c r="AB2467" s="1">
        <f t="shared" si="195"/>
        <v>9.6215456078411421E-2</v>
      </c>
      <c r="AC2467" s="1" t="b">
        <f t="shared" si="196"/>
        <v>1</v>
      </c>
    </row>
    <row r="2468" spans="1:29" x14ac:dyDescent="0.25">
      <c r="A2468" s="1">
        <v>1040.0820000000001</v>
      </c>
      <c r="B2468">
        <v>5</v>
      </c>
      <c r="D2468" s="2">
        <v>96146.3</v>
      </c>
      <c r="M2468">
        <v>25</v>
      </c>
      <c r="Y2468" s="1">
        <f t="shared" si="192"/>
        <v>1040.0820000000001</v>
      </c>
      <c r="Z2468" s="2">
        <f t="shared" si="193"/>
        <v>96146.3</v>
      </c>
      <c r="AA2468" s="2">
        <f t="shared" si="194"/>
        <v>96146.265390613422</v>
      </c>
      <c r="AB2468" s="1">
        <f t="shared" si="195"/>
        <v>9.6220521742811344E-2</v>
      </c>
      <c r="AC2468" s="1" t="b">
        <f t="shared" si="196"/>
        <v>1</v>
      </c>
    </row>
    <row r="2469" spans="1:29" x14ac:dyDescent="0.25">
      <c r="A2469" s="1">
        <v>1040.0509999999999</v>
      </c>
      <c r="B2469">
        <v>5</v>
      </c>
      <c r="D2469" s="2">
        <v>96149.1</v>
      </c>
      <c r="E2469">
        <v>19872</v>
      </c>
      <c r="F2469" t="s">
        <v>15</v>
      </c>
      <c r="G2469" t="s">
        <v>18</v>
      </c>
      <c r="H2469">
        <v>116021</v>
      </c>
      <c r="I2469" t="s">
        <v>17</v>
      </c>
      <c r="J2469" t="s">
        <v>18</v>
      </c>
      <c r="K2469">
        <v>19872.43</v>
      </c>
      <c r="L2469">
        <v>116021.8</v>
      </c>
      <c r="M2469">
        <v>25</v>
      </c>
      <c r="Y2469" s="1">
        <f t="shared" si="192"/>
        <v>1040.0509999999999</v>
      </c>
      <c r="Z2469" s="2">
        <f t="shared" si="193"/>
        <v>96149.1</v>
      </c>
      <c r="AA2469" s="2">
        <f t="shared" si="194"/>
        <v>96149.131148376386</v>
      </c>
      <c r="AB2469" s="1">
        <f t="shared" si="195"/>
        <v>9.6223277102938404E-2</v>
      </c>
      <c r="AC2469" s="1" t="b">
        <f t="shared" si="196"/>
        <v>1</v>
      </c>
    </row>
    <row r="2470" spans="1:29" x14ac:dyDescent="0.25">
      <c r="A2470" s="1">
        <v>1039.943</v>
      </c>
      <c r="B2470">
        <v>10</v>
      </c>
      <c r="D2470" s="2">
        <v>96159.1</v>
      </c>
      <c r="M2470">
        <v>25</v>
      </c>
      <c r="Y2470" s="1">
        <f t="shared" si="192"/>
        <v>1039.943</v>
      </c>
      <c r="Z2470" s="2">
        <f t="shared" si="193"/>
        <v>96159.1</v>
      </c>
      <c r="AA2470" s="2">
        <f t="shared" si="194"/>
        <v>96159.1164131111</v>
      </c>
      <c r="AB2470" s="1">
        <f t="shared" si="195"/>
        <v>9.6232878346751274E-2</v>
      </c>
      <c r="AC2470" s="1" t="b">
        <f t="shared" si="196"/>
        <v>1</v>
      </c>
    </row>
    <row r="2471" spans="1:29" x14ac:dyDescent="0.25">
      <c r="A2471" s="1">
        <v>1039.778</v>
      </c>
      <c r="B2471">
        <v>50</v>
      </c>
      <c r="D2471" s="2">
        <v>96174.399999999994</v>
      </c>
      <c r="M2471">
        <v>25</v>
      </c>
      <c r="Y2471" s="1">
        <f t="shared" si="192"/>
        <v>1039.778</v>
      </c>
      <c r="Z2471" s="2">
        <f t="shared" si="193"/>
        <v>96174.399999999994</v>
      </c>
      <c r="AA2471" s="2">
        <f t="shared" si="194"/>
        <v>96174.375684040249</v>
      </c>
      <c r="AB2471" s="1">
        <f t="shared" si="195"/>
        <v>9.6247552691074573E-2</v>
      </c>
      <c r="AC2471" s="1" t="b">
        <f t="shared" si="196"/>
        <v>1</v>
      </c>
    </row>
    <row r="2472" spans="1:29" x14ac:dyDescent="0.25">
      <c r="A2472" s="1">
        <v>1039.3800000000001</v>
      </c>
      <c r="B2472">
        <v>10</v>
      </c>
      <c r="D2472" s="2">
        <v>96211.199999999997</v>
      </c>
      <c r="M2472">
        <v>25</v>
      </c>
      <c r="Y2472" s="1">
        <f t="shared" si="192"/>
        <v>1039.3800000000001</v>
      </c>
      <c r="Z2472" s="2">
        <f t="shared" si="193"/>
        <v>96211.199999999997</v>
      </c>
      <c r="AA2472" s="2">
        <f t="shared" si="194"/>
        <v>96211.202832457799</v>
      </c>
      <c r="AB2472" s="1">
        <f t="shared" si="195"/>
        <v>9.6282977752341681E-2</v>
      </c>
      <c r="AC2472" s="1" t="b">
        <f t="shared" si="196"/>
        <v>1</v>
      </c>
    </row>
    <row r="2473" spans="1:29" x14ac:dyDescent="0.25">
      <c r="A2473" s="1">
        <v>1039.2529999999999</v>
      </c>
      <c r="B2473">
        <v>60</v>
      </c>
      <c r="C2473" t="s">
        <v>122</v>
      </c>
      <c r="D2473" s="2">
        <v>96223</v>
      </c>
      <c r="E2473">
        <v>15045</v>
      </c>
      <c r="F2473" t="s">
        <v>15</v>
      </c>
      <c r="G2473" t="s">
        <v>28</v>
      </c>
      <c r="H2473">
        <v>111268</v>
      </c>
      <c r="I2473" t="s">
        <v>17</v>
      </c>
      <c r="J2473" t="s">
        <v>29</v>
      </c>
      <c r="K2473">
        <v>15045.8</v>
      </c>
      <c r="L2473">
        <v>111268.7</v>
      </c>
      <c r="M2473">
        <v>25</v>
      </c>
      <c r="Y2473" s="1">
        <f t="shared" si="192"/>
        <v>1039.2529999999999</v>
      </c>
      <c r="Z2473" s="2">
        <f t="shared" si="193"/>
        <v>96223</v>
      </c>
      <c r="AA2473" s="2">
        <f t="shared" si="194"/>
        <v>96222.960145412144</v>
      </c>
      <c r="AB2473" s="1">
        <f t="shared" si="195"/>
        <v>9.6294290295727863E-2</v>
      </c>
      <c r="AC2473" s="1" t="b">
        <f t="shared" si="196"/>
        <v>1</v>
      </c>
    </row>
    <row r="2474" spans="1:29" x14ac:dyDescent="0.25">
      <c r="A2474" s="1">
        <v>1039.2</v>
      </c>
      <c r="B2474">
        <v>50</v>
      </c>
      <c r="C2474" t="s">
        <v>122</v>
      </c>
      <c r="D2474" s="2">
        <v>96227.9</v>
      </c>
      <c r="E2474">
        <v>21418</v>
      </c>
      <c r="F2474" t="s">
        <v>15</v>
      </c>
      <c r="G2474" t="s">
        <v>28</v>
      </c>
      <c r="H2474">
        <v>117647</v>
      </c>
      <c r="I2474" t="s">
        <v>17</v>
      </c>
      <c r="J2474" t="s">
        <v>18</v>
      </c>
      <c r="K2474">
        <v>21418.84</v>
      </c>
      <c r="L2474">
        <v>117647.2</v>
      </c>
      <c r="M2474">
        <v>25</v>
      </c>
      <c r="Y2474" s="1">
        <f t="shared" si="192"/>
        <v>1039.2</v>
      </c>
      <c r="Z2474" s="2">
        <f t="shared" si="193"/>
        <v>96227.9</v>
      </c>
      <c r="AA2474" s="2">
        <f t="shared" si="194"/>
        <v>96227.867590454189</v>
      </c>
      <c r="AB2474" s="1">
        <f t="shared" si="195"/>
        <v>9.6299012505029924E-2</v>
      </c>
      <c r="AC2474" s="1" t="b">
        <f t="shared" si="196"/>
        <v>1</v>
      </c>
    </row>
    <row r="2475" spans="1:29" x14ac:dyDescent="0.25">
      <c r="A2475" s="1">
        <v>1039.1559999999999</v>
      </c>
      <c r="B2475">
        <v>100</v>
      </c>
      <c r="C2475" t="s">
        <v>122</v>
      </c>
      <c r="D2475" s="2">
        <v>96231.9</v>
      </c>
      <c r="E2475">
        <v>19700</v>
      </c>
      <c r="F2475" t="s">
        <v>15</v>
      </c>
      <c r="G2475" t="s">
        <v>23</v>
      </c>
      <c r="H2475">
        <v>115933</v>
      </c>
      <c r="I2475" t="s">
        <v>17</v>
      </c>
      <c r="J2475" t="s">
        <v>23</v>
      </c>
      <c r="K2475">
        <v>19700.900000000001</v>
      </c>
      <c r="L2475">
        <v>115933.2</v>
      </c>
      <c r="M2475">
        <v>25</v>
      </c>
      <c r="Y2475" s="1">
        <f t="shared" si="192"/>
        <v>1039.1559999999999</v>
      </c>
      <c r="Z2475" s="2">
        <f t="shared" si="193"/>
        <v>96231.9</v>
      </c>
      <c r="AA2475" s="2">
        <f t="shared" si="194"/>
        <v>96231.942076069434</v>
      </c>
      <c r="AB2475" s="1">
        <f t="shared" si="195"/>
        <v>9.6302933378659916E-2</v>
      </c>
      <c r="AC2475" s="1" t="b">
        <f t="shared" si="196"/>
        <v>1</v>
      </c>
    </row>
    <row r="2476" spans="1:29" x14ac:dyDescent="0.25">
      <c r="A2476" s="1">
        <v>1039.0329999999999</v>
      </c>
      <c r="B2476">
        <v>5</v>
      </c>
      <c r="D2476" s="2">
        <v>96243.3</v>
      </c>
      <c r="M2476">
        <v>25</v>
      </c>
      <c r="Y2476" s="1">
        <f t="shared" si="192"/>
        <v>1039.0329999999999</v>
      </c>
      <c r="Z2476" s="2">
        <f t="shared" si="193"/>
        <v>96243.3</v>
      </c>
      <c r="AA2476" s="2">
        <f t="shared" si="194"/>
        <v>96243.333946082566</v>
      </c>
      <c r="AB2476" s="1">
        <f t="shared" si="195"/>
        <v>9.6313896645285849E-2</v>
      </c>
      <c r="AC2476" s="1" t="b">
        <f t="shared" si="196"/>
        <v>1</v>
      </c>
    </row>
    <row r="2477" spans="1:29" x14ac:dyDescent="0.25">
      <c r="A2477" s="1">
        <v>1038.962</v>
      </c>
      <c r="B2477">
        <v>10</v>
      </c>
      <c r="D2477" s="2">
        <v>96249.9</v>
      </c>
      <c r="E2477">
        <v>14859</v>
      </c>
      <c r="F2477" t="s">
        <v>15</v>
      </c>
      <c r="G2477" t="s">
        <v>23</v>
      </c>
      <c r="H2477">
        <v>111110</v>
      </c>
      <c r="I2477" t="s">
        <v>17</v>
      </c>
      <c r="J2477" t="s">
        <v>50</v>
      </c>
      <c r="K2477">
        <v>14859.96</v>
      </c>
      <c r="L2477">
        <v>111110.3</v>
      </c>
      <c r="M2477">
        <v>25</v>
      </c>
      <c r="Y2477" s="1">
        <f t="shared" si="192"/>
        <v>1038.962</v>
      </c>
      <c r="Z2477" s="2">
        <f t="shared" si="193"/>
        <v>96249.9</v>
      </c>
      <c r="AA2477" s="2">
        <f t="shared" si="194"/>
        <v>96249.910968832352</v>
      </c>
      <c r="AB2477" s="1">
        <f t="shared" si="195"/>
        <v>9.6320226807540765E-2</v>
      </c>
      <c r="AC2477" s="1" t="b">
        <f t="shared" si="196"/>
        <v>1</v>
      </c>
    </row>
    <row r="2478" spans="1:29" x14ac:dyDescent="0.25">
      <c r="A2478" s="1">
        <v>1038.7729999999999</v>
      </c>
      <c r="B2478">
        <v>3</v>
      </c>
      <c r="D2478" s="2">
        <v>96267.4</v>
      </c>
      <c r="E2478">
        <v>21418</v>
      </c>
      <c r="F2478" t="s">
        <v>15</v>
      </c>
      <c r="G2478" t="s">
        <v>28</v>
      </c>
      <c r="H2478">
        <v>117686</v>
      </c>
      <c r="I2478" t="s">
        <v>17</v>
      </c>
      <c r="J2478" t="s">
        <v>28</v>
      </c>
      <c r="K2478">
        <v>21418.84</v>
      </c>
      <c r="L2478">
        <v>117686.39999999999</v>
      </c>
      <c r="M2478">
        <v>25</v>
      </c>
      <c r="Y2478" s="1">
        <f t="shared" si="192"/>
        <v>1038.7729999999999</v>
      </c>
      <c r="Z2478" s="2">
        <f t="shared" si="193"/>
        <v>96267.4</v>
      </c>
      <c r="AA2478" s="2">
        <f t="shared" si="194"/>
        <v>96267.423200256468</v>
      </c>
      <c r="AB2478" s="1">
        <f t="shared" si="195"/>
        <v>9.6337083848086397E-2</v>
      </c>
      <c r="AC2478" s="1" t="b">
        <f t="shared" si="196"/>
        <v>1</v>
      </c>
    </row>
    <row r="2479" spans="1:29" x14ac:dyDescent="0.25">
      <c r="A2479" s="1">
        <v>1038.451</v>
      </c>
      <c r="B2479">
        <v>10</v>
      </c>
      <c r="D2479" s="2">
        <v>96297.3</v>
      </c>
      <c r="E2479">
        <v>15045</v>
      </c>
      <c r="F2479" t="s">
        <v>15</v>
      </c>
      <c r="G2479" t="s">
        <v>28</v>
      </c>
      <c r="H2479">
        <v>111342</v>
      </c>
      <c r="I2479" t="s">
        <v>17</v>
      </c>
      <c r="J2479" t="s">
        <v>18</v>
      </c>
      <c r="K2479">
        <v>15045.8</v>
      </c>
      <c r="L2479">
        <v>111342.8</v>
      </c>
      <c r="M2479">
        <v>25</v>
      </c>
      <c r="Y2479" s="1">
        <f t="shared" si="192"/>
        <v>1038.451</v>
      </c>
      <c r="Z2479" s="2">
        <f t="shared" si="193"/>
        <v>96297.3</v>
      </c>
      <c r="AA2479" s="2">
        <f t="shared" si="194"/>
        <v>96297.2735352944</v>
      </c>
      <c r="AB2479" s="1">
        <f t="shared" si="195"/>
        <v>9.6365824451656562E-2</v>
      </c>
      <c r="AC2479" s="1" t="b">
        <f t="shared" si="196"/>
        <v>1</v>
      </c>
    </row>
    <row r="2480" spans="1:29" x14ac:dyDescent="0.25">
      <c r="A2480" s="1">
        <v>1038.356</v>
      </c>
      <c r="B2480">
        <v>7</v>
      </c>
      <c r="D2480" s="2">
        <v>96306.1</v>
      </c>
      <c r="M2480">
        <v>25</v>
      </c>
      <c r="Y2480" s="1">
        <f t="shared" si="192"/>
        <v>1038.356</v>
      </c>
      <c r="Z2480" s="2">
        <f t="shared" si="193"/>
        <v>96306.1</v>
      </c>
      <c r="AA2480" s="2">
        <f t="shared" si="194"/>
        <v>96306.083847928836</v>
      </c>
      <c r="AB2480" s="1">
        <f t="shared" si="195"/>
        <v>9.6374308930621502E-2</v>
      </c>
      <c r="AC2480" s="1" t="b">
        <f t="shared" si="196"/>
        <v>1</v>
      </c>
    </row>
    <row r="2481" spans="1:29" x14ac:dyDescent="0.25">
      <c r="A2481" s="1">
        <v>1038.2929999999999</v>
      </c>
      <c r="B2481">
        <v>1000</v>
      </c>
      <c r="D2481" s="2">
        <v>96311.9</v>
      </c>
      <c r="E2481">
        <v>19360</v>
      </c>
      <c r="F2481" t="s">
        <v>15</v>
      </c>
      <c r="G2481" t="s">
        <v>50</v>
      </c>
      <c r="H2481">
        <v>115672</v>
      </c>
      <c r="I2481" t="s">
        <v>17</v>
      </c>
      <c r="J2481" t="s">
        <v>57</v>
      </c>
      <c r="K2481">
        <v>19360.099999999999</v>
      </c>
      <c r="L2481">
        <v>115672.2</v>
      </c>
      <c r="M2481">
        <v>25</v>
      </c>
      <c r="Y2481" s="1">
        <f t="shared" si="192"/>
        <v>1038.2929999999999</v>
      </c>
      <c r="Z2481" s="2">
        <f t="shared" si="193"/>
        <v>96311.9</v>
      </c>
      <c r="AA2481" s="2">
        <f t="shared" si="194"/>
        <v>96311.92736539687</v>
      </c>
      <c r="AB2481" s="1">
        <f t="shared" si="195"/>
        <v>9.6379936764187421E-2</v>
      </c>
      <c r="AC2481" s="1" t="b">
        <f t="shared" si="196"/>
        <v>1</v>
      </c>
    </row>
    <row r="2482" spans="1:29" x14ac:dyDescent="0.25">
      <c r="A2482" s="1">
        <v>1038.1859999999999</v>
      </c>
      <c r="B2482">
        <v>400</v>
      </c>
      <c r="D2482" s="2">
        <v>96321.8</v>
      </c>
      <c r="E2482">
        <v>14558</v>
      </c>
      <c r="F2482" t="s">
        <v>15</v>
      </c>
      <c r="G2482" t="s">
        <v>16</v>
      </c>
      <c r="H2482">
        <v>110881</v>
      </c>
      <c r="I2482" t="s">
        <v>17</v>
      </c>
      <c r="J2482" t="s">
        <v>23</v>
      </c>
      <c r="K2482">
        <v>14558.82</v>
      </c>
      <c r="L2482">
        <v>110881.1</v>
      </c>
      <c r="M2482">
        <v>25</v>
      </c>
      <c r="Y2482" s="1">
        <f t="shared" si="192"/>
        <v>1038.1859999999999</v>
      </c>
      <c r="Z2482" s="2">
        <f t="shared" si="193"/>
        <v>96321.8</v>
      </c>
      <c r="AA2482" s="2">
        <f t="shared" si="194"/>
        <v>96321.853694809994</v>
      </c>
      <c r="AB2482" s="1">
        <f t="shared" si="195"/>
        <v>9.6389497496021909E-2</v>
      </c>
      <c r="AC2482" s="1" t="b">
        <f t="shared" si="196"/>
        <v>1</v>
      </c>
    </row>
    <row r="2483" spans="1:29" x14ac:dyDescent="0.25">
      <c r="A2483" s="1">
        <v>1038.066</v>
      </c>
      <c r="B2483">
        <v>40</v>
      </c>
      <c r="D2483" s="2">
        <v>96333</v>
      </c>
      <c r="M2483">
        <v>25</v>
      </c>
      <c r="Y2483" s="1">
        <f t="shared" si="192"/>
        <v>1038.066</v>
      </c>
      <c r="Z2483" s="2">
        <f t="shared" si="193"/>
        <v>96333</v>
      </c>
      <c r="AA2483" s="2">
        <f t="shared" si="194"/>
        <v>96332.988461234636</v>
      </c>
      <c r="AB2483" s="1">
        <f t="shared" si="195"/>
        <v>9.6400223329361823E-2</v>
      </c>
      <c r="AC2483" s="1" t="b">
        <f t="shared" si="196"/>
        <v>1</v>
      </c>
    </row>
    <row r="2484" spans="1:29" x14ac:dyDescent="0.25">
      <c r="A2484" s="1">
        <v>1037.8620000000001</v>
      </c>
      <c r="B2484">
        <v>5</v>
      </c>
      <c r="D2484" s="2">
        <v>96351.9</v>
      </c>
      <c r="E2484">
        <v>21294</v>
      </c>
      <c r="F2484" t="s">
        <v>15</v>
      </c>
      <c r="G2484" t="s">
        <v>18</v>
      </c>
      <c r="H2484">
        <v>117647</v>
      </c>
      <c r="I2484" t="s">
        <v>17</v>
      </c>
      <c r="J2484" t="s">
        <v>18</v>
      </c>
      <c r="K2484">
        <v>21294.89</v>
      </c>
      <c r="L2484">
        <v>117647.2</v>
      </c>
      <c r="M2484">
        <v>25</v>
      </c>
      <c r="Y2484" s="1">
        <f t="shared" si="192"/>
        <v>1037.8620000000001</v>
      </c>
      <c r="Z2484" s="2">
        <f t="shared" si="193"/>
        <v>96351.9</v>
      </c>
      <c r="AA2484" s="2">
        <f t="shared" si="194"/>
        <v>96351.923473448289</v>
      </c>
      <c r="AB2484" s="1">
        <f t="shared" si="195"/>
        <v>9.6418465785166177E-2</v>
      </c>
      <c r="AC2484" s="1" t="b">
        <f t="shared" si="196"/>
        <v>1</v>
      </c>
    </row>
    <row r="2485" spans="1:29" x14ac:dyDescent="0.25">
      <c r="A2485" s="1">
        <v>1037.7380000000001</v>
      </c>
      <c r="B2485">
        <v>50</v>
      </c>
      <c r="C2485" t="s">
        <v>122</v>
      </c>
      <c r="D2485" s="2">
        <v>96363.4</v>
      </c>
      <c r="E2485">
        <v>14558</v>
      </c>
      <c r="F2485" t="s">
        <v>15</v>
      </c>
      <c r="G2485" t="s">
        <v>16</v>
      </c>
      <c r="H2485">
        <v>110922</v>
      </c>
      <c r="I2485" t="s">
        <v>17</v>
      </c>
      <c r="J2485" t="s">
        <v>16</v>
      </c>
      <c r="K2485">
        <v>14558.82</v>
      </c>
      <c r="L2485">
        <v>110922.5</v>
      </c>
      <c r="M2485">
        <v>25</v>
      </c>
      <c r="Y2485" s="1">
        <f t="shared" si="192"/>
        <v>1037.7380000000001</v>
      </c>
      <c r="Z2485" s="2">
        <f t="shared" si="193"/>
        <v>96363.4</v>
      </c>
      <c r="AA2485" s="2">
        <f t="shared" si="194"/>
        <v>96363.436628513169</v>
      </c>
      <c r="AB2485" s="1">
        <f t="shared" si="195"/>
        <v>9.6429559594287367E-2</v>
      </c>
      <c r="AC2485" s="1" t="b">
        <f t="shared" si="196"/>
        <v>1</v>
      </c>
    </row>
    <row r="2486" spans="1:29" x14ac:dyDescent="0.25">
      <c r="A2486" s="1">
        <v>1037.703</v>
      </c>
      <c r="B2486">
        <v>50</v>
      </c>
      <c r="C2486" t="s">
        <v>122</v>
      </c>
      <c r="D2486" s="2">
        <v>96366.7</v>
      </c>
      <c r="M2486">
        <v>25</v>
      </c>
      <c r="Y2486" s="1">
        <f t="shared" si="192"/>
        <v>1037.703</v>
      </c>
      <c r="Z2486" s="2">
        <f t="shared" si="193"/>
        <v>96366.7</v>
      </c>
      <c r="AA2486" s="2">
        <f t="shared" si="194"/>
        <v>96366.686807304213</v>
      </c>
      <c r="AB2486" s="1">
        <f t="shared" si="195"/>
        <v>9.6432691631085296E-2</v>
      </c>
      <c r="AC2486" s="1" t="b">
        <f t="shared" si="196"/>
        <v>1</v>
      </c>
    </row>
    <row r="2487" spans="1:29" x14ac:dyDescent="0.25">
      <c r="A2487" s="1">
        <v>1037.5840000000001</v>
      </c>
      <c r="B2487">
        <v>20</v>
      </c>
      <c r="D2487" s="2">
        <v>96377.7</v>
      </c>
      <c r="M2487">
        <v>25</v>
      </c>
      <c r="Y2487" s="1">
        <f t="shared" si="192"/>
        <v>1037.5840000000001</v>
      </c>
      <c r="Z2487" s="2">
        <f t="shared" si="193"/>
        <v>96377.7</v>
      </c>
      <c r="AA2487" s="2">
        <f t="shared" si="194"/>
        <v>96377.739055343947</v>
      </c>
      <c r="AB2487" s="1">
        <f t="shared" si="195"/>
        <v>9.6443342927099857E-2</v>
      </c>
      <c r="AC2487" s="1" t="b">
        <f t="shared" si="196"/>
        <v>1</v>
      </c>
    </row>
    <row r="2488" spans="1:29" x14ac:dyDescent="0.25">
      <c r="A2488" s="1">
        <v>1037.479</v>
      </c>
      <c r="B2488">
        <v>5</v>
      </c>
      <c r="D2488" s="2">
        <v>96387.5</v>
      </c>
      <c r="E2488">
        <v>22080</v>
      </c>
      <c r="F2488" t="s">
        <v>15</v>
      </c>
      <c r="G2488" t="s">
        <v>18</v>
      </c>
      <c r="H2488">
        <v>118468</v>
      </c>
      <c r="I2488" t="s">
        <v>17</v>
      </c>
      <c r="J2488" t="s">
        <v>16</v>
      </c>
      <c r="K2488">
        <v>22080.94</v>
      </c>
      <c r="L2488">
        <v>118468.8</v>
      </c>
      <c r="M2488">
        <v>25</v>
      </c>
      <c r="Y2488" s="1">
        <f t="shared" si="192"/>
        <v>1037.479</v>
      </c>
      <c r="Z2488" s="2">
        <f t="shared" si="193"/>
        <v>96387.5</v>
      </c>
      <c r="AA2488" s="2">
        <f t="shared" si="194"/>
        <v>96387.493144439548</v>
      </c>
      <c r="AB2488" s="1">
        <f t="shared" si="195"/>
        <v>9.6452744173346899E-2</v>
      </c>
      <c r="AC2488" s="1" t="b">
        <f t="shared" si="196"/>
        <v>1</v>
      </c>
    </row>
    <row r="2489" spans="1:29" x14ac:dyDescent="0.25">
      <c r="A2489" s="1">
        <v>1037.432</v>
      </c>
      <c r="B2489">
        <v>2</v>
      </c>
      <c r="C2489" t="s">
        <v>27</v>
      </c>
      <c r="D2489" s="2">
        <v>96391.9</v>
      </c>
      <c r="E2489">
        <v>21148</v>
      </c>
      <c r="F2489" t="s">
        <v>15</v>
      </c>
      <c r="G2489" t="s">
        <v>29</v>
      </c>
      <c r="H2489">
        <v>117540</v>
      </c>
      <c r="I2489" t="s">
        <v>17</v>
      </c>
      <c r="J2489" t="s">
        <v>29</v>
      </c>
      <c r="K2489">
        <v>21148.43</v>
      </c>
      <c r="L2489">
        <v>117540.5</v>
      </c>
      <c r="M2489">
        <v>25</v>
      </c>
      <c r="Y2489" s="1">
        <f t="shared" si="192"/>
        <v>1037.432</v>
      </c>
      <c r="Z2489" s="2">
        <f t="shared" si="193"/>
        <v>96391.9</v>
      </c>
      <c r="AA2489" s="2">
        <f t="shared" si="194"/>
        <v>96391.859900215146</v>
      </c>
      <c r="AB2489" s="1">
        <f t="shared" si="195"/>
        <v>9.6456953275113527E-2</v>
      </c>
      <c r="AC2489" s="1" t="b">
        <f t="shared" si="196"/>
        <v>1</v>
      </c>
    </row>
    <row r="2490" spans="1:29" x14ac:dyDescent="0.25">
      <c r="A2490" s="1">
        <v>1037.432</v>
      </c>
      <c r="B2490">
        <v>2</v>
      </c>
      <c r="C2490" t="s">
        <v>27</v>
      </c>
      <c r="D2490" s="2">
        <v>96391.9</v>
      </c>
      <c r="E2490">
        <v>21294</v>
      </c>
      <c r="F2490" t="s">
        <v>15</v>
      </c>
      <c r="G2490" t="s">
        <v>18</v>
      </c>
      <c r="H2490">
        <v>117686</v>
      </c>
      <c r="I2490" t="s">
        <v>17</v>
      </c>
      <c r="J2490" t="s">
        <v>28</v>
      </c>
      <c r="K2490">
        <v>21294.89</v>
      </c>
      <c r="L2490">
        <v>117686.39999999999</v>
      </c>
      <c r="M2490">
        <v>25</v>
      </c>
      <c r="Y2490" s="1">
        <f t="shared" si="192"/>
        <v>1037.432</v>
      </c>
      <c r="Z2490" s="2">
        <f t="shared" si="193"/>
        <v>96391.9</v>
      </c>
      <c r="AA2490" s="2">
        <f t="shared" si="194"/>
        <v>96391.859900215146</v>
      </c>
      <c r="AB2490" s="1">
        <f t="shared" si="195"/>
        <v>9.6456953275113527E-2</v>
      </c>
      <c r="AC2490" s="1" t="b">
        <f t="shared" si="196"/>
        <v>1</v>
      </c>
    </row>
    <row r="2491" spans="1:29" x14ac:dyDescent="0.25">
      <c r="A2491" s="1">
        <v>1037.3900000000001</v>
      </c>
      <c r="B2491">
        <v>30</v>
      </c>
      <c r="D2491" s="2">
        <v>96395.8</v>
      </c>
      <c r="M2491">
        <v>25</v>
      </c>
      <c r="Y2491" s="1">
        <f t="shared" si="192"/>
        <v>1037.3900000000001</v>
      </c>
      <c r="Z2491" s="2">
        <f t="shared" si="193"/>
        <v>96395.8</v>
      </c>
      <c r="AA2491" s="2">
        <f t="shared" si="194"/>
        <v>96395.762442283027</v>
      </c>
      <c r="AB2491" s="1">
        <f t="shared" si="195"/>
        <v>9.6460715084145332E-2</v>
      </c>
      <c r="AC2491" s="1" t="b">
        <f t="shared" si="196"/>
        <v>1</v>
      </c>
    </row>
    <row r="2492" spans="1:29" x14ac:dyDescent="0.25">
      <c r="A2492" s="1">
        <v>1037.232</v>
      </c>
      <c r="B2492">
        <v>10</v>
      </c>
      <c r="D2492" s="2">
        <v>96410.4</v>
      </c>
      <c r="E2492">
        <v>31803</v>
      </c>
      <c r="F2492" t="s">
        <v>15</v>
      </c>
      <c r="G2492" t="s">
        <v>258</v>
      </c>
      <c r="H2492">
        <v>128214</v>
      </c>
      <c r="I2492" t="s">
        <v>17</v>
      </c>
      <c r="J2492" t="s">
        <v>29</v>
      </c>
      <c r="K2492">
        <v>31803.7</v>
      </c>
      <c r="L2492">
        <v>128214.2</v>
      </c>
      <c r="M2492">
        <v>25</v>
      </c>
      <c r="Y2492" s="1">
        <f t="shared" si="192"/>
        <v>1037.232</v>
      </c>
      <c r="Z2492" s="2">
        <f t="shared" si="193"/>
        <v>96410.4</v>
      </c>
      <c r="AA2492" s="2">
        <f t="shared" si="194"/>
        <v>96410.446264673679</v>
      </c>
      <c r="AB2492" s="1">
        <f t="shared" si="195"/>
        <v>9.6474870744767655E-2</v>
      </c>
      <c r="AC2492" s="1" t="b">
        <f t="shared" si="196"/>
        <v>1</v>
      </c>
    </row>
    <row r="2493" spans="1:29" x14ac:dyDescent="0.25">
      <c r="A2493" s="1">
        <v>1036.8230000000001</v>
      </c>
      <c r="B2493">
        <v>15</v>
      </c>
      <c r="D2493" s="2">
        <v>96448.5</v>
      </c>
      <c r="M2493">
        <v>25</v>
      </c>
      <c r="Y2493" s="1">
        <f t="shared" si="192"/>
        <v>1036.8230000000001</v>
      </c>
      <c r="Z2493" s="2">
        <f t="shared" si="193"/>
        <v>96448.5</v>
      </c>
      <c r="AA2493" s="2">
        <f t="shared" si="194"/>
        <v>96448.477705452126</v>
      </c>
      <c r="AB2493" s="1">
        <f t="shared" si="195"/>
        <v>9.651154425849548E-2</v>
      </c>
      <c r="AC2493" s="1" t="b">
        <f t="shared" si="196"/>
        <v>1</v>
      </c>
    </row>
    <row r="2494" spans="1:29" x14ac:dyDescent="0.25">
      <c r="A2494" s="1">
        <v>1036.749</v>
      </c>
      <c r="B2494">
        <v>5</v>
      </c>
      <c r="D2494" s="2">
        <v>96455.4</v>
      </c>
      <c r="M2494">
        <v>25</v>
      </c>
      <c r="Y2494" s="1">
        <f t="shared" si="192"/>
        <v>1036.749</v>
      </c>
      <c r="Z2494" s="2">
        <f t="shared" si="193"/>
        <v>96455.4</v>
      </c>
      <c r="AA2494" s="2">
        <f t="shared" si="194"/>
        <v>96455.361905340629</v>
      </c>
      <c r="AB2494" s="1">
        <f t="shared" si="195"/>
        <v>9.6518184201451182E-2</v>
      </c>
      <c r="AC2494" s="1" t="b">
        <f t="shared" si="196"/>
        <v>1</v>
      </c>
    </row>
    <row r="2495" spans="1:29" x14ac:dyDescent="0.25">
      <c r="A2495" s="1">
        <v>1036.623</v>
      </c>
      <c r="B2495">
        <v>10</v>
      </c>
      <c r="D2495" s="2">
        <v>96467.1</v>
      </c>
      <c r="E2495">
        <v>15525</v>
      </c>
      <c r="F2495" t="s">
        <v>15</v>
      </c>
      <c r="G2495" t="s">
        <v>23</v>
      </c>
      <c r="H2495">
        <v>111993</v>
      </c>
      <c r="I2495" t="s">
        <v>17</v>
      </c>
      <c r="J2495" t="s">
        <v>16</v>
      </c>
      <c r="K2495">
        <v>15525.5</v>
      </c>
      <c r="L2495">
        <v>111993</v>
      </c>
      <c r="M2495">
        <v>25</v>
      </c>
      <c r="Y2495" s="1">
        <f t="shared" si="192"/>
        <v>1036.623</v>
      </c>
      <c r="Z2495" s="2">
        <f t="shared" si="193"/>
        <v>96467.1</v>
      </c>
      <c r="AA2495" s="2">
        <f t="shared" si="194"/>
        <v>96467.085912622046</v>
      </c>
      <c r="AB2495" s="1">
        <f t="shared" si="195"/>
        <v>9.6529493322366017E-2</v>
      </c>
      <c r="AC2495" s="1" t="b">
        <f t="shared" si="196"/>
        <v>1</v>
      </c>
    </row>
    <row r="2496" spans="1:29" x14ac:dyDescent="0.25">
      <c r="A2496" s="1">
        <v>1036.4100000000001</v>
      </c>
      <c r="B2496">
        <v>60</v>
      </c>
      <c r="C2496" t="s">
        <v>27</v>
      </c>
      <c r="D2496" s="2">
        <v>96486.9</v>
      </c>
      <c r="E2496">
        <v>17113</v>
      </c>
      <c r="F2496" t="s">
        <v>15</v>
      </c>
      <c r="G2496" t="s">
        <v>50</v>
      </c>
      <c r="H2496">
        <v>113600</v>
      </c>
      <c r="I2496" t="s">
        <v>17</v>
      </c>
      <c r="J2496" t="s">
        <v>50</v>
      </c>
      <c r="K2496">
        <v>17113.189999999999</v>
      </c>
      <c r="L2496">
        <v>113600.3</v>
      </c>
      <c r="M2496">
        <v>25</v>
      </c>
      <c r="Y2496" s="1">
        <f t="shared" si="192"/>
        <v>1036.4100000000001</v>
      </c>
      <c r="Z2496" s="2">
        <f t="shared" si="193"/>
        <v>96486.9</v>
      </c>
      <c r="AA2496" s="2">
        <f t="shared" si="194"/>
        <v>96486.911550448174</v>
      </c>
      <c r="AB2496" s="1">
        <f t="shared" si="195"/>
        <v>9.6548620502720048E-2</v>
      </c>
      <c r="AC2496" s="1" t="b">
        <f t="shared" si="196"/>
        <v>1</v>
      </c>
    </row>
    <row r="2497" spans="1:29" x14ac:dyDescent="0.25">
      <c r="A2497" s="1">
        <v>1036.4100000000001</v>
      </c>
      <c r="B2497">
        <v>60</v>
      </c>
      <c r="C2497" t="s">
        <v>27</v>
      </c>
      <c r="D2497" s="2">
        <v>96486.9</v>
      </c>
      <c r="E2497">
        <v>18921</v>
      </c>
      <c r="F2497" t="s">
        <v>15</v>
      </c>
      <c r="G2497" t="s">
        <v>57</v>
      </c>
      <c r="H2497">
        <v>115408</v>
      </c>
      <c r="I2497" t="s">
        <v>17</v>
      </c>
      <c r="J2497" t="s">
        <v>50</v>
      </c>
      <c r="K2497">
        <v>18921.240000000002</v>
      </c>
      <c r="L2497">
        <v>115408.4</v>
      </c>
      <c r="M2497">
        <v>25</v>
      </c>
      <c r="Y2497" s="1">
        <f t="shared" si="192"/>
        <v>1036.4100000000001</v>
      </c>
      <c r="Z2497" s="2">
        <f t="shared" si="193"/>
        <v>96486.9</v>
      </c>
      <c r="AA2497" s="2">
        <f t="shared" si="194"/>
        <v>96486.911550448174</v>
      </c>
      <c r="AB2497" s="1">
        <f t="shared" si="195"/>
        <v>9.6548620502720048E-2</v>
      </c>
      <c r="AC2497" s="1" t="b">
        <f t="shared" si="196"/>
        <v>1</v>
      </c>
    </row>
    <row r="2498" spans="1:29" x14ac:dyDescent="0.25">
      <c r="A2498" s="1">
        <v>1036.174</v>
      </c>
      <c r="B2498">
        <v>40</v>
      </c>
      <c r="C2498" t="s">
        <v>122</v>
      </c>
      <c r="D2498" s="2">
        <v>96508.9</v>
      </c>
      <c r="M2498">
        <v>25</v>
      </c>
      <c r="Y2498" s="1">
        <f t="shared" si="192"/>
        <v>1036.174</v>
      </c>
      <c r="Z2498" s="2">
        <f t="shared" si="193"/>
        <v>96508.9</v>
      </c>
      <c r="AA2498" s="2">
        <f t="shared" si="194"/>
        <v>96508.887503450198</v>
      </c>
      <c r="AB2498" s="1">
        <f t="shared" si="195"/>
        <v>9.6569826835768036E-2</v>
      </c>
      <c r="AC2498" s="1" t="b">
        <f t="shared" si="196"/>
        <v>1</v>
      </c>
    </row>
    <row r="2499" spans="1:29" x14ac:dyDescent="0.25">
      <c r="A2499" s="1">
        <v>1036.1510000000001</v>
      </c>
      <c r="B2499">
        <v>40</v>
      </c>
      <c r="C2499" t="s">
        <v>122</v>
      </c>
      <c r="D2499" s="2">
        <v>96511</v>
      </c>
      <c r="M2499">
        <v>25</v>
      </c>
      <c r="Y2499" s="1">
        <f t="shared" ref="Y2499:Y2562" si="197">ROUND($A2499,3)+0</f>
        <v>1036.1510000000001</v>
      </c>
      <c r="Z2499" s="2">
        <f t="shared" ref="Z2499:Z2562" si="198">ROUND($D2499,1)+0</f>
        <v>96511</v>
      </c>
      <c r="AA2499" s="2">
        <f t="shared" ref="AA2499:AA2562" si="199">100000000/Y2499</f>
        <v>96511.029763036466</v>
      </c>
      <c r="AB2499" s="1">
        <f t="shared" ref="AB2499:AB2562" si="200">0.0005/$Y2499*AA2499+0.05</f>
        <v>9.6571894329608554E-2</v>
      </c>
      <c r="AC2499" s="1" t="b">
        <f t="shared" ref="AC2499:AC2562" si="201">ABS(Z2499-AA2499)&lt;AB2499</f>
        <v>1</v>
      </c>
    </row>
    <row r="2500" spans="1:29" x14ac:dyDescent="0.25">
      <c r="A2500" s="1">
        <v>1035.7650000000001</v>
      </c>
      <c r="B2500">
        <v>8</v>
      </c>
      <c r="C2500" t="s">
        <v>124</v>
      </c>
      <c r="D2500" s="2">
        <v>96547</v>
      </c>
      <c r="M2500">
        <v>25</v>
      </c>
      <c r="Y2500" s="1">
        <f t="shared" si="197"/>
        <v>1035.7650000000001</v>
      </c>
      <c r="Z2500" s="2">
        <f t="shared" si="198"/>
        <v>96547</v>
      </c>
      <c r="AA2500" s="2">
        <f t="shared" si="199"/>
        <v>96546.996664301259</v>
      </c>
      <c r="AB2500" s="1">
        <f t="shared" si="200"/>
        <v>9.660661282448299E-2</v>
      </c>
      <c r="AC2500" s="1" t="b">
        <f t="shared" si="201"/>
        <v>1</v>
      </c>
    </row>
    <row r="2501" spans="1:29" x14ac:dyDescent="0.25">
      <c r="A2501" s="1" t="s">
        <v>922</v>
      </c>
      <c r="B2501">
        <v>30</v>
      </c>
      <c r="D2501" s="2">
        <v>96555.4</v>
      </c>
      <c r="E2501">
        <v>18241</v>
      </c>
      <c r="F2501" t="s">
        <v>15</v>
      </c>
      <c r="G2501" t="s">
        <v>23</v>
      </c>
      <c r="H2501">
        <v>114797</v>
      </c>
      <c r="I2501" t="s">
        <v>17</v>
      </c>
      <c r="J2501" t="s">
        <v>50</v>
      </c>
      <c r="K2501">
        <v>18241.54</v>
      </c>
      <c r="L2501">
        <v>114797.2</v>
      </c>
      <c r="M2501">
        <v>26</v>
      </c>
      <c r="Y2501" s="1">
        <f t="shared" si="197"/>
        <v>1035.675</v>
      </c>
      <c r="Z2501" s="2">
        <f t="shared" si="198"/>
        <v>96555.4</v>
      </c>
      <c r="AA2501" s="2">
        <f t="shared" si="199"/>
        <v>96555.386583629035</v>
      </c>
      <c r="AB2501" s="1">
        <f t="shared" si="200"/>
        <v>9.6614713391570253E-2</v>
      </c>
      <c r="AC2501" s="1" t="b">
        <f t="shared" si="201"/>
        <v>1</v>
      </c>
    </row>
    <row r="2502" spans="1:29" x14ac:dyDescent="0.25">
      <c r="A2502" s="1" t="s">
        <v>923</v>
      </c>
      <c r="B2502">
        <v>10</v>
      </c>
      <c r="D2502" s="2">
        <v>96566.7</v>
      </c>
      <c r="E2502">
        <v>20160</v>
      </c>
      <c r="F2502" t="s">
        <v>15</v>
      </c>
      <c r="G2502" t="s">
        <v>29</v>
      </c>
      <c r="H2502">
        <v>116727</v>
      </c>
      <c r="I2502" t="s">
        <v>17</v>
      </c>
      <c r="J2502" t="s">
        <v>28</v>
      </c>
      <c r="K2502">
        <v>20160.36</v>
      </c>
      <c r="L2502">
        <v>116727.1</v>
      </c>
      <c r="M2502">
        <v>26</v>
      </c>
      <c r="Y2502" s="1">
        <f t="shared" si="197"/>
        <v>1035.5540000000001</v>
      </c>
      <c r="Z2502" s="2">
        <f t="shared" si="198"/>
        <v>96566.7</v>
      </c>
      <c r="AA2502" s="2">
        <f t="shared" si="199"/>
        <v>96566.668662377808</v>
      </c>
      <c r="AB2502" s="1">
        <f t="shared" si="200"/>
        <v>9.6625607482747303E-2</v>
      </c>
      <c r="AC2502" s="1" t="b">
        <f t="shared" si="201"/>
        <v>1</v>
      </c>
    </row>
    <row r="2503" spans="1:29" x14ac:dyDescent="0.25">
      <c r="A2503" s="1" t="s">
        <v>924</v>
      </c>
      <c r="B2503">
        <v>20</v>
      </c>
      <c r="D2503" s="2">
        <v>96582.3</v>
      </c>
      <c r="M2503">
        <v>26</v>
      </c>
      <c r="Y2503" s="1">
        <f t="shared" si="197"/>
        <v>1035.386</v>
      </c>
      <c r="Z2503" s="2">
        <f t="shared" si="198"/>
        <v>96582.3</v>
      </c>
      <c r="AA2503" s="2">
        <f t="shared" si="199"/>
        <v>96582.337408464096</v>
      </c>
      <c r="AB2503" s="1">
        <f t="shared" si="200"/>
        <v>9.6640739496412026E-2</v>
      </c>
      <c r="AC2503" s="1" t="b">
        <f t="shared" si="201"/>
        <v>1</v>
      </c>
    </row>
    <row r="2504" spans="1:29" x14ac:dyDescent="0.25">
      <c r="A2504" s="1" t="s">
        <v>925</v>
      </c>
      <c r="B2504">
        <v>10</v>
      </c>
      <c r="D2504" s="2">
        <v>96589.2</v>
      </c>
      <c r="E2504">
        <v>19649</v>
      </c>
      <c r="F2504" t="s">
        <v>15</v>
      </c>
      <c r="G2504" t="s">
        <v>528</v>
      </c>
      <c r="H2504">
        <v>116238</v>
      </c>
      <c r="I2504" t="s">
        <v>17</v>
      </c>
      <c r="J2504" t="s">
        <v>57</v>
      </c>
      <c r="K2504">
        <v>19649.669999999998</v>
      </c>
      <c r="L2504">
        <v>116238.8</v>
      </c>
      <c r="M2504">
        <v>26</v>
      </c>
      <c r="Y2504" s="1">
        <f t="shared" si="197"/>
        <v>1035.3119999999999</v>
      </c>
      <c r="Z2504" s="2">
        <f t="shared" si="198"/>
        <v>96589.2</v>
      </c>
      <c r="AA2504" s="2">
        <f t="shared" si="199"/>
        <v>96589.240731296464</v>
      </c>
      <c r="AB2504" s="1">
        <f t="shared" si="200"/>
        <v>9.6647407125241697E-2</v>
      </c>
      <c r="AC2504" s="1" t="b">
        <f t="shared" si="201"/>
        <v>1</v>
      </c>
    </row>
    <row r="2505" spans="1:29" x14ac:dyDescent="0.25">
      <c r="A2505" s="1" t="s">
        <v>926</v>
      </c>
      <c r="B2505">
        <v>10</v>
      </c>
      <c r="D2505" s="2">
        <v>96594.1</v>
      </c>
      <c r="E2505">
        <v>24788</v>
      </c>
      <c r="F2505" t="s">
        <v>15</v>
      </c>
      <c r="G2505" t="s">
        <v>16</v>
      </c>
      <c r="H2505">
        <v>121382</v>
      </c>
      <c r="I2505" t="s">
        <v>17</v>
      </c>
      <c r="J2505" t="s">
        <v>16</v>
      </c>
      <c r="K2505">
        <v>24788.02</v>
      </c>
      <c r="L2505">
        <v>121382.6</v>
      </c>
      <c r="M2505">
        <v>26</v>
      </c>
      <c r="Y2505" s="1">
        <f t="shared" si="197"/>
        <v>1035.26</v>
      </c>
      <c r="Z2505" s="2">
        <f t="shared" si="198"/>
        <v>96594.1</v>
      </c>
      <c r="AA2505" s="2">
        <f t="shared" si="199"/>
        <v>96594.092305314611</v>
      </c>
      <c r="AB2505" s="1">
        <f t="shared" si="200"/>
        <v>9.6652093341438206E-2</v>
      </c>
      <c r="AC2505" s="1" t="b">
        <f t="shared" si="201"/>
        <v>1</v>
      </c>
    </row>
    <row r="2506" spans="1:29" x14ac:dyDescent="0.25">
      <c r="A2506" s="1">
        <f>$P2506</f>
        <v>1035.1110000000001</v>
      </c>
      <c r="B2506">
        <v>50</v>
      </c>
      <c r="D2506" s="6">
        <f>ROUND($Q2506,1)</f>
        <v>96608</v>
      </c>
      <c r="E2506">
        <v>19700</v>
      </c>
      <c r="F2506" t="s">
        <v>15</v>
      </c>
      <c r="G2506" t="s">
        <v>23</v>
      </c>
      <c r="H2506">
        <v>116309</v>
      </c>
      <c r="I2506" t="s">
        <v>17</v>
      </c>
      <c r="J2506" t="s">
        <v>23</v>
      </c>
      <c r="K2506">
        <v>19700.900000000001</v>
      </c>
      <c r="L2506">
        <v>116309.2</v>
      </c>
      <c r="M2506">
        <v>26</v>
      </c>
      <c r="N2506" s="4" t="s">
        <v>927</v>
      </c>
      <c r="O2506" s="4" t="s">
        <v>1082</v>
      </c>
      <c r="P2506">
        <f>RIGHT($N2506,8)+0</f>
        <v>1035.1110000000001</v>
      </c>
      <c r="Q2506" s="2">
        <f>100000000/P2506</f>
        <v>96607.996630313064</v>
      </c>
      <c r="R2506">
        <f>$L2506-$K2506</f>
        <v>96608.299999999988</v>
      </c>
      <c r="S2506" s="5">
        <f>100000000/96607</f>
        <v>1035.121678553314</v>
      </c>
      <c r="T2506" s="1">
        <f>100000000/R2506</f>
        <v>1035.1077495411887</v>
      </c>
      <c r="U2506" s="1"/>
      <c r="V2506" s="1"/>
      <c r="W2506" s="1"/>
      <c r="X2506" s="1"/>
      <c r="Y2506" s="1">
        <f t="shared" si="197"/>
        <v>1035.1110000000001</v>
      </c>
      <c r="Z2506" s="2">
        <f t="shared" si="198"/>
        <v>96608</v>
      </c>
      <c r="AA2506" s="2">
        <f t="shared" si="199"/>
        <v>96607.996630313064</v>
      </c>
      <c r="AB2506" s="1">
        <f t="shared" si="200"/>
        <v>9.6665525064612901E-2</v>
      </c>
      <c r="AC2506" s="1" t="b">
        <f t="shared" si="201"/>
        <v>1</v>
      </c>
    </row>
    <row r="2507" spans="1:29" x14ac:dyDescent="0.25">
      <c r="A2507" s="1" t="s">
        <v>928</v>
      </c>
      <c r="B2507">
        <v>2</v>
      </c>
      <c r="D2507" s="2">
        <v>96612.5</v>
      </c>
      <c r="M2507">
        <v>26</v>
      </c>
      <c r="Y2507" s="1">
        <f t="shared" si="197"/>
        <v>1035.0630000000001</v>
      </c>
      <c r="Z2507" s="2">
        <f t="shared" si="198"/>
        <v>96612.5</v>
      </c>
      <c r="AA2507" s="2">
        <f t="shared" si="199"/>
        <v>96612.476728469657</v>
      </c>
      <c r="AB2507" s="1">
        <f t="shared" si="200"/>
        <v>9.6669853298045449E-2</v>
      </c>
      <c r="AC2507" s="1" t="b">
        <f t="shared" si="201"/>
        <v>1</v>
      </c>
    </row>
    <row r="2508" spans="1:29" x14ac:dyDescent="0.25">
      <c r="A2508" s="1" t="s">
        <v>929</v>
      </c>
      <c r="B2508">
        <v>3</v>
      </c>
      <c r="D2508" s="2">
        <v>96624.2</v>
      </c>
      <c r="E2508">
        <v>19308</v>
      </c>
      <c r="F2508" t="s">
        <v>15</v>
      </c>
      <c r="G2508" t="s">
        <v>23</v>
      </c>
      <c r="H2508">
        <v>115933</v>
      </c>
      <c r="I2508" t="s">
        <v>17</v>
      </c>
      <c r="J2508" t="s">
        <v>23</v>
      </c>
      <c r="K2508">
        <v>19308.93</v>
      </c>
      <c r="L2508">
        <v>115933.2</v>
      </c>
      <c r="M2508">
        <v>26</v>
      </c>
      <c r="Y2508" s="1">
        <f t="shared" si="197"/>
        <v>1034.9369999999999</v>
      </c>
      <c r="Z2508" s="2">
        <f t="shared" si="198"/>
        <v>96624.2</v>
      </c>
      <c r="AA2508" s="2">
        <f t="shared" si="199"/>
        <v>96624.238963337877</v>
      </c>
      <c r="AB2508" s="1">
        <f t="shared" si="200"/>
        <v>9.6681217776221101E-2</v>
      </c>
      <c r="AC2508" s="1" t="b">
        <f t="shared" si="201"/>
        <v>1</v>
      </c>
    </row>
    <row r="2509" spans="1:29" x14ac:dyDescent="0.25">
      <c r="A2509" s="1" t="s">
        <v>930</v>
      </c>
      <c r="B2509">
        <v>5</v>
      </c>
      <c r="D2509" s="2">
        <v>96634.6</v>
      </c>
      <c r="M2509">
        <v>26</v>
      </c>
      <c r="Y2509" s="1">
        <f t="shared" si="197"/>
        <v>1034.826</v>
      </c>
      <c r="Z2509" s="2">
        <f t="shared" si="198"/>
        <v>96634.6</v>
      </c>
      <c r="AA2509" s="2">
        <f t="shared" si="199"/>
        <v>96634.603305289973</v>
      </c>
      <c r="AB2509" s="1">
        <f t="shared" si="200"/>
        <v>9.6691232779853808E-2</v>
      </c>
      <c r="AC2509" s="1" t="b">
        <f t="shared" si="201"/>
        <v>1</v>
      </c>
    </row>
    <row r="2510" spans="1:29" x14ac:dyDescent="0.25">
      <c r="A2510" s="1" t="s">
        <v>931</v>
      </c>
      <c r="B2510">
        <v>30</v>
      </c>
      <c r="D2510" s="2">
        <v>96636.6</v>
      </c>
      <c r="M2510">
        <v>26</v>
      </c>
      <c r="Y2510" s="1">
        <f t="shared" si="197"/>
        <v>1034.8040000000001</v>
      </c>
      <c r="Z2510" s="2">
        <f t="shared" si="198"/>
        <v>96636.6</v>
      </c>
      <c r="AA2510" s="2">
        <f t="shared" si="199"/>
        <v>96636.657763209252</v>
      </c>
      <c r="AB2510" s="1">
        <f t="shared" si="200"/>
        <v>9.6693218118218155E-2</v>
      </c>
      <c r="AC2510" s="1" t="b">
        <f t="shared" si="201"/>
        <v>1</v>
      </c>
    </row>
    <row r="2511" spans="1:29" x14ac:dyDescent="0.25">
      <c r="A2511" s="1" t="s">
        <v>932</v>
      </c>
      <c r="B2511">
        <v>100</v>
      </c>
      <c r="D2511" s="2">
        <v>96680.2</v>
      </c>
      <c r="E2511">
        <v>18990</v>
      </c>
      <c r="F2511" t="s">
        <v>15</v>
      </c>
      <c r="G2511" t="s">
        <v>18</v>
      </c>
      <c r="H2511">
        <v>115670</v>
      </c>
      <c r="I2511" t="s">
        <v>17</v>
      </c>
      <c r="J2511" t="s">
        <v>18</v>
      </c>
      <c r="K2511">
        <v>18990.080000000002</v>
      </c>
      <c r="L2511">
        <v>115670</v>
      </c>
      <c r="M2511">
        <v>26</v>
      </c>
      <c r="Y2511" s="1">
        <f t="shared" si="197"/>
        <v>1034.338</v>
      </c>
      <c r="Z2511" s="2">
        <f t="shared" si="198"/>
        <v>96680.2</v>
      </c>
      <c r="AA2511" s="2">
        <f t="shared" si="199"/>
        <v>96680.195448683124</v>
      </c>
      <c r="AB2511" s="1">
        <f t="shared" si="200"/>
        <v>9.6735300959977844E-2</v>
      </c>
      <c r="AC2511" s="1" t="b">
        <f t="shared" si="201"/>
        <v>1</v>
      </c>
    </row>
    <row r="2512" spans="1:29" x14ac:dyDescent="0.25">
      <c r="A2512" s="1" t="s">
        <v>933</v>
      </c>
      <c r="B2512">
        <v>7</v>
      </c>
      <c r="D2512" s="2">
        <v>96701.1</v>
      </c>
      <c r="M2512">
        <v>26</v>
      </c>
      <c r="Y2512" s="1">
        <f t="shared" si="197"/>
        <v>1034.114</v>
      </c>
      <c r="Z2512" s="2">
        <f t="shared" si="198"/>
        <v>96701.1</v>
      </c>
      <c r="AA2512" s="2">
        <f t="shared" si="199"/>
        <v>96701.137398778083</v>
      </c>
      <c r="AB2512" s="1">
        <f t="shared" si="200"/>
        <v>9.6755549871086782E-2</v>
      </c>
      <c r="AC2512" s="1" t="b">
        <f t="shared" si="201"/>
        <v>1</v>
      </c>
    </row>
    <row r="2513" spans="1:29" x14ac:dyDescent="0.25">
      <c r="A2513" s="1" t="s">
        <v>934</v>
      </c>
      <c r="B2513">
        <v>20</v>
      </c>
      <c r="C2513" t="s">
        <v>122</v>
      </c>
      <c r="D2513" s="2">
        <v>96707.6</v>
      </c>
      <c r="E2513">
        <v>21611</v>
      </c>
      <c r="F2513" t="s">
        <v>15</v>
      </c>
      <c r="G2513" t="s">
        <v>28</v>
      </c>
      <c r="H2513">
        <v>118318</v>
      </c>
      <c r="I2513" t="s">
        <v>17</v>
      </c>
      <c r="J2513" t="s">
        <v>18</v>
      </c>
      <c r="K2513">
        <v>21611.19</v>
      </c>
      <c r="L2513">
        <v>118318.6</v>
      </c>
      <c r="M2513">
        <v>26</v>
      </c>
      <c r="Y2513" s="1">
        <f t="shared" si="197"/>
        <v>1034.0450000000001</v>
      </c>
      <c r="Z2513" s="2">
        <f t="shared" si="198"/>
        <v>96707.6</v>
      </c>
      <c r="AA2513" s="2">
        <f t="shared" si="199"/>
        <v>96707.590095208609</v>
      </c>
      <c r="AB2513" s="1">
        <f t="shared" si="200"/>
        <v>9.6761789910114471E-2</v>
      </c>
      <c r="AC2513" s="1" t="b">
        <f t="shared" si="201"/>
        <v>1</v>
      </c>
    </row>
    <row r="2514" spans="1:29" x14ac:dyDescent="0.25">
      <c r="A2514" s="1" t="s">
        <v>935</v>
      </c>
      <c r="B2514">
        <v>10</v>
      </c>
      <c r="C2514" t="s">
        <v>122</v>
      </c>
      <c r="D2514" s="2">
        <v>96710.7</v>
      </c>
      <c r="M2514">
        <v>26</v>
      </c>
      <c r="Y2514" s="1">
        <f t="shared" si="197"/>
        <v>1034.0119999999999</v>
      </c>
      <c r="Z2514" s="2">
        <f t="shared" si="198"/>
        <v>96710.7</v>
      </c>
      <c r="AA2514" s="2">
        <f t="shared" si="199"/>
        <v>96710.67647183979</v>
      </c>
      <c r="AB2514" s="1">
        <f t="shared" si="200"/>
        <v>9.6764774718204327E-2</v>
      </c>
      <c r="AC2514" s="1" t="b">
        <f t="shared" si="201"/>
        <v>1</v>
      </c>
    </row>
    <row r="2515" spans="1:29" x14ac:dyDescent="0.25">
      <c r="A2515" s="1" t="s">
        <v>936</v>
      </c>
      <c r="B2515">
        <v>10</v>
      </c>
      <c r="D2515" s="2">
        <v>96728</v>
      </c>
      <c r="M2515">
        <v>26</v>
      </c>
      <c r="Y2515" s="1">
        <f t="shared" si="197"/>
        <v>1033.827</v>
      </c>
      <c r="Z2515" s="2">
        <f t="shared" si="198"/>
        <v>96728</v>
      </c>
      <c r="AA2515" s="2">
        <f t="shared" si="199"/>
        <v>96727.982534795476</v>
      </c>
      <c r="AB2515" s="1">
        <f t="shared" si="200"/>
        <v>9.6781513026258495E-2</v>
      </c>
      <c r="AC2515" s="1" t="b">
        <f t="shared" si="201"/>
        <v>1</v>
      </c>
    </row>
    <row r="2516" spans="1:29" x14ac:dyDescent="0.25">
      <c r="A2516" s="1" t="s">
        <v>937</v>
      </c>
      <c r="B2516">
        <v>5</v>
      </c>
      <c r="D2516" s="2">
        <v>96731.7</v>
      </c>
      <c r="M2516">
        <v>26</v>
      </c>
      <c r="Y2516" s="1">
        <f t="shared" si="197"/>
        <v>1033.787</v>
      </c>
      <c r="Z2516" s="2">
        <f t="shared" si="198"/>
        <v>96731.7</v>
      </c>
      <c r="AA2516" s="2">
        <f t="shared" si="199"/>
        <v>96731.725200645771</v>
      </c>
      <c r="AB2516" s="1">
        <f t="shared" si="200"/>
        <v>9.6785133301466236E-2</v>
      </c>
      <c r="AC2516" s="1" t="b">
        <f t="shared" si="201"/>
        <v>1</v>
      </c>
    </row>
    <row r="2517" spans="1:29" x14ac:dyDescent="0.25">
      <c r="A2517" s="1" t="s">
        <v>938</v>
      </c>
      <c r="B2517">
        <v>20</v>
      </c>
      <c r="D2517" s="2">
        <v>96736.3</v>
      </c>
      <c r="E2517">
        <v>21535</v>
      </c>
      <c r="F2517" t="s">
        <v>15</v>
      </c>
      <c r="G2517" t="s">
        <v>16</v>
      </c>
      <c r="H2517">
        <v>118271</v>
      </c>
      <c r="I2517" t="s">
        <v>17</v>
      </c>
      <c r="J2517" t="s">
        <v>23</v>
      </c>
      <c r="K2517">
        <v>21535.17</v>
      </c>
      <c r="L2517">
        <v>118271.6</v>
      </c>
      <c r="M2517">
        <v>26</v>
      </c>
      <c r="Y2517" s="1">
        <f t="shared" si="197"/>
        <v>1033.7380000000001</v>
      </c>
      <c r="Z2517" s="2">
        <f t="shared" si="198"/>
        <v>96736.3</v>
      </c>
      <c r="AA2517" s="2">
        <f t="shared" si="199"/>
        <v>96736.310361039257</v>
      </c>
      <c r="AB2517" s="1">
        <f t="shared" si="200"/>
        <v>9.6789568711336565E-2</v>
      </c>
      <c r="AC2517" s="1" t="b">
        <f t="shared" si="201"/>
        <v>1</v>
      </c>
    </row>
    <row r="2518" spans="1:29" x14ac:dyDescent="0.25">
      <c r="A2518" s="1" t="s">
        <v>939</v>
      </c>
      <c r="B2518">
        <v>20</v>
      </c>
      <c r="D2518" s="2">
        <v>96741.7</v>
      </c>
      <c r="M2518">
        <v>26</v>
      </c>
      <c r="Y2518" s="1">
        <f t="shared" si="197"/>
        <v>1033.68</v>
      </c>
      <c r="Z2518" s="2">
        <f t="shared" si="198"/>
        <v>96741.7</v>
      </c>
      <c r="AA2518" s="2">
        <f t="shared" si="199"/>
        <v>96741.738255552977</v>
      </c>
      <c r="AB2518" s="1">
        <f t="shared" si="200"/>
        <v>9.6794819603529619E-2</v>
      </c>
      <c r="AC2518" s="1" t="b">
        <f t="shared" si="201"/>
        <v>1</v>
      </c>
    </row>
    <row r="2519" spans="1:29" x14ac:dyDescent="0.25">
      <c r="A2519" s="1" t="s">
        <v>940</v>
      </c>
      <c r="B2519">
        <v>10</v>
      </c>
      <c r="D2519" s="2">
        <v>96744.4</v>
      </c>
      <c r="E2519">
        <v>24788</v>
      </c>
      <c r="F2519" t="s">
        <v>15</v>
      </c>
      <c r="G2519" t="s">
        <v>16</v>
      </c>
      <c r="H2519">
        <v>121532</v>
      </c>
      <c r="I2519" t="s">
        <v>17</v>
      </c>
      <c r="J2519" t="s">
        <v>23</v>
      </c>
      <c r="K2519">
        <v>24788.02</v>
      </c>
      <c r="L2519">
        <v>121532.5</v>
      </c>
      <c r="M2519">
        <v>26</v>
      </c>
      <c r="Y2519" s="1">
        <f t="shared" si="197"/>
        <v>1033.652</v>
      </c>
      <c r="Z2519" s="2">
        <f t="shared" si="198"/>
        <v>96744.4</v>
      </c>
      <c r="AA2519" s="2">
        <f t="shared" si="199"/>
        <v>96744.358836436237</v>
      </c>
      <c r="AB2519" s="1">
        <f t="shared" si="200"/>
        <v>9.6797354833365698E-2</v>
      </c>
      <c r="AC2519" s="1" t="b">
        <f t="shared" si="201"/>
        <v>1</v>
      </c>
    </row>
    <row r="2520" spans="1:29" x14ac:dyDescent="0.25">
      <c r="A2520" s="1" t="s">
        <v>941</v>
      </c>
      <c r="B2520">
        <v>100</v>
      </c>
      <c r="D2520" s="2">
        <v>96750.9</v>
      </c>
      <c r="E2520">
        <v>18921</v>
      </c>
      <c r="F2520" t="s">
        <v>15</v>
      </c>
      <c r="G2520" t="s">
        <v>57</v>
      </c>
      <c r="H2520">
        <v>115672</v>
      </c>
      <c r="I2520" t="s">
        <v>17</v>
      </c>
      <c r="J2520" t="s">
        <v>57</v>
      </c>
      <c r="K2520">
        <v>18921.240000000002</v>
      </c>
      <c r="L2520">
        <v>115672.2</v>
      </c>
      <c r="M2520">
        <v>26</v>
      </c>
      <c r="Y2520" s="1">
        <f t="shared" si="197"/>
        <v>1033.5820000000001</v>
      </c>
      <c r="Z2520" s="2">
        <f t="shared" si="198"/>
        <v>96750.9</v>
      </c>
      <c r="AA2520" s="2">
        <f t="shared" si="199"/>
        <v>96750.910909826212</v>
      </c>
      <c r="AB2520" s="1">
        <f t="shared" si="200"/>
        <v>9.680369380940565E-2</v>
      </c>
      <c r="AC2520" s="1" t="b">
        <f t="shared" si="201"/>
        <v>1</v>
      </c>
    </row>
    <row r="2521" spans="1:29" x14ac:dyDescent="0.25">
      <c r="A2521" s="1" t="s">
        <v>942</v>
      </c>
      <c r="B2521">
        <v>5</v>
      </c>
      <c r="D2521" s="2">
        <v>96765.7</v>
      </c>
      <c r="M2521">
        <v>26</v>
      </c>
      <c r="Y2521" s="1">
        <f t="shared" si="197"/>
        <v>1033.424</v>
      </c>
      <c r="Z2521" s="2">
        <f t="shared" si="198"/>
        <v>96765.7</v>
      </c>
      <c r="AA2521" s="2">
        <f t="shared" si="199"/>
        <v>96765.703138305282</v>
      </c>
      <c r="AB2521" s="1">
        <f t="shared" si="200"/>
        <v>9.6818006519253125E-2</v>
      </c>
      <c r="AC2521" s="1" t="b">
        <f t="shared" si="201"/>
        <v>1</v>
      </c>
    </row>
    <row r="2522" spans="1:29" x14ac:dyDescent="0.25">
      <c r="A2522" s="1" t="s">
        <v>943</v>
      </c>
      <c r="B2522">
        <v>30</v>
      </c>
      <c r="D2522" s="2">
        <v>96774.6</v>
      </c>
      <c r="M2522">
        <v>26</v>
      </c>
      <c r="Y2522" s="1">
        <f t="shared" si="197"/>
        <v>1033.329</v>
      </c>
      <c r="Z2522" s="2">
        <f t="shared" si="198"/>
        <v>96774.6</v>
      </c>
      <c r="AA2522" s="2">
        <f t="shared" si="199"/>
        <v>96774.599377352235</v>
      </c>
      <c r="AB2522" s="1">
        <f t="shared" si="200"/>
        <v>9.6826615423235118E-2</v>
      </c>
      <c r="AC2522" s="1" t="b">
        <f t="shared" si="201"/>
        <v>1</v>
      </c>
    </row>
    <row r="2523" spans="1:29" x14ac:dyDescent="0.25">
      <c r="A2523" s="1" t="s">
        <v>944</v>
      </c>
      <c r="B2523">
        <v>50</v>
      </c>
      <c r="C2523" t="s">
        <v>122</v>
      </c>
      <c r="D2523" s="2">
        <v>96783.1</v>
      </c>
      <c r="E2523">
        <v>21535</v>
      </c>
      <c r="F2523" t="s">
        <v>15</v>
      </c>
      <c r="G2523" t="s">
        <v>16</v>
      </c>
      <c r="H2523">
        <v>118318</v>
      </c>
      <c r="I2523" t="s">
        <v>17</v>
      </c>
      <c r="J2523" t="s">
        <v>18</v>
      </c>
      <c r="K2523">
        <v>21535.17</v>
      </c>
      <c r="L2523">
        <v>118318.6</v>
      </c>
      <c r="M2523">
        <v>26</v>
      </c>
      <c r="Y2523" s="1">
        <f t="shared" si="197"/>
        <v>1033.2380000000001</v>
      </c>
      <c r="Z2523" s="2">
        <f t="shared" si="198"/>
        <v>96783.1</v>
      </c>
      <c r="AA2523" s="2">
        <f t="shared" si="199"/>
        <v>96783.122571953412</v>
      </c>
      <c r="AB2523" s="1">
        <f t="shared" si="200"/>
        <v>9.6834864073888791E-2</v>
      </c>
      <c r="AC2523" s="1" t="b">
        <f t="shared" si="201"/>
        <v>1</v>
      </c>
    </row>
    <row r="2524" spans="1:29" x14ac:dyDescent="0.25">
      <c r="A2524" s="1" t="s">
        <v>945</v>
      </c>
      <c r="B2524">
        <v>20</v>
      </c>
      <c r="C2524" t="s">
        <v>122</v>
      </c>
      <c r="D2524" s="2">
        <v>96786</v>
      </c>
      <c r="E2524">
        <v>21294</v>
      </c>
      <c r="F2524" t="s">
        <v>15</v>
      </c>
      <c r="G2524" t="s">
        <v>18</v>
      </c>
      <c r="H2524">
        <v>118081</v>
      </c>
      <c r="I2524" t="s">
        <v>17</v>
      </c>
      <c r="J2524" t="s">
        <v>16</v>
      </c>
      <c r="K2524">
        <v>21294.89</v>
      </c>
      <c r="L2524">
        <v>118081.1</v>
      </c>
      <c r="M2524">
        <v>26</v>
      </c>
      <c r="Y2524" s="1">
        <f t="shared" si="197"/>
        <v>1033.2070000000001</v>
      </c>
      <c r="Z2524" s="2">
        <f t="shared" si="198"/>
        <v>96786</v>
      </c>
      <c r="AA2524" s="2">
        <f t="shared" si="199"/>
        <v>96786.026420649476</v>
      </c>
      <c r="AB2524" s="1">
        <f t="shared" si="200"/>
        <v>9.6837674551493308E-2</v>
      </c>
      <c r="AC2524" s="1" t="b">
        <f t="shared" si="201"/>
        <v>1</v>
      </c>
    </row>
    <row r="2525" spans="1:29" x14ac:dyDescent="0.25">
      <c r="A2525" s="1" t="s">
        <v>946</v>
      </c>
      <c r="B2525">
        <v>15</v>
      </c>
      <c r="D2525" s="2">
        <v>96798.9</v>
      </c>
      <c r="E2525">
        <v>20848</v>
      </c>
      <c r="F2525" t="s">
        <v>15</v>
      </c>
      <c r="G2525" t="s">
        <v>28</v>
      </c>
      <c r="H2525">
        <v>117647</v>
      </c>
      <c r="I2525" t="s">
        <v>17</v>
      </c>
      <c r="J2525" t="s">
        <v>18</v>
      </c>
      <c r="K2525">
        <v>20848.39</v>
      </c>
      <c r="L2525">
        <v>117647.2</v>
      </c>
      <c r="M2525">
        <v>26</v>
      </c>
      <c r="Y2525" s="1">
        <f t="shared" si="197"/>
        <v>1033.07</v>
      </c>
      <c r="Z2525" s="2">
        <f t="shared" si="198"/>
        <v>96798.9</v>
      </c>
      <c r="AA2525" s="2">
        <f t="shared" si="199"/>
        <v>96798.861645387049</v>
      </c>
      <c r="AB2525" s="1">
        <f t="shared" si="200"/>
        <v>9.6850098079213937E-2</v>
      </c>
      <c r="AC2525" s="1" t="b">
        <f t="shared" si="201"/>
        <v>1</v>
      </c>
    </row>
    <row r="2526" spans="1:29" x14ac:dyDescent="0.25">
      <c r="A2526" s="1" t="s">
        <v>947</v>
      </c>
      <c r="B2526">
        <v>2</v>
      </c>
      <c r="D2526" s="2">
        <v>96807.6</v>
      </c>
      <c r="M2526">
        <v>26</v>
      </c>
      <c r="Y2526" s="1">
        <f t="shared" si="197"/>
        <v>1032.9770000000001</v>
      </c>
      <c r="Z2526" s="2">
        <f t="shared" si="198"/>
        <v>96807.6</v>
      </c>
      <c r="AA2526" s="2">
        <f t="shared" si="199"/>
        <v>96807.576548170953</v>
      </c>
      <c r="AB2526" s="1">
        <f t="shared" si="200"/>
        <v>9.6858534385649897E-2</v>
      </c>
      <c r="AC2526" s="1" t="b">
        <f t="shared" si="201"/>
        <v>1</v>
      </c>
    </row>
    <row r="2527" spans="1:29" x14ac:dyDescent="0.25">
      <c r="A2527" s="1" t="s">
        <v>948</v>
      </c>
      <c r="B2527">
        <v>70</v>
      </c>
      <c r="D2527" s="2">
        <v>96824.4</v>
      </c>
      <c r="E2527">
        <v>21238</v>
      </c>
      <c r="F2527" t="s">
        <v>15</v>
      </c>
      <c r="G2527" t="s">
        <v>50</v>
      </c>
      <c r="H2527">
        <v>118063</v>
      </c>
      <c r="I2527" t="s">
        <v>17</v>
      </c>
      <c r="J2527" t="s">
        <v>57</v>
      </c>
      <c r="K2527">
        <v>21238.78</v>
      </c>
      <c r="L2527">
        <v>118063</v>
      </c>
      <c r="M2527">
        <v>26</v>
      </c>
      <c r="Y2527" s="1">
        <f t="shared" si="197"/>
        <v>1032.798</v>
      </c>
      <c r="Z2527" s="2">
        <f t="shared" si="198"/>
        <v>96824.4</v>
      </c>
      <c r="AA2527" s="2">
        <f t="shared" si="199"/>
        <v>96824.354810911711</v>
      </c>
      <c r="AB2527" s="1">
        <f t="shared" si="200"/>
        <v>9.687477842274661E-2</v>
      </c>
      <c r="AC2527" s="1" t="b">
        <f t="shared" si="201"/>
        <v>1</v>
      </c>
    </row>
    <row r="2528" spans="1:29" x14ac:dyDescent="0.25">
      <c r="A2528" s="1" t="s">
        <v>949</v>
      </c>
      <c r="B2528">
        <v>2</v>
      </c>
      <c r="D2528" s="2">
        <v>96852.7</v>
      </c>
      <c r="M2528">
        <v>26</v>
      </c>
      <c r="Y2528" s="1">
        <f t="shared" si="197"/>
        <v>1032.4960000000001</v>
      </c>
      <c r="Z2528" s="2">
        <f t="shared" si="198"/>
        <v>96852.7</v>
      </c>
      <c r="AA2528" s="2">
        <f t="shared" si="199"/>
        <v>96852.675458306854</v>
      </c>
      <c r="AB2528" s="1">
        <f t="shared" si="200"/>
        <v>9.6902203717160573E-2</v>
      </c>
      <c r="AC2528" s="1" t="b">
        <f t="shared" si="201"/>
        <v>1</v>
      </c>
    </row>
    <row r="2529" spans="1:29" x14ac:dyDescent="0.25">
      <c r="A2529" s="1" t="s">
        <v>950</v>
      </c>
      <c r="B2529">
        <v>200</v>
      </c>
      <c r="D2529" s="2">
        <v>96857</v>
      </c>
      <c r="M2529">
        <v>26</v>
      </c>
      <c r="Y2529" s="1">
        <f t="shared" si="197"/>
        <v>1032.45</v>
      </c>
      <c r="Z2529" s="2">
        <f t="shared" si="198"/>
        <v>96857</v>
      </c>
      <c r="AA2529" s="2">
        <f t="shared" si="199"/>
        <v>96856.990653300396</v>
      </c>
      <c r="AB2529" s="1">
        <f t="shared" si="200"/>
        <v>9.6906383192067597E-2</v>
      </c>
      <c r="AC2529" s="1" t="b">
        <f t="shared" si="201"/>
        <v>1</v>
      </c>
    </row>
    <row r="2530" spans="1:29" x14ac:dyDescent="0.25">
      <c r="A2530" s="1" t="s">
        <v>951</v>
      </c>
      <c r="B2530">
        <v>10</v>
      </c>
      <c r="D2530" s="2">
        <v>96871.2</v>
      </c>
      <c r="M2530">
        <v>26</v>
      </c>
      <c r="Y2530" s="1">
        <f t="shared" si="197"/>
        <v>1032.299</v>
      </c>
      <c r="Z2530" s="2">
        <f t="shared" si="198"/>
        <v>96871.2</v>
      </c>
      <c r="AA2530" s="2">
        <f t="shared" si="199"/>
        <v>96871.158453122596</v>
      </c>
      <c r="AB2530" s="1">
        <f t="shared" si="200"/>
        <v>9.6920106700249933E-2</v>
      </c>
      <c r="AC2530" s="1" t="b">
        <f t="shared" si="201"/>
        <v>1</v>
      </c>
    </row>
    <row r="2531" spans="1:29" x14ac:dyDescent="0.25">
      <c r="A2531" s="1" t="s">
        <v>952</v>
      </c>
      <c r="B2531">
        <v>7</v>
      </c>
      <c r="D2531" s="2">
        <v>96878.5</v>
      </c>
      <c r="E2531">
        <v>19360</v>
      </c>
      <c r="F2531" t="s">
        <v>15</v>
      </c>
      <c r="G2531" t="s">
        <v>50</v>
      </c>
      <c r="H2531">
        <v>116238</v>
      </c>
      <c r="I2531" t="s">
        <v>17</v>
      </c>
      <c r="J2531" t="s">
        <v>57</v>
      </c>
      <c r="K2531">
        <v>19360.099999999999</v>
      </c>
      <c r="L2531">
        <v>116238.8</v>
      </c>
      <c r="M2531">
        <v>26</v>
      </c>
      <c r="Y2531" s="1">
        <f t="shared" si="197"/>
        <v>1032.221</v>
      </c>
      <c r="Z2531" s="2">
        <f t="shared" si="198"/>
        <v>96878.5</v>
      </c>
      <c r="AA2531" s="2">
        <f t="shared" si="199"/>
        <v>96878.478542870173</v>
      </c>
      <c r="AB2531" s="1">
        <f t="shared" si="200"/>
        <v>9.6927198023906785E-2</v>
      </c>
      <c r="AC2531" s="1" t="b">
        <f t="shared" si="201"/>
        <v>1</v>
      </c>
    </row>
    <row r="2532" spans="1:29" x14ac:dyDescent="0.25">
      <c r="A2532" s="1" t="s">
        <v>953</v>
      </c>
      <c r="B2532">
        <v>2</v>
      </c>
      <c r="D2532" s="2">
        <v>96885.4</v>
      </c>
      <c r="M2532">
        <v>26</v>
      </c>
      <c r="Y2532" s="1">
        <f t="shared" si="197"/>
        <v>1032.1469999999999</v>
      </c>
      <c r="Z2532" s="2">
        <f t="shared" si="198"/>
        <v>96885.4</v>
      </c>
      <c r="AA2532" s="2">
        <f t="shared" si="199"/>
        <v>96885.424266117145</v>
      </c>
      <c r="AB2532" s="1">
        <f t="shared" si="200"/>
        <v>9.6933927176127616E-2</v>
      </c>
      <c r="AC2532" s="1" t="b">
        <f t="shared" si="201"/>
        <v>1</v>
      </c>
    </row>
    <row r="2533" spans="1:29" x14ac:dyDescent="0.25">
      <c r="A2533" s="1" t="s">
        <v>954</v>
      </c>
      <c r="B2533">
        <v>400</v>
      </c>
      <c r="D2533" s="2">
        <v>96891.4</v>
      </c>
      <c r="M2533">
        <v>26</v>
      </c>
      <c r="Y2533" s="1">
        <f t="shared" si="197"/>
        <v>1032.0830000000001</v>
      </c>
      <c r="Z2533" s="2">
        <f t="shared" si="198"/>
        <v>96891.4</v>
      </c>
      <c r="AA2533" s="2">
        <f t="shared" si="199"/>
        <v>96891.432181326498</v>
      </c>
      <c r="AB2533" s="1">
        <f t="shared" si="200"/>
        <v>9.6939748150742966E-2</v>
      </c>
      <c r="AC2533" s="1" t="b">
        <f t="shared" si="201"/>
        <v>1</v>
      </c>
    </row>
    <row r="2534" spans="1:29" x14ac:dyDescent="0.25">
      <c r="A2534" s="1" t="s">
        <v>955</v>
      </c>
      <c r="B2534">
        <v>10</v>
      </c>
      <c r="D2534" s="2">
        <v>96911.4</v>
      </c>
      <c r="E2534">
        <v>24470</v>
      </c>
      <c r="F2534" t="s">
        <v>15</v>
      </c>
      <c r="G2534" t="s">
        <v>18</v>
      </c>
      <c r="H2534">
        <v>121382</v>
      </c>
      <c r="I2534" t="s">
        <v>17</v>
      </c>
      <c r="J2534" t="s">
        <v>16</v>
      </c>
      <c r="K2534">
        <v>24470.9</v>
      </c>
      <c r="L2534">
        <v>121382.6</v>
      </c>
      <c r="M2534">
        <v>26</v>
      </c>
      <c r="Y2534" s="1">
        <f t="shared" si="197"/>
        <v>1031.8699999999999</v>
      </c>
      <c r="Z2534" s="2">
        <f t="shared" si="198"/>
        <v>96911.4</v>
      </c>
      <c r="AA2534" s="2">
        <f t="shared" si="199"/>
        <v>96911.432641708758</v>
      </c>
      <c r="AB2534" s="1">
        <f t="shared" si="200"/>
        <v>9.6959128883342266E-2</v>
      </c>
      <c r="AC2534" s="1" t="b">
        <f t="shared" si="201"/>
        <v>1</v>
      </c>
    </row>
    <row r="2535" spans="1:29" x14ac:dyDescent="0.25">
      <c r="A2535" s="1" t="s">
        <v>956</v>
      </c>
      <c r="B2535">
        <v>20</v>
      </c>
      <c r="D2535" s="2">
        <v>96933.5</v>
      </c>
      <c r="E2535">
        <v>21535</v>
      </c>
      <c r="F2535" t="s">
        <v>15</v>
      </c>
      <c r="G2535" t="s">
        <v>16</v>
      </c>
      <c r="H2535">
        <v>118468</v>
      </c>
      <c r="I2535" t="s">
        <v>17</v>
      </c>
      <c r="J2535" t="s">
        <v>16</v>
      </c>
      <c r="K2535">
        <v>21535.17</v>
      </c>
      <c r="L2535">
        <v>118468.8</v>
      </c>
      <c r="M2535">
        <v>26</v>
      </c>
      <c r="Y2535" s="1">
        <f t="shared" si="197"/>
        <v>1031.635</v>
      </c>
      <c r="Z2535" s="2">
        <f t="shared" si="198"/>
        <v>96933.5</v>
      </c>
      <c r="AA2535" s="2">
        <f t="shared" si="199"/>
        <v>96933.508459871955</v>
      </c>
      <c r="AB2535" s="1">
        <f t="shared" si="200"/>
        <v>9.6980525311700344E-2</v>
      </c>
      <c r="AC2535" s="1" t="b">
        <f t="shared" si="201"/>
        <v>1</v>
      </c>
    </row>
    <row r="2536" spans="1:29" x14ac:dyDescent="0.25">
      <c r="A2536" s="1" t="s">
        <v>957</v>
      </c>
      <c r="B2536">
        <v>300</v>
      </c>
      <c r="D2536" s="2">
        <v>96942.8</v>
      </c>
      <c r="E2536">
        <v>13352</v>
      </c>
      <c r="F2536" t="s">
        <v>15</v>
      </c>
      <c r="G2536" t="s">
        <v>23</v>
      </c>
      <c r="H2536">
        <v>110295</v>
      </c>
      <c r="I2536" t="s">
        <v>17</v>
      </c>
      <c r="J2536" t="s">
        <v>23</v>
      </c>
      <c r="K2536">
        <v>13352.1</v>
      </c>
      <c r="L2536">
        <v>110295.1</v>
      </c>
      <c r="M2536">
        <v>26</v>
      </c>
      <c r="Y2536" s="1">
        <f t="shared" si="197"/>
        <v>1031.5360000000001</v>
      </c>
      <c r="Z2536" s="2">
        <f t="shared" si="198"/>
        <v>96942.8</v>
      </c>
      <c r="AA2536" s="2">
        <f t="shared" si="199"/>
        <v>96942.811496641894</v>
      </c>
      <c r="AB2536" s="1">
        <f t="shared" si="200"/>
        <v>9.6989543504367226E-2</v>
      </c>
      <c r="AC2536" s="1" t="b">
        <f t="shared" si="201"/>
        <v>1</v>
      </c>
    </row>
    <row r="2537" spans="1:29" x14ac:dyDescent="0.25">
      <c r="A2537" s="1" t="s">
        <v>958</v>
      </c>
      <c r="B2537">
        <v>5</v>
      </c>
      <c r="D2537" s="2">
        <v>96952.3</v>
      </c>
      <c r="M2537">
        <v>26</v>
      </c>
      <c r="Y2537" s="1">
        <f t="shared" si="197"/>
        <v>1031.4349999999999</v>
      </c>
      <c r="Z2537" s="2">
        <f t="shared" si="198"/>
        <v>96952.3</v>
      </c>
      <c r="AA2537" s="2">
        <f t="shared" si="199"/>
        <v>96952.30431389279</v>
      </c>
      <c r="AB2537" s="1">
        <f t="shared" si="200"/>
        <v>9.6998746558868365E-2</v>
      </c>
      <c r="AC2537" s="1" t="b">
        <f t="shared" si="201"/>
        <v>1</v>
      </c>
    </row>
    <row r="2538" spans="1:29" x14ac:dyDescent="0.25">
      <c r="A2538" s="1" t="s">
        <v>959</v>
      </c>
      <c r="B2538">
        <v>3</v>
      </c>
      <c r="D2538" s="2">
        <v>96959.4</v>
      </c>
      <c r="M2538">
        <v>26</v>
      </c>
      <c r="Y2538" s="1">
        <f t="shared" si="197"/>
        <v>1031.3599999999999</v>
      </c>
      <c r="Z2538" s="2">
        <f t="shared" si="198"/>
        <v>96959.4</v>
      </c>
      <c r="AA2538" s="2">
        <f t="shared" si="199"/>
        <v>96959.354638535529</v>
      </c>
      <c r="AB2538" s="1">
        <f t="shared" si="200"/>
        <v>9.700558225960651E-2</v>
      </c>
      <c r="AC2538" s="1" t="b">
        <f t="shared" si="201"/>
        <v>1</v>
      </c>
    </row>
    <row r="2539" spans="1:29" x14ac:dyDescent="0.25">
      <c r="A2539" s="1" t="s">
        <v>960</v>
      </c>
      <c r="B2539">
        <v>2</v>
      </c>
      <c r="D2539" s="2">
        <v>96965.3</v>
      </c>
      <c r="M2539">
        <v>26</v>
      </c>
      <c r="Y2539" s="1">
        <f t="shared" si="197"/>
        <v>1031.297</v>
      </c>
      <c r="Z2539" s="2">
        <f t="shared" si="198"/>
        <v>96965.3</v>
      </c>
      <c r="AA2539" s="2">
        <f t="shared" si="199"/>
        <v>96965.277703707077</v>
      </c>
      <c r="AB2539" s="1">
        <f t="shared" si="200"/>
        <v>9.7011325400785164E-2</v>
      </c>
      <c r="AC2539" s="1" t="b">
        <f t="shared" si="201"/>
        <v>1</v>
      </c>
    </row>
    <row r="2540" spans="1:29" x14ac:dyDescent="0.25">
      <c r="A2540" s="1" t="s">
        <v>961</v>
      </c>
      <c r="B2540">
        <v>20</v>
      </c>
      <c r="D2540" s="2">
        <v>96977.1</v>
      </c>
      <c r="M2540">
        <v>26</v>
      </c>
      <c r="Y2540" s="1">
        <f t="shared" si="197"/>
        <v>1031.171</v>
      </c>
      <c r="Z2540" s="2">
        <f t="shared" si="198"/>
        <v>96977.1</v>
      </c>
      <c r="AA2540" s="2">
        <f t="shared" si="199"/>
        <v>96977.12600528913</v>
      </c>
      <c r="AB2540" s="1">
        <f t="shared" si="200"/>
        <v>9.7022814841228627E-2</v>
      </c>
      <c r="AC2540" s="1" t="b">
        <f t="shared" si="201"/>
        <v>1</v>
      </c>
    </row>
    <row r="2541" spans="1:29" x14ac:dyDescent="0.25">
      <c r="A2541" s="1" t="s">
        <v>962</v>
      </c>
      <c r="B2541">
        <v>5</v>
      </c>
      <c r="D2541" s="2">
        <v>96998.5</v>
      </c>
      <c r="M2541">
        <v>26</v>
      </c>
      <c r="Y2541" s="1">
        <f t="shared" si="197"/>
        <v>1030.944</v>
      </c>
      <c r="Z2541" s="2">
        <f t="shared" si="198"/>
        <v>96998.5</v>
      </c>
      <c r="AA2541" s="2">
        <f t="shared" si="199"/>
        <v>96998.479063848281</v>
      </c>
      <c r="AB2541" s="1">
        <f t="shared" si="200"/>
        <v>9.7043524703499057E-2</v>
      </c>
      <c r="AC2541" s="1" t="b">
        <f t="shared" si="201"/>
        <v>1</v>
      </c>
    </row>
    <row r="2542" spans="1:29" x14ac:dyDescent="0.25">
      <c r="A2542" s="1" t="s">
        <v>963</v>
      </c>
      <c r="B2542">
        <v>300</v>
      </c>
      <c r="D2542" s="2">
        <v>97007.2</v>
      </c>
      <c r="E2542">
        <v>20315</v>
      </c>
      <c r="F2542" t="s">
        <v>15</v>
      </c>
      <c r="G2542" t="s">
        <v>16</v>
      </c>
      <c r="H2542">
        <v>117323</v>
      </c>
      <c r="I2542" t="s">
        <v>17</v>
      </c>
      <c r="J2542" t="s">
        <v>23</v>
      </c>
      <c r="K2542">
        <v>20315.650000000001</v>
      </c>
      <c r="L2542">
        <v>117323.1</v>
      </c>
      <c r="M2542">
        <v>26</v>
      </c>
      <c r="Y2542" s="1">
        <f t="shared" si="197"/>
        <v>1030.8510000000001</v>
      </c>
      <c r="Z2542" s="2">
        <f t="shared" si="198"/>
        <v>97007.2</v>
      </c>
      <c r="AA2542" s="2">
        <f t="shared" si="199"/>
        <v>97007.229948848078</v>
      </c>
      <c r="AB2542" s="1">
        <f t="shared" si="200"/>
        <v>9.7052013311743429E-2</v>
      </c>
      <c r="AC2542" s="1" t="b">
        <f t="shared" si="201"/>
        <v>1</v>
      </c>
    </row>
    <row r="2543" spans="1:29" x14ac:dyDescent="0.25">
      <c r="A2543" s="1" t="s">
        <v>964</v>
      </c>
      <c r="B2543">
        <v>50</v>
      </c>
      <c r="D2543" s="2">
        <v>97022.7</v>
      </c>
      <c r="E2543">
        <v>16135</v>
      </c>
      <c r="F2543" t="s">
        <v>15</v>
      </c>
      <c r="G2543" t="s">
        <v>18</v>
      </c>
      <c r="H2543">
        <v>113158</v>
      </c>
      <c r="I2543" t="s">
        <v>17</v>
      </c>
      <c r="J2543" t="s">
        <v>16</v>
      </c>
      <c r="K2543">
        <v>16135.97</v>
      </c>
      <c r="L2543">
        <v>113158.8</v>
      </c>
      <c r="M2543">
        <v>26</v>
      </c>
      <c r="Y2543" s="1">
        <f t="shared" si="197"/>
        <v>1030.6869999999999</v>
      </c>
      <c r="Z2543" s="2">
        <f t="shared" si="198"/>
        <v>97022.7</v>
      </c>
      <c r="AA2543" s="2">
        <f t="shared" si="199"/>
        <v>97022.665464879261</v>
      </c>
      <c r="AB2543" s="1">
        <f t="shared" si="200"/>
        <v>9.7066988069549387E-2</v>
      </c>
      <c r="AC2543" s="1" t="b">
        <f t="shared" si="201"/>
        <v>1</v>
      </c>
    </row>
    <row r="2544" spans="1:29" x14ac:dyDescent="0.25">
      <c r="A2544" s="1" t="s">
        <v>965</v>
      </c>
      <c r="B2544">
        <v>5</v>
      </c>
      <c r="D2544" s="2">
        <v>97030.8</v>
      </c>
      <c r="M2544">
        <v>26</v>
      </c>
      <c r="Y2544" s="1">
        <f t="shared" si="197"/>
        <v>1030.5999999999999</v>
      </c>
      <c r="Z2544" s="2">
        <f t="shared" si="198"/>
        <v>97030.8</v>
      </c>
      <c r="AA2544" s="2">
        <f t="shared" si="199"/>
        <v>97030.855812148278</v>
      </c>
      <c r="AB2544" s="1">
        <f t="shared" si="200"/>
        <v>9.7074934898189552E-2</v>
      </c>
      <c r="AC2544" s="1" t="b">
        <f t="shared" si="201"/>
        <v>1</v>
      </c>
    </row>
    <row r="2545" spans="1:29" x14ac:dyDescent="0.25">
      <c r="A2545" s="1" t="s">
        <v>966</v>
      </c>
      <c r="B2545">
        <v>20</v>
      </c>
      <c r="D2545" s="2">
        <v>97040.3</v>
      </c>
      <c r="E2545">
        <v>16516</v>
      </c>
      <c r="F2545" t="s">
        <v>15</v>
      </c>
      <c r="G2545" t="s">
        <v>18</v>
      </c>
      <c r="H2545">
        <v>113556</v>
      </c>
      <c r="I2545" t="s">
        <v>17</v>
      </c>
      <c r="J2545" t="s">
        <v>28</v>
      </c>
      <c r="K2545">
        <v>16516.150000000001</v>
      </c>
      <c r="L2545">
        <v>113556.8</v>
      </c>
      <c r="M2545">
        <v>26</v>
      </c>
      <c r="Y2545" s="1">
        <f t="shared" si="197"/>
        <v>1030.5</v>
      </c>
      <c r="Z2545" s="2">
        <f t="shared" si="198"/>
        <v>97040.3</v>
      </c>
      <c r="AA2545" s="2">
        <f t="shared" si="199"/>
        <v>97040.27171276079</v>
      </c>
      <c r="AB2545" s="1">
        <f t="shared" si="200"/>
        <v>9.7084071670432204E-2</v>
      </c>
      <c r="AC2545" s="1" t="b">
        <f t="shared" si="201"/>
        <v>1</v>
      </c>
    </row>
    <row r="2546" spans="1:29" x14ac:dyDescent="0.25">
      <c r="A2546" s="1" t="s">
        <v>967</v>
      </c>
      <c r="B2546">
        <v>20</v>
      </c>
      <c r="D2546" s="2">
        <v>97056.4</v>
      </c>
      <c r="E2546">
        <v>23442</v>
      </c>
      <c r="F2546" t="s">
        <v>15</v>
      </c>
      <c r="G2546" t="s">
        <v>23</v>
      </c>
      <c r="H2546">
        <v>120498</v>
      </c>
      <c r="I2546" t="s">
        <v>17</v>
      </c>
      <c r="J2546" t="s">
        <v>50</v>
      </c>
      <c r="K2546">
        <v>23442.25</v>
      </c>
      <c r="L2546">
        <v>120498.7</v>
      </c>
      <c r="M2546">
        <v>26</v>
      </c>
      <c r="Y2546" s="1">
        <f t="shared" si="197"/>
        <v>1030.329</v>
      </c>
      <c r="Z2546" s="2">
        <f t="shared" si="198"/>
        <v>97056.4</v>
      </c>
      <c r="AA2546" s="2">
        <f t="shared" si="199"/>
        <v>97056.377137788033</v>
      </c>
      <c r="AB2546" s="1">
        <f t="shared" si="200"/>
        <v>9.7099701715562717E-2</v>
      </c>
      <c r="AC2546" s="1" t="b">
        <f t="shared" si="201"/>
        <v>1</v>
      </c>
    </row>
    <row r="2547" spans="1:29" x14ac:dyDescent="0.25">
      <c r="A2547" s="1" t="s">
        <v>968</v>
      </c>
      <c r="B2547">
        <v>40</v>
      </c>
      <c r="D2547" s="2">
        <v>97069.2</v>
      </c>
      <c r="M2547">
        <v>26</v>
      </c>
      <c r="Y2547" s="1">
        <f t="shared" si="197"/>
        <v>1030.193</v>
      </c>
      <c r="Z2547" s="2">
        <f t="shared" si="198"/>
        <v>97069.2</v>
      </c>
      <c r="AA2547" s="2">
        <f t="shared" si="199"/>
        <v>97069.189947902967</v>
      </c>
      <c r="AB2547" s="1">
        <f t="shared" si="200"/>
        <v>9.7112138185710337E-2</v>
      </c>
      <c r="AC2547" s="1" t="b">
        <f t="shared" si="201"/>
        <v>1</v>
      </c>
    </row>
    <row r="2548" spans="1:29" x14ac:dyDescent="0.25">
      <c r="A2548" s="1" t="s">
        <v>969</v>
      </c>
      <c r="B2548">
        <v>3</v>
      </c>
      <c r="D2548" s="2">
        <v>97075.6</v>
      </c>
      <c r="M2548">
        <v>26</v>
      </c>
      <c r="Y2548" s="1">
        <f t="shared" si="197"/>
        <v>1030.125</v>
      </c>
      <c r="Z2548" s="2">
        <f t="shared" si="198"/>
        <v>97075.6</v>
      </c>
      <c r="AA2548" s="2">
        <f t="shared" si="199"/>
        <v>97075.597621647859</v>
      </c>
      <c r="AB2548" s="1">
        <f t="shared" si="200"/>
        <v>9.7118358268000415E-2</v>
      </c>
      <c r="AC2548" s="1" t="b">
        <f t="shared" si="201"/>
        <v>1</v>
      </c>
    </row>
    <row r="2549" spans="1:29" x14ac:dyDescent="0.25">
      <c r="A2549" s="1" t="s">
        <v>970</v>
      </c>
      <c r="B2549">
        <v>20</v>
      </c>
      <c r="D2549" s="2">
        <v>97082.9</v>
      </c>
      <c r="E2549">
        <v>18241</v>
      </c>
      <c r="F2549" t="s">
        <v>15</v>
      </c>
      <c r="G2549" t="s">
        <v>23</v>
      </c>
      <c r="H2549">
        <v>115324</v>
      </c>
      <c r="I2549" t="s">
        <v>17</v>
      </c>
      <c r="J2549" t="s">
        <v>16</v>
      </c>
      <c r="K2549">
        <v>18241.54</v>
      </c>
      <c r="L2549">
        <v>115324.3</v>
      </c>
      <c r="M2549">
        <v>26</v>
      </c>
      <c r="Y2549" s="1">
        <f t="shared" si="197"/>
        <v>1030.047</v>
      </c>
      <c r="Z2549" s="2">
        <f t="shared" si="198"/>
        <v>97082.9</v>
      </c>
      <c r="AA2549" s="2">
        <f t="shared" si="199"/>
        <v>97082.948642149335</v>
      </c>
      <c r="AB2549" s="1">
        <f t="shared" si="200"/>
        <v>9.7125494585271033E-2</v>
      </c>
      <c r="AC2549" s="1" t="b">
        <f t="shared" si="201"/>
        <v>1</v>
      </c>
    </row>
    <row r="2550" spans="1:29" x14ac:dyDescent="0.25">
      <c r="A2550" s="1" t="s">
        <v>971</v>
      </c>
      <c r="B2550">
        <v>20</v>
      </c>
      <c r="D2550" s="2">
        <v>97107.6</v>
      </c>
      <c r="M2550">
        <v>26</v>
      </c>
      <c r="Y2550" s="1">
        <f t="shared" si="197"/>
        <v>1029.7850000000001</v>
      </c>
      <c r="Z2550" s="2">
        <f t="shared" si="198"/>
        <v>97107.6</v>
      </c>
      <c r="AA2550" s="2">
        <f t="shared" si="199"/>
        <v>97107.648683948588</v>
      </c>
      <c r="AB2550" s="1">
        <f t="shared" si="200"/>
        <v>9.7149477164625908E-2</v>
      </c>
      <c r="AC2550" s="1" t="b">
        <f t="shared" si="201"/>
        <v>1</v>
      </c>
    </row>
    <row r="2551" spans="1:29" x14ac:dyDescent="0.25">
      <c r="A2551" s="1" t="s">
        <v>972</v>
      </c>
      <c r="B2551">
        <v>200</v>
      </c>
      <c r="D2551" s="2">
        <v>97114.6</v>
      </c>
      <c r="E2551">
        <v>16516</v>
      </c>
      <c r="F2551" t="s">
        <v>15</v>
      </c>
      <c r="G2551" t="s">
        <v>18</v>
      </c>
      <c r="H2551">
        <v>113630</v>
      </c>
      <c r="I2551" t="s">
        <v>17</v>
      </c>
      <c r="J2551" t="s">
        <v>18</v>
      </c>
      <c r="K2551">
        <v>16516.150000000001</v>
      </c>
      <c r="L2551">
        <v>113630.9</v>
      </c>
      <c r="M2551">
        <v>26</v>
      </c>
      <c r="Y2551" s="1">
        <f t="shared" si="197"/>
        <v>1029.711</v>
      </c>
      <c r="Z2551" s="2">
        <f t="shared" si="198"/>
        <v>97114.6</v>
      </c>
      <c r="AA2551" s="2">
        <f t="shared" si="199"/>
        <v>97114.627308050505</v>
      </c>
      <c r="AB2551" s="1">
        <f t="shared" si="200"/>
        <v>9.7156254185907759E-2</v>
      </c>
      <c r="AC2551" s="1" t="b">
        <f t="shared" si="201"/>
        <v>1</v>
      </c>
    </row>
    <row r="2552" spans="1:29" x14ac:dyDescent="0.25">
      <c r="A2552" s="1" t="s">
        <v>973</v>
      </c>
      <c r="B2552">
        <v>50</v>
      </c>
      <c r="D2552" s="2">
        <v>97122.2</v>
      </c>
      <c r="M2552">
        <v>26</v>
      </c>
      <c r="Y2552" s="1">
        <f t="shared" si="197"/>
        <v>1029.6310000000001</v>
      </c>
      <c r="Z2552" s="2">
        <f t="shared" si="198"/>
        <v>97122.2</v>
      </c>
      <c r="AA2552" s="2">
        <f t="shared" si="199"/>
        <v>97122.172894949734</v>
      </c>
      <c r="AB2552" s="1">
        <f t="shared" si="200"/>
        <v>9.7163582339182542E-2</v>
      </c>
      <c r="AC2552" s="1" t="b">
        <f t="shared" si="201"/>
        <v>1</v>
      </c>
    </row>
    <row r="2553" spans="1:29" x14ac:dyDescent="0.25">
      <c r="A2553" s="1" t="s">
        <v>974</v>
      </c>
      <c r="B2553">
        <v>5</v>
      </c>
      <c r="D2553" s="2">
        <v>97144.6</v>
      </c>
      <c r="E2553">
        <v>19308</v>
      </c>
      <c r="F2553" t="s">
        <v>15</v>
      </c>
      <c r="G2553" t="s">
        <v>23</v>
      </c>
      <c r="H2553">
        <v>116453</v>
      </c>
      <c r="I2553" t="s">
        <v>17</v>
      </c>
      <c r="J2553" t="s">
        <v>16</v>
      </c>
      <c r="K2553">
        <v>19308.93</v>
      </c>
      <c r="L2553">
        <v>116453.2</v>
      </c>
      <c r="M2553">
        <v>26</v>
      </c>
      <c r="Y2553" s="1">
        <f t="shared" si="197"/>
        <v>1029.393</v>
      </c>
      <c r="Z2553" s="2">
        <f t="shared" si="198"/>
        <v>97144.6</v>
      </c>
      <c r="AA2553" s="2">
        <f t="shared" si="199"/>
        <v>97144.627950646638</v>
      </c>
      <c r="AB2553" s="1">
        <f t="shared" si="200"/>
        <v>9.7185393698347777E-2</v>
      </c>
      <c r="AC2553" s="1" t="b">
        <f t="shared" si="201"/>
        <v>1</v>
      </c>
    </row>
    <row r="2554" spans="1:29" x14ac:dyDescent="0.25">
      <c r="A2554" s="1" t="s">
        <v>975</v>
      </c>
      <c r="B2554">
        <v>10</v>
      </c>
      <c r="C2554" t="s">
        <v>123</v>
      </c>
      <c r="D2554" s="2">
        <v>97154.9</v>
      </c>
      <c r="M2554">
        <v>26</v>
      </c>
      <c r="Y2554" s="1">
        <f t="shared" si="197"/>
        <v>1029.2840000000001</v>
      </c>
      <c r="Z2554" s="2">
        <f t="shared" si="198"/>
        <v>97154.9</v>
      </c>
      <c r="AA2554" s="2">
        <f t="shared" si="199"/>
        <v>97154.915455792565</v>
      </c>
      <c r="AB2554" s="1">
        <f t="shared" si="200"/>
        <v>9.719538798611102E-2</v>
      </c>
      <c r="AC2554" s="1" t="b">
        <f t="shared" si="201"/>
        <v>1</v>
      </c>
    </row>
    <row r="2555" spans="1:29" x14ac:dyDescent="0.25">
      <c r="A2555" s="1" t="s">
        <v>976</v>
      </c>
      <c r="B2555">
        <v>100</v>
      </c>
      <c r="D2555" s="2">
        <v>97161.7</v>
      </c>
      <c r="E2555">
        <v>18241</v>
      </c>
      <c r="F2555" t="s">
        <v>15</v>
      </c>
      <c r="G2555" t="s">
        <v>23</v>
      </c>
      <c r="H2555">
        <v>115403</v>
      </c>
      <c r="I2555" t="s">
        <v>17</v>
      </c>
      <c r="J2555" t="s">
        <v>23</v>
      </c>
      <c r="K2555">
        <v>18241.54</v>
      </c>
      <c r="L2555">
        <v>115403.3</v>
      </c>
      <c r="M2555">
        <v>26</v>
      </c>
      <c r="Y2555" s="1">
        <f t="shared" si="197"/>
        <v>1029.212</v>
      </c>
      <c r="Z2555" s="2">
        <f t="shared" si="198"/>
        <v>97161.7</v>
      </c>
      <c r="AA2555" s="2">
        <f t="shared" si="199"/>
        <v>97161.712067095999</v>
      </c>
      <c r="AB2555" s="1">
        <f t="shared" si="200"/>
        <v>9.7201991459046344E-2</v>
      </c>
      <c r="AC2555" s="1" t="b">
        <f t="shared" si="201"/>
        <v>1</v>
      </c>
    </row>
    <row r="2556" spans="1:29" x14ac:dyDescent="0.25">
      <c r="A2556" s="1" t="s">
        <v>977</v>
      </c>
      <c r="B2556">
        <v>30</v>
      </c>
      <c r="D2556" s="2">
        <v>97166.8</v>
      </c>
      <c r="E2556">
        <v>18241</v>
      </c>
      <c r="F2556" t="s">
        <v>15</v>
      </c>
      <c r="G2556" t="s">
        <v>23</v>
      </c>
      <c r="H2556">
        <v>115408</v>
      </c>
      <c r="I2556" t="s">
        <v>17</v>
      </c>
      <c r="J2556" t="s">
        <v>50</v>
      </c>
      <c r="K2556">
        <v>18241.54</v>
      </c>
      <c r="L2556">
        <v>115408.4</v>
      </c>
      <c r="M2556">
        <v>26</v>
      </c>
      <c r="Y2556" s="1">
        <f t="shared" si="197"/>
        <v>1029.1579999999999</v>
      </c>
      <c r="Z2556" s="2">
        <f t="shared" si="198"/>
        <v>97166.8</v>
      </c>
      <c r="AA2556" s="2">
        <f t="shared" si="199"/>
        <v>97166.810149656332</v>
      </c>
      <c r="AB2556" s="1">
        <f t="shared" si="200"/>
        <v>9.7206944973296794E-2</v>
      </c>
      <c r="AC2556" s="1" t="b">
        <f t="shared" si="201"/>
        <v>1</v>
      </c>
    </row>
    <row r="2557" spans="1:29" x14ac:dyDescent="0.25">
      <c r="A2557" s="1" t="s">
        <v>978</v>
      </c>
      <c r="B2557">
        <v>2000</v>
      </c>
      <c r="D2557" s="2">
        <v>97178.7</v>
      </c>
      <c r="E2557">
        <v>13352</v>
      </c>
      <c r="F2557" t="s">
        <v>15</v>
      </c>
      <c r="G2557" t="s">
        <v>23</v>
      </c>
      <c r="H2557">
        <v>110530</v>
      </c>
      <c r="I2557" t="s">
        <v>17</v>
      </c>
      <c r="J2557" t="s">
        <v>50</v>
      </c>
      <c r="K2557">
        <v>13352.1</v>
      </c>
      <c r="L2557">
        <v>110530.9</v>
      </c>
      <c r="M2557">
        <v>26</v>
      </c>
      <c r="Y2557" s="1">
        <f t="shared" si="197"/>
        <v>1029.0319999999999</v>
      </c>
      <c r="Z2557" s="2">
        <f t="shared" si="198"/>
        <v>97178.7</v>
      </c>
      <c r="AA2557" s="2">
        <f t="shared" si="199"/>
        <v>97178.707756415752</v>
      </c>
      <c r="AB2557" s="1">
        <f t="shared" si="200"/>
        <v>9.7218506206034283E-2</v>
      </c>
      <c r="AC2557" s="1" t="b">
        <f t="shared" si="201"/>
        <v>1</v>
      </c>
    </row>
    <row r="2558" spans="1:29" x14ac:dyDescent="0.25">
      <c r="A2558" s="1" t="s">
        <v>979</v>
      </c>
      <c r="B2558">
        <v>100</v>
      </c>
      <c r="D2558" s="2">
        <v>97191.1</v>
      </c>
      <c r="E2558">
        <v>17534</v>
      </c>
      <c r="F2558" t="s">
        <v>15</v>
      </c>
      <c r="G2558" t="s">
        <v>57</v>
      </c>
      <c r="H2558">
        <v>114725</v>
      </c>
      <c r="I2558" t="s">
        <v>17</v>
      </c>
      <c r="J2558" t="s">
        <v>528</v>
      </c>
      <c r="K2558">
        <v>17534.759999999998</v>
      </c>
      <c r="L2558">
        <v>114725.6</v>
      </c>
      <c r="M2558">
        <v>26</v>
      </c>
      <c r="Y2558" s="1">
        <f t="shared" si="197"/>
        <v>1028.9010000000001</v>
      </c>
      <c r="Z2558" s="2">
        <f t="shared" si="198"/>
        <v>97191.1</v>
      </c>
      <c r="AA2558" s="2">
        <f t="shared" si="199"/>
        <v>97191.080580152993</v>
      </c>
      <c r="AB2558" s="1">
        <f t="shared" si="200"/>
        <v>9.7230530721688968E-2</v>
      </c>
      <c r="AC2558" s="1" t="b">
        <f t="shared" si="201"/>
        <v>1</v>
      </c>
    </row>
    <row r="2559" spans="1:29" x14ac:dyDescent="0.25">
      <c r="A2559" s="1" t="s">
        <v>980</v>
      </c>
      <c r="B2559">
        <v>8</v>
      </c>
      <c r="C2559" t="s">
        <v>123</v>
      </c>
      <c r="D2559" s="2">
        <v>97209</v>
      </c>
      <c r="E2559">
        <v>18211</v>
      </c>
      <c r="F2559" t="s">
        <v>15</v>
      </c>
      <c r="G2559" t="s">
        <v>28</v>
      </c>
      <c r="H2559">
        <v>115420</v>
      </c>
      <c r="I2559" t="s">
        <v>17</v>
      </c>
      <c r="J2559" t="s">
        <v>18</v>
      </c>
      <c r="K2559">
        <v>18211.759999999998</v>
      </c>
      <c r="L2559">
        <v>115420.8</v>
      </c>
      <c r="M2559">
        <v>26</v>
      </c>
      <c r="Y2559" s="1">
        <f t="shared" si="197"/>
        <v>1028.711</v>
      </c>
      <c r="Z2559" s="2">
        <f t="shared" si="198"/>
        <v>97209</v>
      </c>
      <c r="AA2559" s="2">
        <f t="shared" si="199"/>
        <v>97209.031496698299</v>
      </c>
      <c r="AB2559" s="1">
        <f t="shared" si="200"/>
        <v>9.724797902263041E-2</v>
      </c>
      <c r="AC2559" s="1" t="b">
        <f t="shared" si="201"/>
        <v>1</v>
      </c>
    </row>
    <row r="2560" spans="1:29" x14ac:dyDescent="0.25">
      <c r="A2560" s="1" t="s">
        <v>981</v>
      </c>
      <c r="B2560">
        <v>10</v>
      </c>
      <c r="D2560" s="2">
        <v>97250.1</v>
      </c>
      <c r="M2560">
        <v>26</v>
      </c>
      <c r="Y2560" s="1">
        <f t="shared" si="197"/>
        <v>1028.277</v>
      </c>
      <c r="Z2560" s="2">
        <f t="shared" si="198"/>
        <v>97250.1</v>
      </c>
      <c r="AA2560" s="2">
        <f t="shared" si="199"/>
        <v>97250.060051912078</v>
      </c>
      <c r="AB2560" s="1">
        <f t="shared" si="200"/>
        <v>9.7287870900502532E-2</v>
      </c>
      <c r="AC2560" s="1" t="b">
        <f t="shared" si="201"/>
        <v>1</v>
      </c>
    </row>
    <row r="2561" spans="1:29" x14ac:dyDescent="0.25">
      <c r="A2561" s="1" t="s">
        <v>982</v>
      </c>
      <c r="B2561">
        <v>20</v>
      </c>
      <c r="C2561" t="s">
        <v>122</v>
      </c>
      <c r="D2561" s="2">
        <v>97260.800000000003</v>
      </c>
      <c r="E2561">
        <v>18063</v>
      </c>
      <c r="F2561" t="s">
        <v>15</v>
      </c>
      <c r="G2561" t="s">
        <v>16</v>
      </c>
      <c r="H2561">
        <v>115324</v>
      </c>
      <c r="I2561" t="s">
        <v>17</v>
      </c>
      <c r="J2561" t="s">
        <v>16</v>
      </c>
      <c r="K2561">
        <v>18063.36</v>
      </c>
      <c r="L2561">
        <v>115324.3</v>
      </c>
      <c r="M2561">
        <v>26</v>
      </c>
      <c r="Y2561" s="1">
        <f t="shared" si="197"/>
        <v>1028.164</v>
      </c>
      <c r="Z2561" s="2">
        <f t="shared" si="198"/>
        <v>97260.800000000003</v>
      </c>
      <c r="AA2561" s="2">
        <f t="shared" si="199"/>
        <v>97260.748285293012</v>
      </c>
      <c r="AB2561" s="1">
        <f t="shared" si="200"/>
        <v>9.7298265785075638E-2</v>
      </c>
      <c r="AC2561" s="1" t="b">
        <f t="shared" si="201"/>
        <v>1</v>
      </c>
    </row>
    <row r="2562" spans="1:29" x14ac:dyDescent="0.25">
      <c r="A2562" s="1" t="s">
        <v>983</v>
      </c>
      <c r="B2562">
        <v>2</v>
      </c>
      <c r="D2562" s="2">
        <v>97273.5</v>
      </c>
      <c r="M2562">
        <v>26</v>
      </c>
      <c r="Y2562" s="1">
        <f t="shared" si="197"/>
        <v>1028.029</v>
      </c>
      <c r="Z2562" s="2">
        <f t="shared" si="198"/>
        <v>97273.5</v>
      </c>
      <c r="AA2562" s="2">
        <f t="shared" si="199"/>
        <v>97273.520494071665</v>
      </c>
      <c r="AB2562" s="1">
        <f t="shared" si="200"/>
        <v>9.7310688946552898E-2</v>
      </c>
      <c r="AC2562" s="1" t="b">
        <f t="shared" si="201"/>
        <v>1</v>
      </c>
    </row>
    <row r="2563" spans="1:29" x14ac:dyDescent="0.25">
      <c r="A2563" s="1" t="s">
        <v>984</v>
      </c>
      <c r="B2563">
        <v>100</v>
      </c>
      <c r="C2563" t="s">
        <v>124</v>
      </c>
      <c r="D2563" s="2">
        <v>97317.1</v>
      </c>
      <c r="E2563">
        <v>18921</v>
      </c>
      <c r="F2563" t="s">
        <v>15</v>
      </c>
      <c r="G2563" t="s">
        <v>57</v>
      </c>
      <c r="H2563">
        <v>116238</v>
      </c>
      <c r="I2563" t="s">
        <v>17</v>
      </c>
      <c r="J2563" t="s">
        <v>57</v>
      </c>
      <c r="K2563">
        <v>18921.240000000002</v>
      </c>
      <c r="L2563">
        <v>116238.8</v>
      </c>
      <c r="M2563">
        <v>26</v>
      </c>
      <c r="Y2563" s="1">
        <f t="shared" ref="Y2563:Y2626" si="202">ROUND($A2563,3)+0</f>
        <v>1027.569</v>
      </c>
      <c r="Z2563" s="2">
        <f t="shared" ref="Z2563:Z2626" si="203">ROUND($D2563,1)+0</f>
        <v>97317.1</v>
      </c>
      <c r="AA2563" s="2">
        <f t="shared" ref="AA2563:AA2626" si="204">100000000/Y2563</f>
        <v>97317.065812612098</v>
      </c>
      <c r="AB2563" s="1">
        <f t="shared" ref="AB2563:AB2626" si="205">0.0005/$Y2563*AA2563+0.05</f>
        <v>9.7353056491881376E-2</v>
      </c>
      <c r="AC2563" s="1" t="b">
        <f t="shared" ref="AC2563:AC2626" si="206">ABS(Z2563-AA2563)&lt;AB2563</f>
        <v>1</v>
      </c>
    </row>
    <row r="2564" spans="1:29" x14ac:dyDescent="0.25">
      <c r="A2564" s="1" t="s">
        <v>985</v>
      </c>
      <c r="B2564">
        <v>10</v>
      </c>
      <c r="C2564" t="s">
        <v>123</v>
      </c>
      <c r="D2564" s="2">
        <v>97324.7</v>
      </c>
      <c r="M2564">
        <v>26</v>
      </c>
      <c r="Y2564" s="1">
        <f t="shared" si="202"/>
        <v>1027.4880000000001</v>
      </c>
      <c r="Z2564" s="2">
        <f t="shared" si="203"/>
        <v>97324.7</v>
      </c>
      <c r="AA2564" s="2">
        <f t="shared" si="204"/>
        <v>97324.737612507393</v>
      </c>
      <c r="AB2564" s="1">
        <f t="shared" si="205"/>
        <v>9.7360522756717055E-2</v>
      </c>
      <c r="AC2564" s="1" t="b">
        <f t="shared" si="206"/>
        <v>1</v>
      </c>
    </row>
    <row r="2565" spans="1:29" x14ac:dyDescent="0.25">
      <c r="A2565" s="1" t="s">
        <v>986</v>
      </c>
      <c r="B2565">
        <v>40</v>
      </c>
      <c r="D2565" s="2">
        <v>97349.6</v>
      </c>
      <c r="M2565">
        <v>26</v>
      </c>
      <c r="Y2565" s="1">
        <f t="shared" si="202"/>
        <v>1027.2260000000001</v>
      </c>
      <c r="Z2565" s="2">
        <f t="shared" si="203"/>
        <v>97349.6</v>
      </c>
      <c r="AA2565" s="2">
        <f t="shared" si="204"/>
        <v>97349.560856130964</v>
      </c>
      <c r="AB2565" s="1">
        <f t="shared" si="205"/>
        <v>9.7384684994407736E-2</v>
      </c>
      <c r="AC2565" s="1" t="b">
        <f t="shared" si="206"/>
        <v>1</v>
      </c>
    </row>
    <row r="2566" spans="1:29" x14ac:dyDescent="0.25">
      <c r="A2566" s="1" t="s">
        <v>987</v>
      </c>
      <c r="B2566">
        <v>3</v>
      </c>
      <c r="D2566" s="2">
        <v>97357.1</v>
      </c>
      <c r="E2566">
        <v>18063</v>
      </c>
      <c r="F2566" t="s">
        <v>15</v>
      </c>
      <c r="G2566" t="s">
        <v>16</v>
      </c>
      <c r="H2566">
        <v>115420</v>
      </c>
      <c r="I2566" t="s">
        <v>17</v>
      </c>
      <c r="J2566" t="s">
        <v>18</v>
      </c>
      <c r="K2566">
        <v>18063.36</v>
      </c>
      <c r="L2566">
        <v>115420.8</v>
      </c>
      <c r="M2566">
        <v>26</v>
      </c>
      <c r="Y2566" s="1">
        <f t="shared" si="202"/>
        <v>1027.146</v>
      </c>
      <c r="Z2566" s="2">
        <f t="shared" si="203"/>
        <v>97357.1</v>
      </c>
      <c r="AA2566" s="2">
        <f t="shared" si="204"/>
        <v>97357.142996224487</v>
      </c>
      <c r="AB2566" s="1">
        <f t="shared" si="205"/>
        <v>9.7392066461936516E-2</v>
      </c>
      <c r="AC2566" s="1" t="b">
        <f t="shared" si="206"/>
        <v>1</v>
      </c>
    </row>
    <row r="2567" spans="1:29" x14ac:dyDescent="0.25">
      <c r="A2567" s="1" t="s">
        <v>988</v>
      </c>
      <c r="B2567">
        <v>2</v>
      </c>
      <c r="D2567" s="2">
        <v>97378.4</v>
      </c>
      <c r="M2567">
        <v>26</v>
      </c>
      <c r="Y2567" s="1">
        <f t="shared" si="202"/>
        <v>1026.922</v>
      </c>
      <c r="Z2567" s="2">
        <f t="shared" si="203"/>
        <v>97378.4</v>
      </c>
      <c r="AA2567" s="2">
        <f t="shared" si="204"/>
        <v>97378.379273206723</v>
      </c>
      <c r="AB2567" s="1">
        <f t="shared" si="205"/>
        <v>9.7412743749382497E-2</v>
      </c>
      <c r="AC2567" s="1" t="b">
        <f t="shared" si="206"/>
        <v>1</v>
      </c>
    </row>
    <row r="2568" spans="1:29" x14ac:dyDescent="0.25">
      <c r="A2568" s="1" t="s">
        <v>989</v>
      </c>
      <c r="B2568">
        <v>1</v>
      </c>
      <c r="D2568" s="2">
        <v>97398.9</v>
      </c>
      <c r="M2568">
        <v>26</v>
      </c>
      <c r="Y2568" s="1">
        <f t="shared" si="202"/>
        <v>1026.7059999999999</v>
      </c>
      <c r="Z2568" s="2">
        <f t="shared" si="203"/>
        <v>97398.9</v>
      </c>
      <c r="AA2568" s="2">
        <f t="shared" si="204"/>
        <v>97398.865887605614</v>
      </c>
      <c r="AB2568" s="1">
        <f t="shared" si="205"/>
        <v>9.7432695380958917E-2</v>
      </c>
      <c r="AC2568" s="1" t="b">
        <f t="shared" si="206"/>
        <v>1</v>
      </c>
    </row>
    <row r="2569" spans="1:29" x14ac:dyDescent="0.25">
      <c r="A2569" s="1" t="s">
        <v>990</v>
      </c>
      <c r="B2569">
        <v>20</v>
      </c>
      <c r="D2569" s="2">
        <v>97420.6</v>
      </c>
      <c r="E2569">
        <v>16135</v>
      </c>
      <c r="F2569" t="s">
        <v>15</v>
      </c>
      <c r="G2569" t="s">
        <v>18</v>
      </c>
      <c r="H2569">
        <v>113556</v>
      </c>
      <c r="I2569" t="s">
        <v>17</v>
      </c>
      <c r="J2569" t="s">
        <v>28</v>
      </c>
      <c r="K2569">
        <v>16135.97</v>
      </c>
      <c r="L2569">
        <v>113556.8</v>
      </c>
      <c r="M2569">
        <v>26</v>
      </c>
      <c r="Y2569" s="1">
        <f t="shared" si="202"/>
        <v>1026.4770000000001</v>
      </c>
      <c r="Z2569" s="2">
        <f t="shared" si="203"/>
        <v>97420.6</v>
      </c>
      <c r="AA2569" s="2">
        <f t="shared" si="204"/>
        <v>97420.594908604864</v>
      </c>
      <c r="AB2569" s="1">
        <f t="shared" si="205"/>
        <v>9.7453861561732441E-2</v>
      </c>
      <c r="AC2569" s="1" t="b">
        <f t="shared" si="206"/>
        <v>1</v>
      </c>
    </row>
    <row r="2570" spans="1:29" x14ac:dyDescent="0.25">
      <c r="A2570" s="1" t="s">
        <v>991</v>
      </c>
      <c r="B2570">
        <v>1</v>
      </c>
      <c r="D2570" s="2">
        <v>97426.5</v>
      </c>
      <c r="M2570">
        <v>26</v>
      </c>
      <c r="Y2570" s="1">
        <f t="shared" si="202"/>
        <v>1026.415</v>
      </c>
      <c r="Z2570" s="2">
        <f t="shared" si="203"/>
        <v>97426.5</v>
      </c>
      <c r="AA2570" s="2">
        <f t="shared" si="204"/>
        <v>97426.479542874964</v>
      </c>
      <c r="AB2570" s="1">
        <f t="shared" si="205"/>
        <v>9.7459594580591169E-2</v>
      </c>
      <c r="AC2570" s="1" t="b">
        <f t="shared" si="206"/>
        <v>1</v>
      </c>
    </row>
    <row r="2571" spans="1:29" x14ac:dyDescent="0.25">
      <c r="A2571" s="1" t="s">
        <v>992</v>
      </c>
      <c r="B2571">
        <v>2</v>
      </c>
      <c r="D2571" s="2">
        <v>97434.3</v>
      </c>
      <c r="E2571">
        <v>14558</v>
      </c>
      <c r="F2571" t="s">
        <v>15</v>
      </c>
      <c r="G2571" t="s">
        <v>16</v>
      </c>
      <c r="H2571">
        <v>111993</v>
      </c>
      <c r="I2571" t="s">
        <v>17</v>
      </c>
      <c r="J2571" t="s">
        <v>16</v>
      </c>
      <c r="K2571">
        <v>14558.82</v>
      </c>
      <c r="L2571">
        <v>111993</v>
      </c>
      <c r="M2571">
        <v>26</v>
      </c>
      <c r="Y2571" s="1">
        <f t="shared" si="202"/>
        <v>1026.3330000000001</v>
      </c>
      <c r="Z2571" s="2">
        <f t="shared" si="203"/>
        <v>97434.3</v>
      </c>
      <c r="AA2571" s="2">
        <f t="shared" si="204"/>
        <v>97434.263538247324</v>
      </c>
      <c r="AB2571" s="1">
        <f t="shared" si="205"/>
        <v>9.7467178556203155E-2</v>
      </c>
      <c r="AC2571" s="1" t="b">
        <f t="shared" si="206"/>
        <v>1</v>
      </c>
    </row>
    <row r="2572" spans="1:29" x14ac:dyDescent="0.25">
      <c r="A2572" s="1" t="s">
        <v>993</v>
      </c>
      <c r="B2572">
        <v>100</v>
      </c>
      <c r="D2572" s="2">
        <v>97442</v>
      </c>
      <c r="E2572">
        <v>15454</v>
      </c>
      <c r="F2572" t="s">
        <v>15</v>
      </c>
      <c r="G2572" t="s">
        <v>50</v>
      </c>
      <c r="H2572">
        <v>112896</v>
      </c>
      <c r="I2572" t="s">
        <v>17</v>
      </c>
      <c r="J2572" t="s">
        <v>57</v>
      </c>
      <c r="K2572">
        <v>15454.16</v>
      </c>
      <c r="L2572">
        <v>112896.3</v>
      </c>
      <c r="M2572">
        <v>26</v>
      </c>
      <c r="Y2572" s="1">
        <f t="shared" si="202"/>
        <v>1026.251</v>
      </c>
      <c r="Z2572" s="2">
        <f t="shared" si="203"/>
        <v>97442</v>
      </c>
      <c r="AA2572" s="2">
        <f t="shared" si="204"/>
        <v>97442.048777540782</v>
      </c>
      <c r="AB2572" s="1">
        <f t="shared" si="205"/>
        <v>9.747476434982319E-2</v>
      </c>
      <c r="AC2572" s="1" t="b">
        <f t="shared" si="206"/>
        <v>1</v>
      </c>
    </row>
    <row r="2573" spans="1:29" x14ac:dyDescent="0.25">
      <c r="A2573" s="1" t="s">
        <v>994</v>
      </c>
      <c r="B2573">
        <v>500</v>
      </c>
      <c r="D2573" s="2">
        <v>97448.5</v>
      </c>
      <c r="E2573">
        <v>12846</v>
      </c>
      <c r="F2573" t="s">
        <v>15</v>
      </c>
      <c r="G2573" t="s">
        <v>16</v>
      </c>
      <c r="H2573">
        <v>110295</v>
      </c>
      <c r="I2573" t="s">
        <v>17</v>
      </c>
      <c r="J2573" t="s">
        <v>23</v>
      </c>
      <c r="K2573">
        <v>12846.66</v>
      </c>
      <c r="L2573">
        <v>110295.1</v>
      </c>
      <c r="M2573">
        <v>26</v>
      </c>
      <c r="Y2573" s="1">
        <f t="shared" si="202"/>
        <v>1026.183</v>
      </c>
      <c r="Z2573" s="2">
        <f t="shared" si="203"/>
        <v>97448.5</v>
      </c>
      <c r="AA2573" s="2">
        <f t="shared" si="204"/>
        <v>97448.505773336728</v>
      </c>
      <c r="AB2573" s="1">
        <f t="shared" si="205"/>
        <v>9.7481056387280218E-2</v>
      </c>
      <c r="AC2573" s="1" t="b">
        <f t="shared" si="206"/>
        <v>1</v>
      </c>
    </row>
    <row r="2574" spans="1:29" x14ac:dyDescent="0.25">
      <c r="A2574" s="1" t="s">
        <v>995</v>
      </c>
      <c r="B2574">
        <v>100</v>
      </c>
      <c r="C2574" t="s">
        <v>122</v>
      </c>
      <c r="D2574" s="2">
        <v>97463</v>
      </c>
      <c r="E2574">
        <v>18990</v>
      </c>
      <c r="F2574" t="s">
        <v>15</v>
      </c>
      <c r="G2574" t="s">
        <v>18</v>
      </c>
      <c r="H2574">
        <v>116453</v>
      </c>
      <c r="I2574" t="s">
        <v>17</v>
      </c>
      <c r="J2574" t="s">
        <v>16</v>
      </c>
      <c r="K2574">
        <v>18990.080000000002</v>
      </c>
      <c r="L2574">
        <v>116453.2</v>
      </c>
      <c r="M2574">
        <v>26</v>
      </c>
      <c r="Y2574" s="1">
        <f t="shared" si="202"/>
        <v>1026.03</v>
      </c>
      <c r="Z2574" s="2">
        <f t="shared" si="203"/>
        <v>97463</v>
      </c>
      <c r="AA2574" s="2">
        <f t="shared" si="204"/>
        <v>97463.037143163456</v>
      </c>
      <c r="AB2574" s="1">
        <f t="shared" si="205"/>
        <v>9.7495218045848292E-2</v>
      </c>
      <c r="AC2574" s="1" t="b">
        <f t="shared" si="206"/>
        <v>1</v>
      </c>
    </row>
    <row r="2575" spans="1:29" x14ac:dyDescent="0.25">
      <c r="A2575" s="1" t="s">
        <v>996</v>
      </c>
      <c r="B2575">
        <v>10</v>
      </c>
      <c r="C2575" t="s">
        <v>122</v>
      </c>
      <c r="D2575" s="2">
        <v>97466</v>
      </c>
      <c r="M2575">
        <v>26</v>
      </c>
      <c r="Y2575" s="1">
        <f t="shared" si="202"/>
        <v>1025.999</v>
      </c>
      <c r="Z2575" s="2">
        <f t="shared" si="203"/>
        <v>97466</v>
      </c>
      <c r="AA2575" s="2">
        <f t="shared" si="204"/>
        <v>97465.981935654912</v>
      </c>
      <c r="AB2575" s="1">
        <f t="shared" si="205"/>
        <v>9.7498088173407049E-2</v>
      </c>
      <c r="AC2575" s="1" t="b">
        <f t="shared" si="206"/>
        <v>1</v>
      </c>
    </row>
    <row r="2576" spans="1:29" x14ac:dyDescent="0.25">
      <c r="A2576" s="1" t="s">
        <v>997</v>
      </c>
      <c r="B2576">
        <v>4</v>
      </c>
      <c r="D2576" s="2">
        <v>97471.1</v>
      </c>
      <c r="E2576">
        <v>23647</v>
      </c>
      <c r="F2576" t="s">
        <v>15</v>
      </c>
      <c r="G2576" t="s">
        <v>50</v>
      </c>
      <c r="H2576">
        <v>121119</v>
      </c>
      <c r="I2576" t="s">
        <v>17</v>
      </c>
      <c r="J2576" t="s">
        <v>57</v>
      </c>
      <c r="K2576">
        <v>23647.77</v>
      </c>
      <c r="L2576">
        <v>121119.2</v>
      </c>
      <c r="M2576">
        <v>26</v>
      </c>
      <c r="Y2576" s="1">
        <f t="shared" si="202"/>
        <v>1025.9449999999999</v>
      </c>
      <c r="Z2576" s="2">
        <f t="shared" si="203"/>
        <v>97471.1</v>
      </c>
      <c r="AA2576" s="2">
        <f t="shared" si="204"/>
        <v>97471.111999181245</v>
      </c>
      <c r="AB2576" s="1">
        <f t="shared" si="205"/>
        <v>9.7503088371784674E-2</v>
      </c>
      <c r="AC2576" s="1" t="b">
        <f t="shared" si="206"/>
        <v>1</v>
      </c>
    </row>
    <row r="2577" spans="1:29" x14ac:dyDescent="0.25">
      <c r="A2577" s="1" t="s">
        <v>998</v>
      </c>
      <c r="B2577">
        <v>40</v>
      </c>
      <c r="C2577" t="s">
        <v>123</v>
      </c>
      <c r="D2577" s="2">
        <v>97495</v>
      </c>
      <c r="E2577">
        <v>16135</v>
      </c>
      <c r="F2577" t="s">
        <v>15</v>
      </c>
      <c r="G2577" t="s">
        <v>18</v>
      </c>
      <c r="H2577">
        <v>113630</v>
      </c>
      <c r="I2577" t="s">
        <v>17</v>
      </c>
      <c r="J2577" t="s">
        <v>18</v>
      </c>
      <c r="K2577">
        <v>16135.97</v>
      </c>
      <c r="L2577">
        <v>113630.9</v>
      </c>
      <c r="M2577">
        <v>26</v>
      </c>
      <c r="Y2577" s="1">
        <f t="shared" si="202"/>
        <v>1025.694</v>
      </c>
      <c r="Z2577" s="2">
        <f t="shared" si="203"/>
        <v>97495</v>
      </c>
      <c r="AA2577" s="2">
        <f t="shared" si="204"/>
        <v>97494.964385089508</v>
      </c>
      <c r="AB2577" s="1">
        <f t="shared" si="205"/>
        <v>9.7526340402249362E-2</v>
      </c>
      <c r="AC2577" s="1" t="b">
        <f t="shared" si="206"/>
        <v>1</v>
      </c>
    </row>
    <row r="2578" spans="1:29" x14ac:dyDescent="0.25">
      <c r="A2578" s="1" t="s">
        <v>999</v>
      </c>
      <c r="B2578">
        <v>10</v>
      </c>
      <c r="D2578" s="2">
        <v>97537.8</v>
      </c>
      <c r="E2578">
        <v>23844</v>
      </c>
      <c r="F2578" t="s">
        <v>15</v>
      </c>
      <c r="G2578" t="s">
        <v>16</v>
      </c>
      <c r="H2578">
        <v>121382</v>
      </c>
      <c r="I2578" t="s">
        <v>17</v>
      </c>
      <c r="J2578" t="s">
        <v>16</v>
      </c>
      <c r="K2578">
        <v>23844.58</v>
      </c>
      <c r="L2578">
        <v>121382.6</v>
      </c>
      <c r="M2578">
        <v>26</v>
      </c>
      <c r="Y2578" s="1">
        <f t="shared" si="202"/>
        <v>1025.2429999999999</v>
      </c>
      <c r="Z2578" s="2">
        <f t="shared" si="203"/>
        <v>97537.8</v>
      </c>
      <c r="AA2578" s="2">
        <f t="shared" si="204"/>
        <v>97537.852001915642</v>
      </c>
      <c r="AB2578" s="1">
        <f t="shared" si="205"/>
        <v>9.7568162865737995E-2</v>
      </c>
      <c r="AC2578" s="1" t="b">
        <f t="shared" si="206"/>
        <v>1</v>
      </c>
    </row>
    <row r="2579" spans="1:29" x14ac:dyDescent="0.25">
      <c r="A2579" s="1" t="s">
        <v>1000</v>
      </c>
      <c r="B2579">
        <v>50</v>
      </c>
      <c r="D2579" s="2">
        <v>97547.3</v>
      </c>
      <c r="E2579">
        <v>19700</v>
      </c>
      <c r="F2579" t="s">
        <v>15</v>
      </c>
      <c r="G2579" t="s">
        <v>23</v>
      </c>
      <c r="H2579">
        <v>117248</v>
      </c>
      <c r="I2579" t="s">
        <v>17</v>
      </c>
      <c r="J2579" t="s">
        <v>50</v>
      </c>
      <c r="K2579">
        <v>19700.900000000001</v>
      </c>
      <c r="L2579">
        <v>117248.2</v>
      </c>
      <c r="M2579">
        <v>26</v>
      </c>
      <c r="Y2579" s="1">
        <f t="shared" si="202"/>
        <v>1025.144</v>
      </c>
      <c r="Z2579" s="2">
        <f t="shared" si="203"/>
        <v>97547.3</v>
      </c>
      <c r="AA2579" s="2">
        <f t="shared" si="204"/>
        <v>97547.271407724184</v>
      </c>
      <c r="AB2579" s="1">
        <f t="shared" si="205"/>
        <v>9.7577350795461038E-2</v>
      </c>
      <c r="AC2579" s="1" t="b">
        <f t="shared" si="206"/>
        <v>1</v>
      </c>
    </row>
    <row r="2580" spans="1:29" x14ac:dyDescent="0.25">
      <c r="A2580" s="1" t="s">
        <v>1001</v>
      </c>
      <c r="B2580">
        <v>10</v>
      </c>
      <c r="C2580" t="s">
        <v>123</v>
      </c>
      <c r="D2580" s="2">
        <v>97566.3</v>
      </c>
      <c r="M2580">
        <v>26</v>
      </c>
      <c r="Y2580" s="1">
        <f t="shared" si="202"/>
        <v>1024.944</v>
      </c>
      <c r="Z2580" s="2">
        <f t="shared" si="203"/>
        <v>97566.3</v>
      </c>
      <c r="AA2580" s="2">
        <f t="shared" si="204"/>
        <v>97566.306061599462</v>
      </c>
      <c r="AB2580" s="1">
        <f t="shared" si="205"/>
        <v>9.7595920392528512E-2</v>
      </c>
      <c r="AC2580" s="1" t="b">
        <f t="shared" si="206"/>
        <v>1</v>
      </c>
    </row>
    <row r="2581" spans="1:29" x14ac:dyDescent="0.25">
      <c r="A2581" s="1" t="s">
        <v>1002</v>
      </c>
      <c r="B2581">
        <v>10</v>
      </c>
      <c r="C2581" t="s">
        <v>123</v>
      </c>
      <c r="D2581" s="2">
        <v>97588.5</v>
      </c>
      <c r="E2581">
        <v>18211</v>
      </c>
      <c r="F2581" t="s">
        <v>15</v>
      </c>
      <c r="G2581" t="s">
        <v>28</v>
      </c>
      <c r="H2581">
        <v>115800</v>
      </c>
      <c r="I2581" t="s">
        <v>17</v>
      </c>
      <c r="J2581" t="s">
        <v>28</v>
      </c>
      <c r="K2581">
        <v>18211.759999999998</v>
      </c>
      <c r="L2581">
        <v>115800</v>
      </c>
      <c r="M2581">
        <v>26</v>
      </c>
      <c r="Y2581" s="1">
        <f t="shared" si="202"/>
        <v>1024.711</v>
      </c>
      <c r="Z2581" s="2">
        <f t="shared" si="203"/>
        <v>97588.5</v>
      </c>
      <c r="AA2581" s="2">
        <f t="shared" si="204"/>
        <v>97588.490803748573</v>
      </c>
      <c r="AB2581" s="1">
        <f t="shared" si="205"/>
        <v>9.7617567686766604E-2</v>
      </c>
      <c r="AC2581" s="1" t="b">
        <f t="shared" si="206"/>
        <v>1</v>
      </c>
    </row>
    <row r="2582" spans="1:29" x14ac:dyDescent="0.25">
      <c r="A2582" s="1" t="s">
        <v>1003</v>
      </c>
      <c r="B2582">
        <v>8</v>
      </c>
      <c r="D2582" s="2">
        <v>97622.1</v>
      </c>
      <c r="E2582">
        <v>19700</v>
      </c>
      <c r="F2582" t="s">
        <v>15</v>
      </c>
      <c r="G2582" t="s">
        <v>23</v>
      </c>
      <c r="H2582">
        <v>117323</v>
      </c>
      <c r="I2582" t="s">
        <v>17</v>
      </c>
      <c r="J2582" t="s">
        <v>23</v>
      </c>
      <c r="K2582">
        <v>19700.900000000001</v>
      </c>
      <c r="L2582">
        <v>117323.1</v>
      </c>
      <c r="M2582">
        <v>26</v>
      </c>
      <c r="Y2582" s="1">
        <f t="shared" si="202"/>
        <v>1024.3579999999999</v>
      </c>
      <c r="Z2582" s="2">
        <f t="shared" si="203"/>
        <v>97622.1</v>
      </c>
      <c r="AA2582" s="2">
        <f t="shared" si="204"/>
        <v>97622.120391503762</v>
      </c>
      <c r="AB2582" s="1">
        <f t="shared" si="205"/>
        <v>9.7650391948666274E-2</v>
      </c>
      <c r="AC2582" s="1" t="b">
        <f t="shared" si="206"/>
        <v>1</v>
      </c>
    </row>
    <row r="2583" spans="1:29" x14ac:dyDescent="0.25">
      <c r="A2583" s="1" t="s">
        <v>1004</v>
      </c>
      <c r="B2583">
        <v>1</v>
      </c>
      <c r="D2583" s="2">
        <v>97626.9</v>
      </c>
      <c r="M2583">
        <v>26</v>
      </c>
      <c r="Y2583" s="1">
        <f t="shared" si="202"/>
        <v>1024.308</v>
      </c>
      <c r="Z2583" s="2">
        <f t="shared" si="203"/>
        <v>97626.9</v>
      </c>
      <c r="AA2583" s="2">
        <f t="shared" si="204"/>
        <v>97626.885663296591</v>
      </c>
      <c r="AB2583" s="1">
        <f t="shared" si="205"/>
        <v>9.7655044021571935E-2</v>
      </c>
      <c r="AC2583" s="1" t="b">
        <f t="shared" si="206"/>
        <v>1</v>
      </c>
    </row>
    <row r="2584" spans="1:29" x14ac:dyDescent="0.25">
      <c r="A2584" s="1" t="s">
        <v>1005</v>
      </c>
      <c r="B2584">
        <v>5</v>
      </c>
      <c r="D2584" s="2">
        <v>97636.2</v>
      </c>
      <c r="M2584">
        <v>26</v>
      </c>
      <c r="Y2584" s="1">
        <f t="shared" si="202"/>
        <v>1024.21</v>
      </c>
      <c r="Z2584" s="2">
        <f t="shared" si="203"/>
        <v>97636.2</v>
      </c>
      <c r="AA2584" s="2">
        <f t="shared" si="204"/>
        <v>97636.226945645903</v>
      </c>
      <c r="AB2584" s="1">
        <f t="shared" si="205"/>
        <v>9.7664164060908359E-2</v>
      </c>
      <c r="AC2584" s="1" t="b">
        <f t="shared" si="206"/>
        <v>1</v>
      </c>
    </row>
    <row r="2585" spans="1:29" x14ac:dyDescent="0.25">
      <c r="A2585" s="1" t="s">
        <v>1006</v>
      </c>
      <c r="B2585">
        <v>1</v>
      </c>
      <c r="D2585" s="2">
        <v>97644.5</v>
      </c>
      <c r="E2585">
        <v>16135</v>
      </c>
      <c r="F2585" t="s">
        <v>15</v>
      </c>
      <c r="G2585" t="s">
        <v>18</v>
      </c>
      <c r="H2585">
        <v>113780</v>
      </c>
      <c r="I2585" t="s">
        <v>17</v>
      </c>
      <c r="J2585" t="s">
        <v>16</v>
      </c>
      <c r="K2585">
        <v>16135.97</v>
      </c>
      <c r="L2585">
        <v>113780.5</v>
      </c>
      <c r="M2585">
        <v>26</v>
      </c>
      <c r="Y2585" s="1">
        <f t="shared" si="202"/>
        <v>1024.123</v>
      </c>
      <c r="Z2585" s="2">
        <f t="shared" si="203"/>
        <v>97644.5</v>
      </c>
      <c r="AA2585" s="2">
        <f t="shared" si="204"/>
        <v>97644.521214736902</v>
      </c>
      <c r="AB2585" s="1">
        <f t="shared" si="205"/>
        <v>9.7672262616276012E-2</v>
      </c>
      <c r="AC2585" s="1" t="b">
        <f t="shared" si="206"/>
        <v>1</v>
      </c>
    </row>
    <row r="2586" spans="1:29" x14ac:dyDescent="0.25">
      <c r="A2586" s="1" t="s">
        <v>1007</v>
      </c>
      <c r="B2586">
        <v>10</v>
      </c>
      <c r="D2586" s="2">
        <v>97652.800000000003</v>
      </c>
      <c r="E2586">
        <v>23442</v>
      </c>
      <c r="F2586" t="s">
        <v>15</v>
      </c>
      <c r="G2586" t="s">
        <v>23</v>
      </c>
      <c r="H2586">
        <v>121095</v>
      </c>
      <c r="I2586" t="s">
        <v>17</v>
      </c>
      <c r="J2586" t="s">
        <v>23</v>
      </c>
      <c r="K2586">
        <v>23442.25</v>
      </c>
      <c r="L2586">
        <v>121095.2</v>
      </c>
      <c r="M2586">
        <v>26</v>
      </c>
      <c r="Y2586" s="1">
        <f t="shared" si="202"/>
        <v>1024.0360000000001</v>
      </c>
      <c r="Z2586" s="2">
        <f t="shared" si="203"/>
        <v>97652.800000000003</v>
      </c>
      <c r="AA2586" s="2">
        <f t="shared" si="204"/>
        <v>97652.816893156094</v>
      </c>
      <c r="AB2586" s="1">
        <f t="shared" si="205"/>
        <v>9.7680363235841366E-2</v>
      </c>
      <c r="AC2586" s="1" t="b">
        <f t="shared" si="206"/>
        <v>1</v>
      </c>
    </row>
    <row r="2587" spans="1:29" x14ac:dyDescent="0.25">
      <c r="A2587" s="1" t="s">
        <v>1008</v>
      </c>
      <c r="B2587">
        <v>20</v>
      </c>
      <c r="D2587" s="2">
        <v>97658.5</v>
      </c>
      <c r="M2587">
        <v>26</v>
      </c>
      <c r="Y2587" s="1">
        <f t="shared" si="202"/>
        <v>1023.976</v>
      </c>
      <c r="Z2587" s="2">
        <f t="shared" si="203"/>
        <v>97658.5</v>
      </c>
      <c r="AA2587" s="2">
        <f t="shared" si="204"/>
        <v>97658.538872004807</v>
      </c>
      <c r="AB2587" s="1">
        <f t="shared" si="205"/>
        <v>9.7685951073074373E-2</v>
      </c>
      <c r="AC2587" s="1" t="b">
        <f t="shared" si="206"/>
        <v>1</v>
      </c>
    </row>
    <row r="2588" spans="1:29" x14ac:dyDescent="0.25">
      <c r="A2588" s="1" t="s">
        <v>1009</v>
      </c>
      <c r="B2588">
        <v>5</v>
      </c>
      <c r="C2588" t="s">
        <v>122</v>
      </c>
      <c r="D2588" s="2">
        <v>97687.7</v>
      </c>
      <c r="E2588">
        <v>23844</v>
      </c>
      <c r="F2588" t="s">
        <v>15</v>
      </c>
      <c r="G2588" t="s">
        <v>16</v>
      </c>
      <c r="H2588">
        <v>121532</v>
      </c>
      <c r="I2588" t="s">
        <v>17</v>
      </c>
      <c r="J2588" t="s">
        <v>23</v>
      </c>
      <c r="K2588">
        <v>23844.58</v>
      </c>
      <c r="L2588">
        <v>121532.5</v>
      </c>
      <c r="M2588">
        <v>26</v>
      </c>
      <c r="Y2588" s="1">
        <f t="shared" si="202"/>
        <v>1023.67</v>
      </c>
      <c r="Z2588" s="2">
        <f t="shared" si="203"/>
        <v>97687.7</v>
      </c>
      <c r="AA2588" s="2">
        <f t="shared" si="204"/>
        <v>97687.731397813754</v>
      </c>
      <c r="AB2588" s="1">
        <f t="shared" si="205"/>
        <v>9.7714464328257034E-2</v>
      </c>
      <c r="AC2588" s="1" t="b">
        <f t="shared" si="206"/>
        <v>1</v>
      </c>
    </row>
    <row r="2589" spans="1:29" x14ac:dyDescent="0.25">
      <c r="A2589" s="1" t="s">
        <v>1010</v>
      </c>
      <c r="B2589">
        <v>30</v>
      </c>
      <c r="D2589" s="2">
        <v>97697</v>
      </c>
      <c r="E2589">
        <v>17627</v>
      </c>
      <c r="F2589" t="s">
        <v>15</v>
      </c>
      <c r="G2589" t="s">
        <v>16</v>
      </c>
      <c r="H2589">
        <v>115324</v>
      </c>
      <c r="I2589" t="s">
        <v>17</v>
      </c>
      <c r="J2589" t="s">
        <v>16</v>
      </c>
      <c r="K2589">
        <v>17627</v>
      </c>
      <c r="L2589">
        <v>115324.3</v>
      </c>
      <c r="M2589">
        <v>26</v>
      </c>
      <c r="Y2589" s="1">
        <f t="shared" si="202"/>
        <v>1023.573</v>
      </c>
      <c r="Z2589" s="2">
        <f t="shared" si="203"/>
        <v>97697</v>
      </c>
      <c r="AA2589" s="2">
        <f t="shared" si="204"/>
        <v>97696.988881105703</v>
      </c>
      <c r="AB2589" s="1">
        <f t="shared" si="205"/>
        <v>9.7723508182174457E-2</v>
      </c>
      <c r="AC2589" s="1" t="b">
        <f t="shared" si="206"/>
        <v>1</v>
      </c>
    </row>
    <row r="2590" spans="1:29" x14ac:dyDescent="0.25">
      <c r="A2590" s="1" t="s">
        <v>1011</v>
      </c>
      <c r="B2590">
        <v>100</v>
      </c>
      <c r="D2590" s="2">
        <v>97726.1</v>
      </c>
      <c r="M2590">
        <v>26</v>
      </c>
      <c r="Y2590" s="1">
        <f t="shared" si="202"/>
        <v>1023.268</v>
      </c>
      <c r="Z2590" s="2">
        <f t="shared" si="203"/>
        <v>97726.1</v>
      </c>
      <c r="AA2590" s="2">
        <f t="shared" si="204"/>
        <v>97726.108898157661</v>
      </c>
      <c r="AB2590" s="1">
        <f t="shared" si="205"/>
        <v>9.7751961801872858E-2</v>
      </c>
      <c r="AC2590" s="1" t="b">
        <f t="shared" si="206"/>
        <v>1</v>
      </c>
    </row>
    <row r="2591" spans="1:29" x14ac:dyDescent="0.25">
      <c r="A2591" s="1" t="s">
        <v>1012</v>
      </c>
      <c r="B2591">
        <v>10</v>
      </c>
      <c r="D2591" s="2">
        <v>97730.4</v>
      </c>
      <c r="E2591">
        <v>23651</v>
      </c>
      <c r="F2591" t="s">
        <v>15</v>
      </c>
      <c r="G2591" t="s">
        <v>18</v>
      </c>
      <c r="H2591">
        <v>121382</v>
      </c>
      <c r="I2591" t="s">
        <v>17</v>
      </c>
      <c r="J2591" t="s">
        <v>16</v>
      </c>
      <c r="K2591">
        <v>23651.88</v>
      </c>
      <c r="L2591">
        <v>121382.6</v>
      </c>
      <c r="M2591">
        <v>26</v>
      </c>
      <c r="Y2591" s="1">
        <f t="shared" si="202"/>
        <v>1023.223</v>
      </c>
      <c r="Z2591" s="2">
        <f t="shared" si="203"/>
        <v>97730.4</v>
      </c>
      <c r="AA2591" s="2">
        <f t="shared" si="204"/>
        <v>97730.406763726001</v>
      </c>
      <c r="AB2591" s="1">
        <f t="shared" si="205"/>
        <v>9.7756162031016697E-2</v>
      </c>
      <c r="AC2591" s="1" t="b">
        <f t="shared" si="206"/>
        <v>1</v>
      </c>
    </row>
    <row r="2592" spans="1:29" x14ac:dyDescent="0.25">
      <c r="A2592" s="1" t="s">
        <v>1013</v>
      </c>
      <c r="B2592">
        <v>200</v>
      </c>
      <c r="D2592" s="2">
        <v>97757.9</v>
      </c>
      <c r="E2592">
        <v>13352</v>
      </c>
      <c r="F2592" t="s">
        <v>15</v>
      </c>
      <c r="G2592" t="s">
        <v>23</v>
      </c>
      <c r="H2592">
        <v>111110</v>
      </c>
      <c r="I2592" t="s">
        <v>17</v>
      </c>
      <c r="J2592" t="s">
        <v>50</v>
      </c>
      <c r="K2592">
        <v>13352.1</v>
      </c>
      <c r="L2592">
        <v>111110.3</v>
      </c>
      <c r="M2592">
        <v>26</v>
      </c>
      <c r="Y2592" s="1">
        <f t="shared" si="202"/>
        <v>1022.9349999999999</v>
      </c>
      <c r="Z2592" s="2">
        <f t="shared" si="203"/>
        <v>97757.9</v>
      </c>
      <c r="AA2592" s="2">
        <f t="shared" si="204"/>
        <v>97757.922057608754</v>
      </c>
      <c r="AB2592" s="1">
        <f t="shared" si="205"/>
        <v>9.7783056625107528E-2</v>
      </c>
      <c r="AC2592" s="1" t="b">
        <f t="shared" si="206"/>
        <v>1</v>
      </c>
    </row>
    <row r="2593" spans="1:29" x14ac:dyDescent="0.25">
      <c r="A2593" s="1" t="s">
        <v>1014</v>
      </c>
      <c r="B2593">
        <v>10</v>
      </c>
      <c r="C2593" t="s">
        <v>122</v>
      </c>
      <c r="D2593" s="2">
        <v>97761.3</v>
      </c>
      <c r="M2593">
        <v>26</v>
      </c>
      <c r="Y2593" s="1">
        <f t="shared" si="202"/>
        <v>1022.9</v>
      </c>
      <c r="Z2593" s="2">
        <f t="shared" si="203"/>
        <v>97761.3</v>
      </c>
      <c r="AA2593" s="2">
        <f t="shared" si="204"/>
        <v>97761.266986020142</v>
      </c>
      <c r="AB2593" s="1">
        <f t="shared" si="205"/>
        <v>9.7786326613559571E-2</v>
      </c>
      <c r="AC2593" s="1" t="b">
        <f t="shared" si="206"/>
        <v>1</v>
      </c>
    </row>
    <row r="2594" spans="1:29" x14ac:dyDescent="0.25">
      <c r="A2594" s="1" t="s">
        <v>1015</v>
      </c>
      <c r="B2594">
        <v>50</v>
      </c>
      <c r="D2594" s="2">
        <v>97775</v>
      </c>
      <c r="E2594">
        <v>19872</v>
      </c>
      <c r="F2594" t="s">
        <v>15</v>
      </c>
      <c r="G2594" t="s">
        <v>18</v>
      </c>
      <c r="H2594">
        <v>117647</v>
      </c>
      <c r="I2594" t="s">
        <v>17</v>
      </c>
      <c r="J2594" t="s">
        <v>18</v>
      </c>
      <c r="K2594">
        <v>19872.43</v>
      </c>
      <c r="L2594">
        <v>117647.2</v>
      </c>
      <c r="M2594">
        <v>26</v>
      </c>
      <c r="Y2594" s="1">
        <f t="shared" si="202"/>
        <v>1022.756</v>
      </c>
      <c r="Z2594" s="2">
        <f t="shared" si="203"/>
        <v>97775</v>
      </c>
      <c r="AA2594" s="2">
        <f t="shared" si="204"/>
        <v>97775.031385785071</v>
      </c>
      <c r="AB2594" s="1">
        <f t="shared" si="205"/>
        <v>9.7799783812456298E-2</v>
      </c>
      <c r="AC2594" s="1" t="b">
        <f t="shared" si="206"/>
        <v>1</v>
      </c>
    </row>
    <row r="2595" spans="1:29" x14ac:dyDescent="0.25">
      <c r="A2595" s="1" t="s">
        <v>1016</v>
      </c>
      <c r="B2595">
        <v>2</v>
      </c>
      <c r="D2595" s="2">
        <v>97793.8</v>
      </c>
      <c r="E2595">
        <v>17627</v>
      </c>
      <c r="F2595" t="s">
        <v>15</v>
      </c>
      <c r="G2595" t="s">
        <v>16</v>
      </c>
      <c r="H2595">
        <v>115420</v>
      </c>
      <c r="I2595" t="s">
        <v>17</v>
      </c>
      <c r="J2595" t="s">
        <v>18</v>
      </c>
      <c r="K2595">
        <v>17627</v>
      </c>
      <c r="L2595">
        <v>115420.8</v>
      </c>
      <c r="M2595">
        <v>26</v>
      </c>
      <c r="Y2595" s="1">
        <f t="shared" si="202"/>
        <v>1022.56</v>
      </c>
      <c r="Z2595" s="2">
        <f t="shared" si="203"/>
        <v>97793.8</v>
      </c>
      <c r="AA2595" s="2">
        <f t="shared" si="204"/>
        <v>97793.772492567674</v>
      </c>
      <c r="AB2595" s="1">
        <f t="shared" si="205"/>
        <v>9.7818109691640426E-2</v>
      </c>
      <c r="AC2595" s="1" t="b">
        <f t="shared" si="206"/>
        <v>1</v>
      </c>
    </row>
    <row r="2596" spans="1:29" x14ac:dyDescent="0.25">
      <c r="A2596" s="1" t="s">
        <v>1017</v>
      </c>
      <c r="B2596">
        <v>2</v>
      </c>
      <c r="D2596" s="2">
        <v>97809.600000000006</v>
      </c>
      <c r="E2596">
        <v>18211</v>
      </c>
      <c r="F2596" t="s">
        <v>15</v>
      </c>
      <c r="G2596" t="s">
        <v>28</v>
      </c>
      <c r="H2596">
        <v>116021</v>
      </c>
      <c r="I2596" t="s">
        <v>17</v>
      </c>
      <c r="J2596" t="s">
        <v>18</v>
      </c>
      <c r="K2596">
        <v>18211.759999999998</v>
      </c>
      <c r="L2596">
        <v>116021.8</v>
      </c>
      <c r="M2596">
        <v>26</v>
      </c>
      <c r="Y2596" s="1">
        <f t="shared" si="202"/>
        <v>1022.395</v>
      </c>
      <c r="Z2596" s="2">
        <f t="shared" si="203"/>
        <v>97809.600000000006</v>
      </c>
      <c r="AA2596" s="2">
        <f t="shared" si="204"/>
        <v>97809.555015429461</v>
      </c>
      <c r="AB2596" s="1">
        <f t="shared" si="205"/>
        <v>9.7833545261581611E-2</v>
      </c>
      <c r="AC2596" s="1" t="b">
        <f t="shared" si="206"/>
        <v>1</v>
      </c>
    </row>
    <row r="2597" spans="1:29" x14ac:dyDescent="0.25">
      <c r="A2597" s="1" t="s">
        <v>1018</v>
      </c>
      <c r="B2597">
        <v>4</v>
      </c>
      <c r="D2597" s="2">
        <v>97818.5</v>
      </c>
      <c r="M2597">
        <v>26</v>
      </c>
      <c r="Y2597" s="1">
        <f t="shared" si="202"/>
        <v>1022.301</v>
      </c>
      <c r="Z2597" s="2">
        <f t="shared" si="203"/>
        <v>97818.5</v>
      </c>
      <c r="AA2597" s="2">
        <f t="shared" si="204"/>
        <v>97818.54854881292</v>
      </c>
      <c r="AB2597" s="1">
        <f t="shared" si="205"/>
        <v>9.7842342200982355E-2</v>
      </c>
      <c r="AC2597" s="1" t="b">
        <f t="shared" si="206"/>
        <v>1</v>
      </c>
    </row>
    <row r="2598" spans="1:29" x14ac:dyDescent="0.25">
      <c r="A2598" s="1" t="s">
        <v>1019</v>
      </c>
      <c r="B2598">
        <v>4</v>
      </c>
      <c r="D2598" s="2">
        <v>97833.4</v>
      </c>
      <c r="M2598">
        <v>26</v>
      </c>
      <c r="Y2598" s="1">
        <f t="shared" si="202"/>
        <v>1022.146</v>
      </c>
      <c r="Z2598" s="2">
        <f t="shared" si="203"/>
        <v>97833.4</v>
      </c>
      <c r="AA2598" s="2">
        <f t="shared" si="204"/>
        <v>97833.381923913024</v>
      </c>
      <c r="AB2598" s="1">
        <f t="shared" si="205"/>
        <v>9.7856853093351154E-2</v>
      </c>
      <c r="AC2598" s="1" t="b">
        <f t="shared" si="206"/>
        <v>1</v>
      </c>
    </row>
    <row r="2599" spans="1:29" x14ac:dyDescent="0.25">
      <c r="A2599" s="1" t="s">
        <v>1020</v>
      </c>
      <c r="B2599">
        <v>4</v>
      </c>
      <c r="D2599" s="2">
        <v>97840</v>
      </c>
      <c r="M2599">
        <v>26</v>
      </c>
      <c r="Y2599" s="1">
        <f t="shared" si="202"/>
        <v>1022.077</v>
      </c>
      <c r="Z2599" s="2">
        <f t="shared" si="203"/>
        <v>97840</v>
      </c>
      <c r="AA2599" s="2">
        <f t="shared" si="204"/>
        <v>97839.986615489834</v>
      </c>
      <c r="AB2599" s="1">
        <f t="shared" si="205"/>
        <v>9.7863314904596155E-2</v>
      </c>
      <c r="AC2599" s="1" t="b">
        <f t="shared" si="206"/>
        <v>1</v>
      </c>
    </row>
    <row r="2600" spans="1:29" x14ac:dyDescent="0.25">
      <c r="A2600" s="1" t="s">
        <v>1021</v>
      </c>
      <c r="B2600">
        <v>5</v>
      </c>
      <c r="C2600" t="s">
        <v>123</v>
      </c>
      <c r="D2600" s="2">
        <v>97860.3</v>
      </c>
      <c r="M2600">
        <v>26</v>
      </c>
      <c r="Y2600" s="1">
        <f t="shared" si="202"/>
        <v>1021.865</v>
      </c>
      <c r="Z2600" s="2">
        <f t="shared" si="203"/>
        <v>97860.3</v>
      </c>
      <c r="AA2600" s="2">
        <f t="shared" si="204"/>
        <v>97860.284871289259</v>
      </c>
      <c r="AB2600" s="1">
        <f t="shared" si="205"/>
        <v>9.7883176775449429E-2</v>
      </c>
      <c r="AC2600" s="1" t="b">
        <f t="shared" si="206"/>
        <v>1</v>
      </c>
    </row>
    <row r="2601" spans="1:29" x14ac:dyDescent="0.25">
      <c r="A2601" s="1">
        <v>1021.764</v>
      </c>
      <c r="B2601">
        <v>1</v>
      </c>
      <c r="D2601" s="6">
        <v>97870</v>
      </c>
      <c r="E2601">
        <v>18063</v>
      </c>
      <c r="F2601" t="s">
        <v>15</v>
      </c>
      <c r="G2601" t="s">
        <v>16</v>
      </c>
      <c r="H2601">
        <v>115933</v>
      </c>
      <c r="I2601" t="s">
        <v>17</v>
      </c>
      <c r="J2601" t="s">
        <v>23</v>
      </c>
      <c r="K2601">
        <v>18063.36</v>
      </c>
      <c r="L2601">
        <v>115933.2</v>
      </c>
      <c r="M2601">
        <v>27</v>
      </c>
      <c r="N2601" s="4" t="s">
        <v>1022</v>
      </c>
      <c r="O2601" t="s">
        <v>1105</v>
      </c>
      <c r="P2601">
        <f>$A2601+0</f>
        <v>1021.764</v>
      </c>
      <c r="Q2601" s="2">
        <f>100000000/P2601</f>
        <v>97869.958229101831</v>
      </c>
      <c r="R2601">
        <f>$L2601-$K2601</f>
        <v>97869.84</v>
      </c>
      <c r="S2601" s="1">
        <v>1021.7948848948063</v>
      </c>
      <c r="T2601" s="1">
        <f>100000000/R2601</f>
        <v>1021.7652343152906</v>
      </c>
      <c r="U2601" s="1"/>
      <c r="V2601" s="1"/>
      <c r="W2601" s="1"/>
      <c r="X2601" s="1"/>
      <c r="Y2601" s="1">
        <f t="shared" si="202"/>
        <v>1021.764</v>
      </c>
      <c r="Z2601" s="2">
        <f t="shared" si="203"/>
        <v>97870</v>
      </c>
      <c r="AA2601" s="2">
        <f t="shared" si="204"/>
        <v>97869.958229101831</v>
      </c>
      <c r="AB2601" s="1">
        <f t="shared" si="205"/>
        <v>9.7892643618830683E-2</v>
      </c>
      <c r="AC2601" s="1" t="b">
        <f t="shared" si="206"/>
        <v>1</v>
      </c>
    </row>
    <row r="2602" spans="1:29" x14ac:dyDescent="0.25">
      <c r="A2602" s="1">
        <v>1021.726</v>
      </c>
      <c r="B2602">
        <v>30</v>
      </c>
      <c r="C2602" t="s">
        <v>27</v>
      </c>
      <c r="D2602" s="2">
        <v>97873.600000000006</v>
      </c>
      <c r="E2602">
        <v>17534</v>
      </c>
      <c r="F2602" t="s">
        <v>15</v>
      </c>
      <c r="G2602" t="s">
        <v>57</v>
      </c>
      <c r="H2602">
        <v>115408</v>
      </c>
      <c r="I2602" t="s">
        <v>17</v>
      </c>
      <c r="J2602" t="s">
        <v>50</v>
      </c>
      <c r="K2602">
        <v>17534.759999999998</v>
      </c>
      <c r="L2602">
        <v>115408.4</v>
      </c>
      <c r="M2602">
        <v>27</v>
      </c>
      <c r="Y2602" s="1">
        <f t="shared" si="202"/>
        <v>1021.726</v>
      </c>
      <c r="Z2602" s="2">
        <f t="shared" si="203"/>
        <v>97873.600000000006</v>
      </c>
      <c r="AA2602" s="2">
        <f t="shared" si="204"/>
        <v>97873.598205389702</v>
      </c>
      <c r="AB2602" s="1">
        <f t="shared" si="205"/>
        <v>9.7896206128350316E-2</v>
      </c>
      <c r="AC2602" s="1" t="b">
        <f t="shared" si="206"/>
        <v>1</v>
      </c>
    </row>
    <row r="2603" spans="1:29" x14ac:dyDescent="0.25">
      <c r="A2603" s="1">
        <v>1021.726</v>
      </c>
      <c r="B2603">
        <v>30</v>
      </c>
      <c r="C2603" t="s">
        <v>27</v>
      </c>
      <c r="D2603" s="2">
        <v>97873.600000000006</v>
      </c>
      <c r="E2603">
        <v>19700</v>
      </c>
      <c r="F2603" t="s">
        <v>15</v>
      </c>
      <c r="G2603" t="s">
        <v>23</v>
      </c>
      <c r="H2603">
        <v>117574</v>
      </c>
      <c r="I2603" t="s">
        <v>17</v>
      </c>
      <c r="J2603" t="s">
        <v>23</v>
      </c>
      <c r="K2603">
        <v>19700.900000000001</v>
      </c>
      <c r="L2603">
        <v>117574.5</v>
      </c>
      <c r="M2603">
        <v>27</v>
      </c>
      <c r="Y2603" s="1">
        <f t="shared" si="202"/>
        <v>1021.726</v>
      </c>
      <c r="Z2603" s="2">
        <f t="shared" si="203"/>
        <v>97873.600000000006</v>
      </c>
      <c r="AA2603" s="2">
        <f t="shared" si="204"/>
        <v>97873.598205389702</v>
      </c>
      <c r="AB2603" s="1">
        <f t="shared" si="205"/>
        <v>9.7896206128350316E-2</v>
      </c>
      <c r="AC2603" s="1" t="b">
        <f t="shared" si="206"/>
        <v>1</v>
      </c>
    </row>
    <row r="2604" spans="1:29" x14ac:dyDescent="0.25">
      <c r="A2604" s="1">
        <v>1021.664</v>
      </c>
      <c r="B2604">
        <v>7</v>
      </c>
      <c r="D2604" s="2">
        <v>97879.5</v>
      </c>
      <c r="M2604">
        <v>27</v>
      </c>
      <c r="Y2604" s="1">
        <f t="shared" si="202"/>
        <v>1021.664</v>
      </c>
      <c r="Z2604" s="2">
        <f t="shared" si="203"/>
        <v>97879.5</v>
      </c>
      <c r="AA2604" s="2">
        <f t="shared" si="204"/>
        <v>97879.537695367559</v>
      </c>
      <c r="AB2604" s="1">
        <f t="shared" si="205"/>
        <v>9.7902019497294407E-2</v>
      </c>
      <c r="AC2604" s="1" t="b">
        <f t="shared" si="206"/>
        <v>1</v>
      </c>
    </row>
    <row r="2605" spans="1:29" x14ac:dyDescent="0.25">
      <c r="A2605" s="1">
        <v>1021.578</v>
      </c>
      <c r="B2605">
        <v>15</v>
      </c>
      <c r="D2605" s="2">
        <v>97887.8</v>
      </c>
      <c r="E2605">
        <v>19360</v>
      </c>
      <c r="F2605" t="s">
        <v>15</v>
      </c>
      <c r="G2605" t="s">
        <v>50</v>
      </c>
      <c r="H2605">
        <v>117248</v>
      </c>
      <c r="I2605" t="s">
        <v>17</v>
      </c>
      <c r="J2605" t="s">
        <v>50</v>
      </c>
      <c r="K2605">
        <v>19360.099999999999</v>
      </c>
      <c r="L2605">
        <v>117248.2</v>
      </c>
      <c r="M2605">
        <v>27</v>
      </c>
      <c r="Y2605" s="1">
        <f t="shared" si="202"/>
        <v>1021.578</v>
      </c>
      <c r="Z2605" s="2">
        <f t="shared" si="203"/>
        <v>97887.8</v>
      </c>
      <c r="AA2605" s="2">
        <f t="shared" si="204"/>
        <v>97887.777536321257</v>
      </c>
      <c r="AB2605" s="1">
        <f t="shared" si="205"/>
        <v>9.7910084955001614E-2</v>
      </c>
      <c r="AC2605" s="1" t="b">
        <f t="shared" si="206"/>
        <v>1</v>
      </c>
    </row>
    <row r="2606" spans="1:29" x14ac:dyDescent="0.25">
      <c r="A2606" s="1">
        <v>1021.352</v>
      </c>
      <c r="B2606">
        <v>1000</v>
      </c>
      <c r="D2606" s="2">
        <v>97909.4</v>
      </c>
      <c r="E2606">
        <v>14859</v>
      </c>
      <c r="F2606" t="s">
        <v>15</v>
      </c>
      <c r="G2606" t="s">
        <v>23</v>
      </c>
      <c r="H2606">
        <v>112769</v>
      </c>
      <c r="I2606" t="s">
        <v>17</v>
      </c>
      <c r="J2606" t="s">
        <v>50</v>
      </c>
      <c r="K2606">
        <v>14859.96</v>
      </c>
      <c r="L2606">
        <v>112769.7</v>
      </c>
      <c r="M2606">
        <v>27</v>
      </c>
      <c r="Y2606" s="1">
        <f t="shared" si="202"/>
        <v>1021.352</v>
      </c>
      <c r="Z2606" s="2">
        <f t="shared" si="203"/>
        <v>97909.4</v>
      </c>
      <c r="AA2606" s="2">
        <f t="shared" si="204"/>
        <v>97909.437686517485</v>
      </c>
      <c r="AB2606" s="1">
        <f t="shared" si="205"/>
        <v>9.793128994045025E-2</v>
      </c>
      <c r="AC2606" s="1" t="b">
        <f t="shared" si="206"/>
        <v>1</v>
      </c>
    </row>
    <row r="2607" spans="1:29" x14ac:dyDescent="0.25">
      <c r="A2607" s="1">
        <v>1021.15</v>
      </c>
      <c r="B2607">
        <v>20</v>
      </c>
      <c r="D2607" s="2">
        <v>97928.8</v>
      </c>
      <c r="M2607">
        <v>27</v>
      </c>
      <c r="Y2607" s="1">
        <f t="shared" si="202"/>
        <v>1021.15</v>
      </c>
      <c r="Z2607" s="2">
        <f t="shared" si="203"/>
        <v>97928.8</v>
      </c>
      <c r="AA2607" s="2">
        <f t="shared" si="204"/>
        <v>97928.805758213784</v>
      </c>
      <c r="AB2607" s="1">
        <f t="shared" si="205"/>
        <v>9.7950254986149829E-2</v>
      </c>
      <c r="AC2607" s="1" t="b">
        <f t="shared" si="206"/>
        <v>1</v>
      </c>
    </row>
    <row r="2608" spans="1:29" x14ac:dyDescent="0.25">
      <c r="A2608" s="1">
        <v>1021.039</v>
      </c>
      <c r="B2608">
        <v>7</v>
      </c>
      <c r="D2608" s="2">
        <v>97939.4</v>
      </c>
      <c r="E2608">
        <v>19308</v>
      </c>
      <c r="F2608" t="s">
        <v>15</v>
      </c>
      <c r="G2608" t="s">
        <v>23</v>
      </c>
      <c r="H2608">
        <v>117248</v>
      </c>
      <c r="I2608" t="s">
        <v>17</v>
      </c>
      <c r="J2608" t="s">
        <v>50</v>
      </c>
      <c r="K2608">
        <v>19308.93</v>
      </c>
      <c r="L2608">
        <v>117248.2</v>
      </c>
      <c r="M2608">
        <v>27</v>
      </c>
      <c r="Y2608" s="1">
        <f t="shared" si="202"/>
        <v>1021.039</v>
      </c>
      <c r="Z2608" s="2">
        <f t="shared" si="203"/>
        <v>97939.4</v>
      </c>
      <c r="AA2608" s="2">
        <f t="shared" si="204"/>
        <v>97939.451872063655</v>
      </c>
      <c r="AB2608" s="1">
        <f t="shared" si="205"/>
        <v>9.7960681165001368E-2</v>
      </c>
      <c r="AC2608" s="1" t="b">
        <f t="shared" si="206"/>
        <v>1</v>
      </c>
    </row>
    <row r="2609" spans="1:29" x14ac:dyDescent="0.25">
      <c r="A2609" s="1">
        <v>1020.99</v>
      </c>
      <c r="B2609">
        <v>50</v>
      </c>
      <c r="D2609" s="2">
        <v>97944.2</v>
      </c>
      <c r="E2609">
        <v>23175</v>
      </c>
      <c r="F2609" t="s">
        <v>15</v>
      </c>
      <c r="G2609" t="s">
        <v>50</v>
      </c>
      <c r="H2609">
        <v>121119</v>
      </c>
      <c r="I2609" t="s">
        <v>17</v>
      </c>
      <c r="J2609" t="s">
        <v>57</v>
      </c>
      <c r="K2609">
        <v>23175.09</v>
      </c>
      <c r="L2609">
        <v>121119.2</v>
      </c>
      <c r="M2609">
        <v>27</v>
      </c>
      <c r="Y2609" s="1">
        <f t="shared" si="202"/>
        <v>1020.99</v>
      </c>
      <c r="Z2609" s="2">
        <f t="shared" si="203"/>
        <v>97944.2</v>
      </c>
      <c r="AA2609" s="2">
        <f t="shared" si="204"/>
        <v>97944.15224439025</v>
      </c>
      <c r="AB2609" s="1">
        <f t="shared" si="205"/>
        <v>9.7965284794361479E-2</v>
      </c>
      <c r="AC2609" s="1" t="b">
        <f t="shared" si="206"/>
        <v>1</v>
      </c>
    </row>
    <row r="2610" spans="1:29" x14ac:dyDescent="0.25">
      <c r="A2610" s="1">
        <v>1020.609</v>
      </c>
      <c r="B2610">
        <v>10</v>
      </c>
      <c r="D2610" s="2">
        <v>97980.7</v>
      </c>
      <c r="M2610">
        <v>27</v>
      </c>
      <c r="Y2610" s="1">
        <f t="shared" si="202"/>
        <v>1020.609</v>
      </c>
      <c r="Z2610" s="2">
        <f t="shared" si="203"/>
        <v>97980.7</v>
      </c>
      <c r="AA2610" s="2">
        <f t="shared" si="204"/>
        <v>97980.715435587961</v>
      </c>
      <c r="AB2610" s="1">
        <f t="shared" si="205"/>
        <v>9.8001102986348329E-2</v>
      </c>
      <c r="AC2610" s="1" t="b">
        <f t="shared" si="206"/>
        <v>1</v>
      </c>
    </row>
    <row r="2611" spans="1:29" x14ac:dyDescent="0.25">
      <c r="A2611" s="1">
        <v>1020.252</v>
      </c>
      <c r="B2611">
        <v>5</v>
      </c>
      <c r="D2611" s="2">
        <v>98015</v>
      </c>
      <c r="M2611">
        <v>27</v>
      </c>
      <c r="Y2611" s="1">
        <f t="shared" si="202"/>
        <v>1020.252</v>
      </c>
      <c r="Z2611" s="2">
        <f t="shared" si="203"/>
        <v>98015</v>
      </c>
      <c r="AA2611" s="2">
        <f t="shared" si="204"/>
        <v>98015.000215633001</v>
      </c>
      <c r="AB2611" s="1">
        <f t="shared" si="205"/>
        <v>9.8034701336352698E-2</v>
      </c>
      <c r="AC2611" s="1" t="b">
        <f t="shared" si="206"/>
        <v>1</v>
      </c>
    </row>
    <row r="2612" spans="1:29" x14ac:dyDescent="0.25">
      <c r="A2612" s="1">
        <v>1020.189</v>
      </c>
      <c r="B2612">
        <v>5</v>
      </c>
      <c r="D2612" s="2">
        <v>98021</v>
      </c>
      <c r="M2612">
        <v>27</v>
      </c>
      <c r="Y2612" s="1">
        <f t="shared" si="202"/>
        <v>1020.189</v>
      </c>
      <c r="Z2612" s="2">
        <f t="shared" si="203"/>
        <v>98021</v>
      </c>
      <c r="AA2612" s="2">
        <f t="shared" si="204"/>
        <v>98021.052961755122</v>
      </c>
      <c r="AB2612" s="1">
        <f t="shared" si="205"/>
        <v>9.8040634118656017E-2</v>
      </c>
      <c r="AC2612" s="1" t="b">
        <f t="shared" si="206"/>
        <v>1</v>
      </c>
    </row>
    <row r="2613" spans="1:29" x14ac:dyDescent="0.25">
      <c r="A2613" s="1">
        <v>1020.052</v>
      </c>
      <c r="B2613">
        <v>40</v>
      </c>
      <c r="D2613" s="2">
        <v>98034.2</v>
      </c>
      <c r="E2613">
        <v>12846</v>
      </c>
      <c r="F2613" t="s">
        <v>15</v>
      </c>
      <c r="G2613" t="s">
        <v>16</v>
      </c>
      <c r="H2613">
        <v>110881</v>
      </c>
      <c r="I2613" t="s">
        <v>17</v>
      </c>
      <c r="J2613" t="s">
        <v>23</v>
      </c>
      <c r="K2613">
        <v>12846.66</v>
      </c>
      <c r="L2613">
        <v>110881.1</v>
      </c>
      <c r="M2613">
        <v>27</v>
      </c>
      <c r="Y2613" s="1">
        <f t="shared" si="202"/>
        <v>1020.052</v>
      </c>
      <c r="Z2613" s="2">
        <f t="shared" si="203"/>
        <v>98034.2</v>
      </c>
      <c r="AA2613" s="2">
        <f t="shared" si="204"/>
        <v>98034.217863403042</v>
      </c>
      <c r="AB2613" s="1">
        <f t="shared" si="205"/>
        <v>9.8053539360445863E-2</v>
      </c>
      <c r="AC2613" s="1" t="b">
        <f t="shared" si="206"/>
        <v>1</v>
      </c>
    </row>
    <row r="2614" spans="1:29" x14ac:dyDescent="0.25">
      <c r="A2614" s="1">
        <v>1019.982</v>
      </c>
      <c r="B2614">
        <v>2</v>
      </c>
      <c r="D2614" s="2">
        <v>98040.9</v>
      </c>
      <c r="E2614">
        <v>20160</v>
      </c>
      <c r="F2614" t="s">
        <v>15</v>
      </c>
      <c r="G2614" t="s">
        <v>29</v>
      </c>
      <c r="H2614">
        <v>118201</v>
      </c>
      <c r="I2614" t="s">
        <v>17</v>
      </c>
      <c r="J2614" t="s">
        <v>29</v>
      </c>
      <c r="K2614">
        <v>20160.36</v>
      </c>
      <c r="L2614">
        <v>118201.4</v>
      </c>
      <c r="M2614">
        <v>27</v>
      </c>
      <c r="Y2614" s="1">
        <f t="shared" si="202"/>
        <v>1019.982</v>
      </c>
      <c r="Z2614" s="2">
        <f t="shared" si="203"/>
        <v>98040.9</v>
      </c>
      <c r="AA2614" s="2">
        <f t="shared" si="204"/>
        <v>98040.945820612527</v>
      </c>
      <c r="AB2614" s="1">
        <f t="shared" si="205"/>
        <v>9.8060135287001415E-2</v>
      </c>
      <c r="AC2614" s="1" t="b">
        <f t="shared" si="206"/>
        <v>1</v>
      </c>
    </row>
    <row r="2615" spans="1:29" x14ac:dyDescent="0.25">
      <c r="A2615" s="1">
        <v>1019.89</v>
      </c>
      <c r="B2615">
        <v>10</v>
      </c>
      <c r="D2615" s="2">
        <v>98049.8</v>
      </c>
      <c r="M2615">
        <v>27</v>
      </c>
      <c r="Y2615" s="1">
        <f t="shared" si="202"/>
        <v>1019.89</v>
      </c>
      <c r="Z2615" s="2">
        <f t="shared" si="203"/>
        <v>98049.8</v>
      </c>
      <c r="AA2615" s="2">
        <f t="shared" si="204"/>
        <v>98049.789683201132</v>
      </c>
      <c r="AB2615" s="1">
        <f t="shared" si="205"/>
        <v>9.806880628459988E-2</v>
      </c>
      <c r="AC2615" s="1" t="b">
        <f t="shared" si="206"/>
        <v>1</v>
      </c>
    </row>
    <row r="2616" spans="1:29" x14ac:dyDescent="0.25">
      <c r="A2616" s="1">
        <v>1019.699</v>
      </c>
      <c r="B2616">
        <v>1</v>
      </c>
      <c r="D2616" s="2">
        <v>98068.2</v>
      </c>
      <c r="E2616">
        <v>18241</v>
      </c>
      <c r="F2616" t="s">
        <v>15</v>
      </c>
      <c r="G2616" t="s">
        <v>23</v>
      </c>
      <c r="H2616">
        <v>116309</v>
      </c>
      <c r="I2616" t="s">
        <v>17</v>
      </c>
      <c r="J2616" t="s">
        <v>23</v>
      </c>
      <c r="K2616">
        <v>18241.54</v>
      </c>
      <c r="L2616">
        <v>116309.2</v>
      </c>
      <c r="M2616">
        <v>27</v>
      </c>
      <c r="Y2616" s="1">
        <f t="shared" si="202"/>
        <v>1019.699</v>
      </c>
      <c r="Z2616" s="2">
        <f t="shared" si="203"/>
        <v>98068.2</v>
      </c>
      <c r="AA2616" s="2">
        <f t="shared" si="204"/>
        <v>98068.15540664451</v>
      </c>
      <c r="AB2616" s="1">
        <f t="shared" si="205"/>
        <v>9.8086815524308896E-2</v>
      </c>
      <c r="AC2616" s="1" t="b">
        <f t="shared" si="206"/>
        <v>1</v>
      </c>
    </row>
    <row r="2617" spans="1:29" x14ac:dyDescent="0.25">
      <c r="A2617" s="1">
        <v>1019.631</v>
      </c>
      <c r="B2617">
        <v>60</v>
      </c>
      <c r="C2617" t="s">
        <v>27</v>
      </c>
      <c r="D2617" s="2">
        <v>98074.7</v>
      </c>
      <c r="E2617">
        <v>15525</v>
      </c>
      <c r="F2617" t="s">
        <v>15</v>
      </c>
      <c r="G2617" t="s">
        <v>23</v>
      </c>
      <c r="H2617">
        <v>113600</v>
      </c>
      <c r="I2617" t="s">
        <v>17</v>
      </c>
      <c r="J2617" t="s">
        <v>50</v>
      </c>
      <c r="K2617">
        <v>15525.5</v>
      </c>
      <c r="L2617">
        <v>113600.3</v>
      </c>
      <c r="M2617">
        <v>27</v>
      </c>
      <c r="Y2617" s="1">
        <f t="shared" si="202"/>
        <v>1019.631</v>
      </c>
      <c r="Z2617" s="2">
        <f t="shared" si="203"/>
        <v>98074.7</v>
      </c>
      <c r="AA2617" s="2">
        <f t="shared" si="204"/>
        <v>98074.695649700734</v>
      </c>
      <c r="AB2617" s="1">
        <f t="shared" si="205"/>
        <v>9.8093229633907139E-2</v>
      </c>
      <c r="AC2617" s="1" t="b">
        <f t="shared" si="206"/>
        <v>1</v>
      </c>
    </row>
    <row r="2618" spans="1:29" x14ac:dyDescent="0.25">
      <c r="A2618" s="1">
        <v>1019.631</v>
      </c>
      <c r="B2618">
        <v>60</v>
      </c>
      <c r="C2618" t="s">
        <v>27</v>
      </c>
      <c r="D2618" s="2">
        <v>98074.7</v>
      </c>
      <c r="E2618">
        <v>19700</v>
      </c>
      <c r="F2618" t="s">
        <v>15</v>
      </c>
      <c r="G2618" t="s">
        <v>23</v>
      </c>
      <c r="H2618">
        <v>117775</v>
      </c>
      <c r="I2618" t="s">
        <v>17</v>
      </c>
      <c r="J2618" t="s">
        <v>50</v>
      </c>
      <c r="K2618">
        <v>19700.900000000001</v>
      </c>
      <c r="L2618">
        <v>117775.3</v>
      </c>
      <c r="M2618">
        <v>27</v>
      </c>
      <c r="Y2618" s="1">
        <f t="shared" si="202"/>
        <v>1019.631</v>
      </c>
      <c r="Z2618" s="2">
        <f t="shared" si="203"/>
        <v>98074.7</v>
      </c>
      <c r="AA2618" s="2">
        <f t="shared" si="204"/>
        <v>98074.695649700734</v>
      </c>
      <c r="AB2618" s="1">
        <f t="shared" si="205"/>
        <v>9.8093229633907139E-2</v>
      </c>
      <c r="AC2618" s="1" t="b">
        <f t="shared" si="206"/>
        <v>1</v>
      </c>
    </row>
    <row r="2619" spans="1:29" x14ac:dyDescent="0.25">
      <c r="A2619" s="1">
        <v>1019.534</v>
      </c>
      <c r="B2619">
        <v>60</v>
      </c>
      <c r="D2619" s="2">
        <v>98084</v>
      </c>
      <c r="E2619">
        <v>14558</v>
      </c>
      <c r="F2619" t="s">
        <v>15</v>
      </c>
      <c r="G2619" t="s">
        <v>16</v>
      </c>
      <c r="H2619">
        <v>112643</v>
      </c>
      <c r="I2619" t="s">
        <v>17</v>
      </c>
      <c r="J2619" t="s">
        <v>23</v>
      </c>
      <c r="K2619">
        <v>14558.82</v>
      </c>
      <c r="L2619">
        <v>112643.2</v>
      </c>
      <c r="M2619">
        <v>27</v>
      </c>
      <c r="Y2619" s="1">
        <f t="shared" si="202"/>
        <v>1019.534</v>
      </c>
      <c r="Z2619" s="2">
        <f t="shared" si="203"/>
        <v>98084</v>
      </c>
      <c r="AA2619" s="2">
        <f t="shared" si="204"/>
        <v>98084.026623928192</v>
      </c>
      <c r="AB2619" s="1">
        <f t="shared" si="205"/>
        <v>9.8102381393817273E-2</v>
      </c>
      <c r="AC2619" s="1" t="b">
        <f t="shared" si="206"/>
        <v>1</v>
      </c>
    </row>
    <row r="2620" spans="1:29" x14ac:dyDescent="0.25">
      <c r="A2620" s="1">
        <v>1019.474</v>
      </c>
      <c r="B2620">
        <v>1</v>
      </c>
      <c r="D2620" s="2">
        <v>98089.8</v>
      </c>
      <c r="E2620">
        <v>23442</v>
      </c>
      <c r="F2620" t="s">
        <v>15</v>
      </c>
      <c r="G2620" t="s">
        <v>23</v>
      </c>
      <c r="H2620">
        <v>121532</v>
      </c>
      <c r="I2620" t="s">
        <v>17</v>
      </c>
      <c r="J2620" t="s">
        <v>23</v>
      </c>
      <c r="K2620">
        <v>23442.25</v>
      </c>
      <c r="L2620">
        <v>121532.5</v>
      </c>
      <c r="M2620">
        <v>27</v>
      </c>
      <c r="Y2620" s="1">
        <f t="shared" si="202"/>
        <v>1019.474</v>
      </c>
      <c r="Z2620" s="2">
        <f t="shared" si="203"/>
        <v>98089.8</v>
      </c>
      <c r="AA2620" s="2">
        <f t="shared" si="204"/>
        <v>98089.799249416857</v>
      </c>
      <c r="AB2620" s="1">
        <f t="shared" si="205"/>
        <v>9.8108043583954502E-2</v>
      </c>
      <c r="AC2620" s="1" t="b">
        <f t="shared" si="206"/>
        <v>1</v>
      </c>
    </row>
    <row r="2621" spans="1:29" x14ac:dyDescent="0.25">
      <c r="A2621" s="1">
        <v>1019.311</v>
      </c>
      <c r="B2621">
        <v>100</v>
      </c>
      <c r="D2621" s="2">
        <v>98105.5</v>
      </c>
      <c r="M2621">
        <v>27</v>
      </c>
      <c r="Y2621" s="1">
        <f t="shared" si="202"/>
        <v>1019.311</v>
      </c>
      <c r="Z2621" s="2">
        <f t="shared" si="203"/>
        <v>98105.5</v>
      </c>
      <c r="AA2621" s="2">
        <f t="shared" si="204"/>
        <v>98105.484979559726</v>
      </c>
      <c r="AB2621" s="1">
        <f t="shared" si="205"/>
        <v>9.8123430915373094E-2</v>
      </c>
      <c r="AC2621" s="1" t="b">
        <f t="shared" si="206"/>
        <v>1</v>
      </c>
    </row>
    <row r="2622" spans="1:29" x14ac:dyDescent="0.25">
      <c r="A2622" s="1">
        <v>1019.207</v>
      </c>
      <c r="B2622">
        <v>2</v>
      </c>
      <c r="D2622" s="2">
        <v>98115.5</v>
      </c>
      <c r="M2622">
        <v>27</v>
      </c>
      <c r="Y2622" s="1">
        <f t="shared" si="202"/>
        <v>1019.207</v>
      </c>
      <c r="Z2622" s="2">
        <f t="shared" si="203"/>
        <v>98115.5</v>
      </c>
      <c r="AA2622" s="2">
        <f t="shared" si="204"/>
        <v>98115.495674578371</v>
      </c>
      <c r="AB2622" s="1">
        <f t="shared" si="205"/>
        <v>9.8133252457341044E-2</v>
      </c>
      <c r="AC2622" s="1" t="b">
        <f t="shared" si="206"/>
        <v>1</v>
      </c>
    </row>
    <row r="2623" spans="1:29" x14ac:dyDescent="0.25">
      <c r="A2623" s="1">
        <v>1018.968</v>
      </c>
      <c r="B2623">
        <v>200</v>
      </c>
      <c r="D2623" s="2">
        <v>98138.5</v>
      </c>
      <c r="E2623">
        <v>15525</v>
      </c>
      <c r="F2623" t="s">
        <v>15</v>
      </c>
      <c r="G2623" t="s">
        <v>23</v>
      </c>
      <c r="H2623">
        <v>113664</v>
      </c>
      <c r="I2623" t="s">
        <v>17</v>
      </c>
      <c r="J2623" t="s">
        <v>23</v>
      </c>
      <c r="K2623">
        <v>15525.5</v>
      </c>
      <c r="L2623">
        <v>113664.3</v>
      </c>
      <c r="M2623">
        <v>27</v>
      </c>
      <c r="Y2623" s="1">
        <f t="shared" si="202"/>
        <v>1018.968</v>
      </c>
      <c r="Z2623" s="2">
        <f t="shared" si="203"/>
        <v>98138.5</v>
      </c>
      <c r="AA2623" s="2">
        <f t="shared" si="204"/>
        <v>98138.508765731603</v>
      </c>
      <c r="AB2623" s="1">
        <f t="shared" si="205"/>
        <v>9.8155834513807896E-2</v>
      </c>
      <c r="AC2623" s="1" t="b">
        <f t="shared" si="206"/>
        <v>1</v>
      </c>
    </row>
    <row r="2624" spans="1:29" x14ac:dyDescent="0.25">
      <c r="A2624" s="1">
        <v>1018.89</v>
      </c>
      <c r="B2624">
        <v>3</v>
      </c>
      <c r="D2624" s="2">
        <v>98146</v>
      </c>
      <c r="E2624">
        <v>15454</v>
      </c>
      <c r="F2624" t="s">
        <v>15</v>
      </c>
      <c r="G2624" t="s">
        <v>50</v>
      </c>
      <c r="H2624">
        <v>113600</v>
      </c>
      <c r="I2624" t="s">
        <v>17</v>
      </c>
      <c r="J2624" t="s">
        <v>50</v>
      </c>
      <c r="K2624">
        <v>15454.16</v>
      </c>
      <c r="L2624">
        <v>113600.3</v>
      </c>
      <c r="M2624">
        <v>27</v>
      </c>
      <c r="Y2624" s="1">
        <f t="shared" si="202"/>
        <v>1018.89</v>
      </c>
      <c r="Z2624" s="2">
        <f t="shared" si="203"/>
        <v>98146</v>
      </c>
      <c r="AA2624" s="2">
        <f t="shared" si="204"/>
        <v>98146.021651012372</v>
      </c>
      <c r="AB2624" s="1">
        <f t="shared" si="205"/>
        <v>9.8163207829604957E-2</v>
      </c>
      <c r="AC2624" s="1" t="b">
        <f t="shared" si="206"/>
        <v>1</v>
      </c>
    </row>
    <row r="2625" spans="1:29" x14ac:dyDescent="0.25">
      <c r="A2625" s="1">
        <v>1018.544</v>
      </c>
      <c r="B2625">
        <v>1</v>
      </c>
      <c r="D2625" s="2">
        <v>98179.4</v>
      </c>
      <c r="M2625">
        <v>27</v>
      </c>
      <c r="Y2625" s="1">
        <f t="shared" si="202"/>
        <v>1018.544</v>
      </c>
      <c r="Z2625" s="2">
        <f t="shared" si="203"/>
        <v>98179.4</v>
      </c>
      <c r="AA2625" s="2">
        <f t="shared" si="204"/>
        <v>98179.361912691063</v>
      </c>
      <c r="AB2625" s="1">
        <f t="shared" si="205"/>
        <v>9.8195935527915862E-2</v>
      </c>
      <c r="AC2625" s="1" t="b">
        <f t="shared" si="206"/>
        <v>1</v>
      </c>
    </row>
    <row r="2626" spans="1:29" x14ac:dyDescent="0.25">
      <c r="A2626" s="1">
        <v>1018.373</v>
      </c>
      <c r="B2626">
        <v>5</v>
      </c>
      <c r="D2626" s="2">
        <v>98195.8</v>
      </c>
      <c r="M2626">
        <v>27</v>
      </c>
      <c r="Y2626" s="1">
        <f t="shared" si="202"/>
        <v>1018.373</v>
      </c>
      <c r="Z2626" s="2">
        <f t="shared" si="203"/>
        <v>98195.8</v>
      </c>
      <c r="AA2626" s="2">
        <f t="shared" si="204"/>
        <v>98195.847690384559</v>
      </c>
      <c r="AB2626" s="1">
        <f t="shared" si="205"/>
        <v>9.8212122518166023E-2</v>
      </c>
      <c r="AC2626" s="1" t="b">
        <f t="shared" si="206"/>
        <v>1</v>
      </c>
    </row>
    <row r="2627" spans="1:29" x14ac:dyDescent="0.25">
      <c r="A2627" s="1">
        <v>1018.242</v>
      </c>
      <c r="B2627">
        <v>100</v>
      </c>
      <c r="D2627" s="2">
        <v>98208.5</v>
      </c>
      <c r="E2627">
        <v>19872</v>
      </c>
      <c r="F2627" t="s">
        <v>15</v>
      </c>
      <c r="G2627" t="s">
        <v>18</v>
      </c>
      <c r="H2627">
        <v>118081</v>
      </c>
      <c r="I2627" t="s">
        <v>17</v>
      </c>
      <c r="J2627" t="s">
        <v>16</v>
      </c>
      <c r="K2627">
        <v>19872.43</v>
      </c>
      <c r="L2627">
        <v>118081.1</v>
      </c>
      <c r="M2627">
        <v>27</v>
      </c>
      <c r="Y2627" s="1">
        <f t="shared" ref="Y2627:Y2690" si="207">ROUND($A2627,3)+0</f>
        <v>1018.242</v>
      </c>
      <c r="Z2627" s="2">
        <f t="shared" ref="Z2627:Z2690" si="208">ROUND($D2627,1)+0</f>
        <v>98208.5</v>
      </c>
      <c r="AA2627" s="2">
        <f t="shared" ref="AA2627:AA2690" si="209">100000000/Y2627</f>
        <v>98208.480891575877</v>
      </c>
      <c r="AB2627" s="1">
        <f t="shared" ref="AB2627:AB2690" si="210">0.0005/$Y2627*AA2627+0.05</f>
        <v>9.8224528595155125E-2</v>
      </c>
      <c r="AC2627" s="1" t="b">
        <f t="shared" ref="AC2627:AC2690" si="211">ABS(Z2627-AA2627)&lt;AB2627</f>
        <v>1</v>
      </c>
    </row>
    <row r="2628" spans="1:29" x14ac:dyDescent="0.25">
      <c r="A2628" s="1">
        <v>1017.853</v>
      </c>
      <c r="B2628">
        <v>2</v>
      </c>
      <c r="C2628" t="s">
        <v>27</v>
      </c>
      <c r="D2628" s="2">
        <v>98246</v>
      </c>
      <c r="E2628">
        <v>15045</v>
      </c>
      <c r="F2628" t="s">
        <v>15</v>
      </c>
      <c r="G2628" t="s">
        <v>28</v>
      </c>
      <c r="H2628">
        <v>113291</v>
      </c>
      <c r="I2628" t="s">
        <v>17</v>
      </c>
      <c r="J2628" t="s">
        <v>18</v>
      </c>
      <c r="K2628">
        <v>15045.8</v>
      </c>
      <c r="L2628">
        <v>113291.8</v>
      </c>
      <c r="M2628">
        <v>27</v>
      </c>
      <c r="Y2628" s="1">
        <f t="shared" si="207"/>
        <v>1017.853</v>
      </c>
      <c r="Z2628" s="2">
        <f t="shared" si="208"/>
        <v>98246</v>
      </c>
      <c r="AA2628" s="2">
        <f t="shared" si="209"/>
        <v>98246.013913600502</v>
      </c>
      <c r="AB2628" s="1">
        <f t="shared" si="210"/>
        <v>9.8261396249556918E-2</v>
      </c>
      <c r="AC2628" s="1" t="b">
        <f t="shared" si="211"/>
        <v>1</v>
      </c>
    </row>
    <row r="2629" spans="1:29" x14ac:dyDescent="0.25">
      <c r="A2629" s="1">
        <v>1017.853</v>
      </c>
      <c r="B2629">
        <v>2</v>
      </c>
      <c r="C2629" t="s">
        <v>27</v>
      </c>
      <c r="D2629" s="2">
        <v>98246</v>
      </c>
      <c r="E2629">
        <v>18063</v>
      </c>
      <c r="F2629" t="s">
        <v>15</v>
      </c>
      <c r="G2629" t="s">
        <v>16</v>
      </c>
      <c r="H2629">
        <v>116309</v>
      </c>
      <c r="I2629" t="s">
        <v>17</v>
      </c>
      <c r="J2629" t="s">
        <v>23</v>
      </c>
      <c r="K2629">
        <v>18063.36</v>
      </c>
      <c r="L2629">
        <v>116309.2</v>
      </c>
      <c r="M2629">
        <v>27</v>
      </c>
      <c r="Y2629" s="1">
        <f t="shared" si="207"/>
        <v>1017.853</v>
      </c>
      <c r="Z2629" s="2">
        <f t="shared" si="208"/>
        <v>98246</v>
      </c>
      <c r="AA2629" s="2">
        <f t="shared" si="209"/>
        <v>98246.013913600502</v>
      </c>
      <c r="AB2629" s="1">
        <f t="shared" si="210"/>
        <v>9.8261396249556918E-2</v>
      </c>
      <c r="AC2629" s="1" t="b">
        <f t="shared" si="211"/>
        <v>1</v>
      </c>
    </row>
    <row r="2630" spans="1:29" x14ac:dyDescent="0.25">
      <c r="A2630" s="1">
        <v>1017.516</v>
      </c>
      <c r="B2630">
        <v>10</v>
      </c>
      <c r="D2630" s="2">
        <v>98278.6</v>
      </c>
      <c r="M2630">
        <v>27</v>
      </c>
      <c r="Y2630" s="1">
        <f t="shared" si="207"/>
        <v>1017.516</v>
      </c>
      <c r="Z2630" s="2">
        <f t="shared" si="208"/>
        <v>98278.6</v>
      </c>
      <c r="AA2630" s="2">
        <f t="shared" si="209"/>
        <v>98278.55286796474</v>
      </c>
      <c r="AB2630" s="1">
        <f t="shared" si="210"/>
        <v>9.82933697691067E-2</v>
      </c>
      <c r="AC2630" s="1" t="b">
        <f t="shared" si="211"/>
        <v>1</v>
      </c>
    </row>
    <row r="2631" spans="1:29" x14ac:dyDescent="0.25">
      <c r="A2631" s="1">
        <v>1017.396</v>
      </c>
      <c r="B2631">
        <v>5</v>
      </c>
      <c r="C2631" t="s">
        <v>122</v>
      </c>
      <c r="D2631" s="2">
        <v>98290.1</v>
      </c>
      <c r="E2631">
        <v>17113</v>
      </c>
      <c r="F2631" t="s">
        <v>15</v>
      </c>
      <c r="G2631" t="s">
        <v>50</v>
      </c>
      <c r="H2631">
        <v>115403</v>
      </c>
      <c r="I2631" t="s">
        <v>17</v>
      </c>
      <c r="J2631" t="s">
        <v>23</v>
      </c>
      <c r="K2631">
        <v>17113.189999999999</v>
      </c>
      <c r="L2631">
        <v>115403.3</v>
      </c>
      <c r="M2631">
        <v>27</v>
      </c>
      <c r="Y2631" s="1">
        <f t="shared" si="207"/>
        <v>1017.396</v>
      </c>
      <c r="Z2631" s="2">
        <f t="shared" si="208"/>
        <v>98290.1</v>
      </c>
      <c r="AA2631" s="2">
        <f t="shared" si="209"/>
        <v>98290.144643776861</v>
      </c>
      <c r="AB2631" s="1">
        <f t="shared" si="210"/>
        <v>9.8304762670472889E-2</v>
      </c>
      <c r="AC2631" s="1" t="b">
        <f t="shared" si="211"/>
        <v>1</v>
      </c>
    </row>
    <row r="2632" spans="1:29" x14ac:dyDescent="0.25">
      <c r="A2632" s="1">
        <v>1017.345</v>
      </c>
      <c r="B2632">
        <v>50</v>
      </c>
      <c r="C2632" t="s">
        <v>122</v>
      </c>
      <c r="D2632" s="2">
        <v>98295.1</v>
      </c>
      <c r="E2632">
        <v>17113</v>
      </c>
      <c r="F2632" t="s">
        <v>15</v>
      </c>
      <c r="G2632" t="s">
        <v>50</v>
      </c>
      <c r="H2632">
        <v>115408</v>
      </c>
      <c r="I2632" t="s">
        <v>17</v>
      </c>
      <c r="J2632" t="s">
        <v>50</v>
      </c>
      <c r="K2632">
        <v>17113.189999999999</v>
      </c>
      <c r="L2632">
        <v>115408.4</v>
      </c>
      <c r="M2632">
        <v>27</v>
      </c>
      <c r="Y2632" s="1">
        <f t="shared" si="207"/>
        <v>1017.345</v>
      </c>
      <c r="Z2632" s="2">
        <f t="shared" si="208"/>
        <v>98295.1</v>
      </c>
      <c r="AA2632" s="2">
        <f t="shared" si="209"/>
        <v>98295.071976566454</v>
      </c>
      <c r="AB2632" s="1">
        <f t="shared" si="210"/>
        <v>9.8309605874391914E-2</v>
      </c>
      <c r="AC2632" s="1" t="b">
        <f t="shared" si="211"/>
        <v>1</v>
      </c>
    </row>
    <row r="2633" spans="1:29" x14ac:dyDescent="0.25">
      <c r="A2633" s="1">
        <v>1017.31</v>
      </c>
      <c r="B2633">
        <v>20</v>
      </c>
      <c r="C2633" t="s">
        <v>122</v>
      </c>
      <c r="D2633" s="2">
        <v>98298.4</v>
      </c>
      <c r="E2633">
        <v>14859</v>
      </c>
      <c r="F2633" t="s">
        <v>15</v>
      </c>
      <c r="G2633" t="s">
        <v>23</v>
      </c>
      <c r="H2633">
        <v>113158</v>
      </c>
      <c r="I2633" t="s">
        <v>17</v>
      </c>
      <c r="J2633" t="s">
        <v>16</v>
      </c>
      <c r="K2633">
        <v>14859.96</v>
      </c>
      <c r="L2633">
        <v>113158.8</v>
      </c>
      <c r="M2633">
        <v>27</v>
      </c>
      <c r="Y2633" s="1">
        <f t="shared" si="207"/>
        <v>1017.31</v>
      </c>
      <c r="Z2633" s="2">
        <f t="shared" si="208"/>
        <v>98298.4</v>
      </c>
      <c r="AA2633" s="2">
        <f t="shared" si="209"/>
        <v>98298.45376532228</v>
      </c>
      <c r="AB2633" s="1">
        <f t="shared" si="210"/>
        <v>9.831293006326601E-2</v>
      </c>
      <c r="AC2633" s="1" t="b">
        <f t="shared" si="211"/>
        <v>1</v>
      </c>
    </row>
    <row r="2634" spans="1:29" x14ac:dyDescent="0.25">
      <c r="A2634" s="1">
        <v>1017.231</v>
      </c>
      <c r="B2634">
        <v>5</v>
      </c>
      <c r="D2634" s="2">
        <v>98306.1</v>
      </c>
      <c r="E2634">
        <v>17627</v>
      </c>
      <c r="F2634" t="s">
        <v>15</v>
      </c>
      <c r="G2634" t="s">
        <v>16</v>
      </c>
      <c r="H2634">
        <v>115933</v>
      </c>
      <c r="I2634" t="s">
        <v>17</v>
      </c>
      <c r="J2634" t="s">
        <v>23</v>
      </c>
      <c r="K2634">
        <v>17627</v>
      </c>
      <c r="L2634">
        <v>115933.2</v>
      </c>
      <c r="M2634">
        <v>27</v>
      </c>
      <c r="Y2634" s="1">
        <f t="shared" si="207"/>
        <v>1017.231</v>
      </c>
      <c r="Z2634" s="2">
        <f t="shared" si="208"/>
        <v>98306.1</v>
      </c>
      <c r="AA2634" s="2">
        <f t="shared" si="209"/>
        <v>98306.08780109926</v>
      </c>
      <c r="AB2634" s="1">
        <f t="shared" si="210"/>
        <v>9.832043449378719E-2</v>
      </c>
      <c r="AC2634" s="1" t="b">
        <f t="shared" si="211"/>
        <v>1</v>
      </c>
    </row>
    <row r="2635" spans="1:29" x14ac:dyDescent="0.25">
      <c r="A2635" s="1">
        <v>1016.991</v>
      </c>
      <c r="B2635">
        <v>10</v>
      </c>
      <c r="D2635" s="2">
        <v>98329.3</v>
      </c>
      <c r="M2635">
        <v>27</v>
      </c>
      <c r="Y2635" s="1">
        <f t="shared" si="207"/>
        <v>1016.991</v>
      </c>
      <c r="Z2635" s="2">
        <f t="shared" si="208"/>
        <v>98329.3</v>
      </c>
      <c r="AA2635" s="2">
        <f t="shared" si="209"/>
        <v>98329.287083169867</v>
      </c>
      <c r="AB2635" s="1">
        <f t="shared" si="210"/>
        <v>9.8343243491422178E-2</v>
      </c>
      <c r="AC2635" s="1" t="b">
        <f t="shared" si="211"/>
        <v>1</v>
      </c>
    </row>
    <row r="2636" spans="1:29" x14ac:dyDescent="0.25">
      <c r="A2636" s="1">
        <v>1016.7140000000001</v>
      </c>
      <c r="B2636">
        <v>5</v>
      </c>
      <c r="D2636" s="2">
        <v>98356.1</v>
      </c>
      <c r="M2636">
        <v>27</v>
      </c>
      <c r="Y2636" s="1">
        <f t="shared" si="207"/>
        <v>1016.7140000000001</v>
      </c>
      <c r="Z2636" s="2">
        <f t="shared" si="208"/>
        <v>98356.1</v>
      </c>
      <c r="AA2636" s="2">
        <f t="shared" si="209"/>
        <v>98356.076536764507</v>
      </c>
      <c r="AB2636" s="1">
        <f t="shared" si="210"/>
        <v>9.8369588958529403E-2</v>
      </c>
      <c r="AC2636" s="1" t="b">
        <f t="shared" si="211"/>
        <v>1</v>
      </c>
    </row>
    <row r="2637" spans="1:29" x14ac:dyDescent="0.25">
      <c r="A2637" s="1">
        <v>1016.471</v>
      </c>
      <c r="B2637">
        <v>200</v>
      </c>
      <c r="D2637" s="2">
        <v>98379.6</v>
      </c>
      <c r="E2637">
        <v>15454</v>
      </c>
      <c r="F2637" t="s">
        <v>15</v>
      </c>
      <c r="G2637" t="s">
        <v>50</v>
      </c>
      <c r="H2637">
        <v>113833</v>
      </c>
      <c r="I2637" t="s">
        <v>17</v>
      </c>
      <c r="J2637" t="s">
        <v>57</v>
      </c>
      <c r="K2637">
        <v>15454.16</v>
      </c>
      <c r="L2637">
        <v>113833.9</v>
      </c>
      <c r="M2637">
        <v>27</v>
      </c>
      <c r="Y2637" s="1">
        <f t="shared" si="207"/>
        <v>1016.471</v>
      </c>
      <c r="Z2637" s="2">
        <f t="shared" si="208"/>
        <v>98379.6</v>
      </c>
      <c r="AA2637" s="2">
        <f t="shared" si="209"/>
        <v>98379.589776786554</v>
      </c>
      <c r="AB2637" s="1">
        <f t="shared" si="210"/>
        <v>9.8392718423244027E-2</v>
      </c>
      <c r="AC2637" s="1" t="b">
        <f t="shared" si="211"/>
        <v>1</v>
      </c>
    </row>
    <row r="2638" spans="1:29" x14ac:dyDescent="0.25">
      <c r="A2638" s="1">
        <v>1015.785</v>
      </c>
      <c r="B2638">
        <v>20</v>
      </c>
      <c r="D2638" s="2">
        <v>98446</v>
      </c>
      <c r="E2638">
        <v>19872</v>
      </c>
      <c r="F2638" t="s">
        <v>15</v>
      </c>
      <c r="G2638" t="s">
        <v>18</v>
      </c>
      <c r="H2638">
        <v>118318</v>
      </c>
      <c r="I2638" t="s">
        <v>17</v>
      </c>
      <c r="J2638" t="s">
        <v>18</v>
      </c>
      <c r="K2638">
        <v>19872.43</v>
      </c>
      <c r="L2638">
        <v>118318.6</v>
      </c>
      <c r="M2638">
        <v>27</v>
      </c>
      <c r="Y2638" s="1">
        <f t="shared" si="207"/>
        <v>1015.785</v>
      </c>
      <c r="Z2638" s="2">
        <f t="shared" si="208"/>
        <v>98446</v>
      </c>
      <c r="AA2638" s="2">
        <f t="shared" si="209"/>
        <v>98446.029425518194</v>
      </c>
      <c r="AB2638" s="1">
        <f t="shared" si="210"/>
        <v>9.8458103548249978E-2</v>
      </c>
      <c r="AC2638" s="1" t="b">
        <f t="shared" si="211"/>
        <v>1</v>
      </c>
    </row>
    <row r="2639" spans="1:29" x14ac:dyDescent="0.25">
      <c r="A2639" s="1">
        <v>1015.73</v>
      </c>
      <c r="B2639">
        <v>10</v>
      </c>
      <c r="D2639" s="2">
        <v>98451.4</v>
      </c>
      <c r="M2639">
        <v>27</v>
      </c>
      <c r="Y2639" s="1">
        <f t="shared" si="207"/>
        <v>1015.73</v>
      </c>
      <c r="Z2639" s="2">
        <f t="shared" si="208"/>
        <v>98451.4</v>
      </c>
      <c r="AA2639" s="2">
        <f t="shared" si="209"/>
        <v>98451.360105539861</v>
      </c>
      <c r="AB2639" s="1">
        <f t="shared" si="210"/>
        <v>9.8463351533153443E-2</v>
      </c>
      <c r="AC2639" s="1" t="b">
        <f t="shared" si="211"/>
        <v>1</v>
      </c>
    </row>
    <row r="2640" spans="1:29" x14ac:dyDescent="0.25">
      <c r="A2640" s="1">
        <v>1015.699</v>
      </c>
      <c r="B2640">
        <v>2</v>
      </c>
      <c r="D2640" s="2">
        <v>98454.399999999994</v>
      </c>
      <c r="M2640">
        <v>27</v>
      </c>
      <c r="Y2640" s="1">
        <f t="shared" si="207"/>
        <v>1015.699</v>
      </c>
      <c r="Z2640" s="2">
        <f t="shared" si="208"/>
        <v>98454.399999999994</v>
      </c>
      <c r="AA2640" s="2">
        <f t="shared" si="209"/>
        <v>98454.36492504178</v>
      </c>
      <c r="AB2640" s="1">
        <f t="shared" si="210"/>
        <v>9.8466309863966484E-2</v>
      </c>
      <c r="AC2640" s="1" t="b">
        <f t="shared" si="211"/>
        <v>1</v>
      </c>
    </row>
    <row r="2641" spans="1:29" x14ac:dyDescent="0.25">
      <c r="A2641" s="1">
        <v>1015.4690000000001</v>
      </c>
      <c r="B2641">
        <v>5</v>
      </c>
      <c r="D2641" s="2">
        <v>98476.7</v>
      </c>
      <c r="M2641">
        <v>27</v>
      </c>
      <c r="Y2641" s="1">
        <f t="shared" si="207"/>
        <v>1015.4690000000001</v>
      </c>
      <c r="Z2641" s="2">
        <f t="shared" si="208"/>
        <v>98476.7</v>
      </c>
      <c r="AA2641" s="2">
        <f t="shared" si="209"/>
        <v>98476.664477202154</v>
      </c>
      <c r="AB2641" s="1">
        <f t="shared" si="210"/>
        <v>9.8488267232777246E-2</v>
      </c>
      <c r="AC2641" s="1" t="b">
        <f t="shared" si="211"/>
        <v>1</v>
      </c>
    </row>
    <row r="2642" spans="1:29" x14ac:dyDescent="0.25">
      <c r="A2642" s="1">
        <v>1015.34</v>
      </c>
      <c r="B2642">
        <v>1</v>
      </c>
      <c r="D2642" s="2">
        <v>98489.2</v>
      </c>
      <c r="M2642">
        <v>27</v>
      </c>
      <c r="Y2642" s="1">
        <f t="shared" si="207"/>
        <v>1015.34</v>
      </c>
      <c r="Z2642" s="2">
        <f t="shared" si="208"/>
        <v>98489.2</v>
      </c>
      <c r="AA2642" s="2">
        <f t="shared" si="209"/>
        <v>98489.176039553247</v>
      </c>
      <c r="AB2642" s="1">
        <f t="shared" si="210"/>
        <v>9.8500588984750559E-2</v>
      </c>
      <c r="AC2642" s="1" t="b">
        <f t="shared" si="211"/>
        <v>1</v>
      </c>
    </row>
    <row r="2643" spans="1:29" x14ac:dyDescent="0.25">
      <c r="A2643" s="1">
        <v>1015.274</v>
      </c>
      <c r="B2643">
        <v>30</v>
      </c>
      <c r="D2643" s="2">
        <v>98495.6</v>
      </c>
      <c r="M2643">
        <v>27</v>
      </c>
      <c r="Y2643" s="1">
        <f t="shared" si="207"/>
        <v>1015.274</v>
      </c>
      <c r="Z2643" s="2">
        <f t="shared" si="208"/>
        <v>98495.6</v>
      </c>
      <c r="AA2643" s="2">
        <f t="shared" si="209"/>
        <v>98495.578533479638</v>
      </c>
      <c r="AB2643" s="1">
        <f t="shared" si="210"/>
        <v>9.8506894953224261E-2</v>
      </c>
      <c r="AC2643" s="1" t="b">
        <f t="shared" si="211"/>
        <v>1</v>
      </c>
    </row>
    <row r="2644" spans="1:29" x14ac:dyDescent="0.25">
      <c r="A2644" s="1">
        <v>1015.17</v>
      </c>
      <c r="B2644">
        <v>8</v>
      </c>
      <c r="D2644" s="2">
        <v>98505.7</v>
      </c>
      <c r="M2644">
        <v>27</v>
      </c>
      <c r="Y2644" s="1">
        <f t="shared" si="207"/>
        <v>1015.17</v>
      </c>
      <c r="Z2644" s="2">
        <f t="shared" si="208"/>
        <v>98505.7</v>
      </c>
      <c r="AA2644" s="2">
        <f t="shared" si="209"/>
        <v>98505.669001251023</v>
      </c>
      <c r="AB2644" s="1">
        <f t="shared" si="210"/>
        <v>9.8516834126920139E-2</v>
      </c>
      <c r="AC2644" s="1" t="b">
        <f t="shared" si="211"/>
        <v>1</v>
      </c>
    </row>
    <row r="2645" spans="1:29" x14ac:dyDescent="0.25">
      <c r="A2645" s="1">
        <v>1015.046</v>
      </c>
      <c r="B2645">
        <v>3</v>
      </c>
      <c r="D2645" s="2">
        <v>98517.7</v>
      </c>
      <c r="E2645">
        <v>29835</v>
      </c>
      <c r="F2645" t="s">
        <v>15</v>
      </c>
      <c r="G2645" t="s">
        <v>16</v>
      </c>
      <c r="H2645">
        <v>128352</v>
      </c>
      <c r="I2645" t="s">
        <v>17</v>
      </c>
      <c r="J2645" t="s">
        <v>16</v>
      </c>
      <c r="K2645">
        <v>29835.09</v>
      </c>
      <c r="L2645">
        <v>128352.8</v>
      </c>
      <c r="M2645">
        <v>27</v>
      </c>
      <c r="Y2645" s="1">
        <f t="shared" si="207"/>
        <v>1015.046</v>
      </c>
      <c r="Z2645" s="2">
        <f t="shared" si="208"/>
        <v>98517.7</v>
      </c>
      <c r="AA2645" s="2">
        <f t="shared" si="209"/>
        <v>98517.702645988451</v>
      </c>
      <c r="AB2645" s="1">
        <f t="shared" si="210"/>
        <v>9.8528688673216999E-2</v>
      </c>
      <c r="AC2645" s="1" t="b">
        <f t="shared" si="211"/>
        <v>1</v>
      </c>
    </row>
    <row r="2646" spans="1:29" x14ac:dyDescent="0.25">
      <c r="A2646" s="1">
        <v>1014.8150000000001</v>
      </c>
      <c r="B2646">
        <v>3</v>
      </c>
      <c r="D2646" s="2">
        <v>98540.1</v>
      </c>
      <c r="M2646">
        <v>27</v>
      </c>
      <c r="Y2646" s="1">
        <f t="shared" si="207"/>
        <v>1014.8150000000001</v>
      </c>
      <c r="Z2646" s="2">
        <f t="shared" si="208"/>
        <v>98540.1</v>
      </c>
      <c r="AA2646" s="2">
        <f t="shared" si="209"/>
        <v>98540.128003626276</v>
      </c>
      <c r="AB2646" s="1">
        <f t="shared" si="210"/>
        <v>9.8550784134855254E-2</v>
      </c>
      <c r="AC2646" s="1" t="b">
        <f t="shared" si="211"/>
        <v>1</v>
      </c>
    </row>
    <row r="2647" spans="1:29" x14ac:dyDescent="0.25">
      <c r="A2647" s="1">
        <v>1014.75</v>
      </c>
      <c r="B2647">
        <v>10</v>
      </c>
      <c r="D2647" s="2">
        <v>98546.4</v>
      </c>
      <c r="E2647">
        <v>29835</v>
      </c>
      <c r="F2647" t="s">
        <v>15</v>
      </c>
      <c r="G2647" t="s">
        <v>16</v>
      </c>
      <c r="H2647">
        <v>128381</v>
      </c>
      <c r="I2647" t="s">
        <v>17</v>
      </c>
      <c r="J2647" t="s">
        <v>23</v>
      </c>
      <c r="K2647">
        <v>29835.09</v>
      </c>
      <c r="L2647">
        <v>128381.6</v>
      </c>
      <c r="M2647">
        <v>27</v>
      </c>
      <c r="Y2647" s="1">
        <f t="shared" si="207"/>
        <v>1014.75</v>
      </c>
      <c r="Z2647" s="2">
        <f t="shared" si="208"/>
        <v>98546.4</v>
      </c>
      <c r="AA2647" s="2">
        <f t="shared" si="209"/>
        <v>98546.440009854647</v>
      </c>
      <c r="AB2647" s="1">
        <f t="shared" si="210"/>
        <v>9.8557004193079417E-2</v>
      </c>
      <c r="AC2647" s="1" t="b">
        <f t="shared" si="211"/>
        <v>1</v>
      </c>
    </row>
    <row r="2648" spans="1:29" x14ac:dyDescent="0.25">
      <c r="A2648" s="1">
        <v>1014.622</v>
      </c>
      <c r="B2648">
        <v>30</v>
      </c>
      <c r="D2648" s="2">
        <v>98558.9</v>
      </c>
      <c r="E2648">
        <v>17113</v>
      </c>
      <c r="F2648" t="s">
        <v>15</v>
      </c>
      <c r="G2648" t="s">
        <v>50</v>
      </c>
      <c r="H2648">
        <v>115672</v>
      </c>
      <c r="I2648" t="s">
        <v>17</v>
      </c>
      <c r="J2648" t="s">
        <v>57</v>
      </c>
      <c r="K2648">
        <v>17113.189999999999</v>
      </c>
      <c r="L2648">
        <v>115672.2</v>
      </c>
      <c r="M2648">
        <v>27</v>
      </c>
      <c r="Y2648" s="1">
        <f t="shared" si="207"/>
        <v>1014.622</v>
      </c>
      <c r="Z2648" s="2">
        <f t="shared" si="208"/>
        <v>98558.9</v>
      </c>
      <c r="AA2648" s="2">
        <f t="shared" si="209"/>
        <v>98558.872171113981</v>
      </c>
      <c r="AB2648" s="1">
        <f t="shared" si="210"/>
        <v>9.8569256418209933E-2</v>
      </c>
      <c r="AC2648" s="1" t="b">
        <f t="shared" si="211"/>
        <v>1</v>
      </c>
    </row>
    <row r="2649" spans="1:29" x14ac:dyDescent="0.25">
      <c r="A2649" s="1">
        <v>1014.231</v>
      </c>
      <c r="B2649">
        <v>10</v>
      </c>
      <c r="C2649" t="s">
        <v>122</v>
      </c>
      <c r="D2649" s="2">
        <v>98596.9</v>
      </c>
      <c r="E2649">
        <v>19872</v>
      </c>
      <c r="F2649" t="s">
        <v>15</v>
      </c>
      <c r="G2649" t="s">
        <v>18</v>
      </c>
      <c r="H2649">
        <v>118468</v>
      </c>
      <c r="I2649" t="s">
        <v>17</v>
      </c>
      <c r="J2649" t="s">
        <v>16</v>
      </c>
      <c r="K2649">
        <v>19872.43</v>
      </c>
      <c r="L2649">
        <v>118468.8</v>
      </c>
      <c r="M2649">
        <v>27</v>
      </c>
      <c r="Y2649" s="1">
        <f t="shared" si="207"/>
        <v>1014.231</v>
      </c>
      <c r="Z2649" s="2">
        <f t="shared" si="208"/>
        <v>98596.9</v>
      </c>
      <c r="AA2649" s="2">
        <f t="shared" si="209"/>
        <v>98596.867971892003</v>
      </c>
      <c r="AB2649" s="1">
        <f t="shared" si="210"/>
        <v>9.8606711869333508E-2</v>
      </c>
      <c r="AC2649" s="1" t="b">
        <f t="shared" si="211"/>
        <v>1</v>
      </c>
    </row>
    <row r="2650" spans="1:29" x14ac:dyDescent="0.25">
      <c r="A2650" s="1">
        <v>1014.202</v>
      </c>
      <c r="B2650">
        <v>100</v>
      </c>
      <c r="D2650" s="2">
        <v>98599.7</v>
      </c>
      <c r="E2650">
        <v>14558</v>
      </c>
      <c r="F2650" t="s">
        <v>15</v>
      </c>
      <c r="G2650" t="s">
        <v>16</v>
      </c>
      <c r="H2650">
        <v>113158</v>
      </c>
      <c r="I2650" t="s">
        <v>17</v>
      </c>
      <c r="J2650" t="s">
        <v>16</v>
      </c>
      <c r="K2650">
        <v>14558.82</v>
      </c>
      <c r="L2650">
        <v>113158.8</v>
      </c>
      <c r="M2650">
        <v>27</v>
      </c>
      <c r="Y2650" s="1">
        <f t="shared" si="207"/>
        <v>1014.202</v>
      </c>
      <c r="Z2650" s="2">
        <f t="shared" si="208"/>
        <v>98599.7</v>
      </c>
      <c r="AA2650" s="2">
        <f t="shared" si="209"/>
        <v>98599.687241792068</v>
      </c>
      <c r="AB2650" s="1">
        <f t="shared" si="210"/>
        <v>9.8609491620896078E-2</v>
      </c>
      <c r="AC2650" s="1" t="b">
        <f t="shared" si="211"/>
        <v>1</v>
      </c>
    </row>
    <row r="2651" spans="1:29" x14ac:dyDescent="0.25">
      <c r="A2651" s="1">
        <v>1013.841</v>
      </c>
      <c r="B2651">
        <v>4</v>
      </c>
      <c r="D2651" s="2">
        <v>98634.8</v>
      </c>
      <c r="E2651">
        <v>22747</v>
      </c>
      <c r="F2651" t="s">
        <v>15</v>
      </c>
      <c r="G2651" t="s">
        <v>16</v>
      </c>
      <c r="H2651">
        <v>121382</v>
      </c>
      <c r="I2651" t="s">
        <v>17</v>
      </c>
      <c r="J2651" t="s">
        <v>16</v>
      </c>
      <c r="K2651">
        <v>22747.69</v>
      </c>
      <c r="L2651">
        <v>121382.6</v>
      </c>
      <c r="M2651">
        <v>27</v>
      </c>
      <c r="Y2651" s="1">
        <f t="shared" si="207"/>
        <v>1013.841</v>
      </c>
      <c r="Z2651" s="2">
        <f t="shared" si="208"/>
        <v>98634.8</v>
      </c>
      <c r="AA2651" s="2">
        <f t="shared" si="209"/>
        <v>98634.795791450539</v>
      </c>
      <c r="AB2651" s="1">
        <f t="shared" si="210"/>
        <v>9.8644114704105751E-2</v>
      </c>
      <c r="AC2651" s="1" t="b">
        <f t="shared" si="211"/>
        <v>1</v>
      </c>
    </row>
    <row r="2652" spans="1:29" x14ac:dyDescent="0.25">
      <c r="A2652" s="1">
        <v>1013.78</v>
      </c>
      <c r="B2652">
        <v>30</v>
      </c>
      <c r="D2652" s="2">
        <v>98640.7</v>
      </c>
      <c r="E2652">
        <v>13352</v>
      </c>
      <c r="F2652" t="s">
        <v>15</v>
      </c>
      <c r="G2652" t="s">
        <v>23</v>
      </c>
      <c r="H2652">
        <v>111993</v>
      </c>
      <c r="I2652" t="s">
        <v>17</v>
      </c>
      <c r="J2652" t="s">
        <v>16</v>
      </c>
      <c r="K2652">
        <v>13352.1</v>
      </c>
      <c r="L2652">
        <v>111993</v>
      </c>
      <c r="M2652">
        <v>27</v>
      </c>
      <c r="Y2652" s="1">
        <f t="shared" si="207"/>
        <v>1013.78</v>
      </c>
      <c r="Z2652" s="2">
        <f t="shared" si="208"/>
        <v>98640.7</v>
      </c>
      <c r="AA2652" s="2">
        <f t="shared" si="209"/>
        <v>98640.730730533251</v>
      </c>
      <c r="AB2652" s="1">
        <f t="shared" si="210"/>
        <v>9.8649968795267842E-2</v>
      </c>
      <c r="AC2652" s="1" t="b">
        <f t="shared" si="211"/>
        <v>1</v>
      </c>
    </row>
    <row r="2653" spans="1:29" x14ac:dyDescent="0.25">
      <c r="A2653" s="1">
        <v>1013.462</v>
      </c>
      <c r="B2653">
        <v>100</v>
      </c>
      <c r="D2653" s="2">
        <v>98671.7</v>
      </c>
      <c r="M2653">
        <v>27</v>
      </c>
      <c r="Y2653" s="1">
        <f t="shared" si="207"/>
        <v>1013.462</v>
      </c>
      <c r="Z2653" s="2">
        <f t="shared" si="208"/>
        <v>98671.7</v>
      </c>
      <c r="AA2653" s="2">
        <f t="shared" si="209"/>
        <v>98671.681819347941</v>
      </c>
      <c r="AB2653" s="1">
        <f t="shared" si="210"/>
        <v>9.8680503965293209E-2</v>
      </c>
      <c r="AC2653" s="1" t="b">
        <f t="shared" si="211"/>
        <v>1</v>
      </c>
    </row>
    <row r="2654" spans="1:29" x14ac:dyDescent="0.25">
      <c r="A2654" s="1">
        <v>1013.354</v>
      </c>
      <c r="B2654">
        <v>5</v>
      </c>
      <c r="D2654" s="2">
        <v>98682.2</v>
      </c>
      <c r="E2654">
        <v>17627</v>
      </c>
      <c r="F2654" t="s">
        <v>15</v>
      </c>
      <c r="G2654" t="s">
        <v>16</v>
      </c>
      <c r="H2654">
        <v>116309</v>
      </c>
      <c r="I2654" t="s">
        <v>17</v>
      </c>
      <c r="J2654" t="s">
        <v>23</v>
      </c>
      <c r="K2654">
        <v>17627</v>
      </c>
      <c r="L2654">
        <v>116309.2</v>
      </c>
      <c r="M2654">
        <v>27</v>
      </c>
      <c r="Y2654" s="1">
        <f t="shared" si="207"/>
        <v>1013.354</v>
      </c>
      <c r="Z2654" s="2">
        <f t="shared" si="208"/>
        <v>98682.2</v>
      </c>
      <c r="AA2654" s="2">
        <f t="shared" si="209"/>
        <v>98682.197928858019</v>
      </c>
      <c r="AB2654" s="1">
        <f t="shared" si="210"/>
        <v>9.8690880940351555E-2</v>
      </c>
      <c r="AC2654" s="1" t="b">
        <f t="shared" si="211"/>
        <v>1</v>
      </c>
    </row>
    <row r="2655" spans="1:29" x14ac:dyDescent="0.25">
      <c r="A2655" s="1">
        <v>1013.1420000000001</v>
      </c>
      <c r="B2655">
        <v>80</v>
      </c>
      <c r="D2655" s="2">
        <v>98702.8</v>
      </c>
      <c r="E2655">
        <v>19360</v>
      </c>
      <c r="F2655" t="s">
        <v>15</v>
      </c>
      <c r="G2655" t="s">
        <v>50</v>
      </c>
      <c r="H2655">
        <v>118063</v>
      </c>
      <c r="I2655" t="s">
        <v>17</v>
      </c>
      <c r="J2655" t="s">
        <v>57</v>
      </c>
      <c r="K2655">
        <v>19360.099999999999</v>
      </c>
      <c r="L2655">
        <v>118063</v>
      </c>
      <c r="M2655">
        <v>27</v>
      </c>
      <c r="Y2655" s="1">
        <f t="shared" si="207"/>
        <v>1013.1420000000001</v>
      </c>
      <c r="Z2655" s="2">
        <f t="shared" si="208"/>
        <v>98702.8</v>
      </c>
      <c r="AA2655" s="2">
        <f t="shared" si="209"/>
        <v>98702.847182329817</v>
      </c>
      <c r="AB2655" s="1">
        <f t="shared" si="210"/>
        <v>9.8711260209491766E-2</v>
      </c>
      <c r="AC2655" s="1" t="b">
        <f t="shared" si="211"/>
        <v>1</v>
      </c>
    </row>
    <row r="2656" spans="1:29" x14ac:dyDescent="0.25">
      <c r="A2656" s="1">
        <v>1012.832</v>
      </c>
      <c r="B2656">
        <v>5</v>
      </c>
      <c r="C2656" t="s">
        <v>27</v>
      </c>
      <c r="D2656" s="2">
        <v>98733.1</v>
      </c>
      <c r="E2656">
        <v>14558</v>
      </c>
      <c r="F2656" t="s">
        <v>15</v>
      </c>
      <c r="G2656" t="s">
        <v>16</v>
      </c>
      <c r="H2656">
        <v>113291</v>
      </c>
      <c r="I2656" t="s">
        <v>17</v>
      </c>
      <c r="J2656" t="s">
        <v>18</v>
      </c>
      <c r="K2656">
        <v>14558.82</v>
      </c>
      <c r="L2656">
        <v>113291.8</v>
      </c>
      <c r="M2656">
        <v>27</v>
      </c>
      <c r="Y2656" s="1">
        <f t="shared" si="207"/>
        <v>1012.832</v>
      </c>
      <c r="Z2656" s="2">
        <f t="shared" si="208"/>
        <v>98733.1</v>
      </c>
      <c r="AA2656" s="2">
        <f t="shared" si="209"/>
        <v>98733.057407348897</v>
      </c>
      <c r="AB2656" s="1">
        <f t="shared" si="210"/>
        <v>9.874108312501427E-2</v>
      </c>
      <c r="AC2656" s="1" t="b">
        <f t="shared" si="211"/>
        <v>1</v>
      </c>
    </row>
    <row r="2657" spans="1:29" x14ac:dyDescent="0.25">
      <c r="A2657" s="1">
        <v>1012.832</v>
      </c>
      <c r="B2657">
        <v>5</v>
      </c>
      <c r="C2657" t="s">
        <v>27</v>
      </c>
      <c r="D2657" s="2">
        <v>98733.1</v>
      </c>
      <c r="E2657">
        <v>29835</v>
      </c>
      <c r="F2657" t="s">
        <v>15</v>
      </c>
      <c r="G2657" t="s">
        <v>16</v>
      </c>
      <c r="H2657">
        <v>128568</v>
      </c>
      <c r="I2657" t="s">
        <v>17</v>
      </c>
      <c r="J2657" t="s">
        <v>16</v>
      </c>
      <c r="K2657">
        <v>29835.09</v>
      </c>
      <c r="L2657">
        <v>128568.6</v>
      </c>
      <c r="M2657">
        <v>27</v>
      </c>
      <c r="Y2657" s="1">
        <f t="shared" si="207"/>
        <v>1012.832</v>
      </c>
      <c r="Z2657" s="2">
        <f t="shared" si="208"/>
        <v>98733.1</v>
      </c>
      <c r="AA2657" s="2">
        <f t="shared" si="209"/>
        <v>98733.057407348897</v>
      </c>
      <c r="AB2657" s="1">
        <f t="shared" si="210"/>
        <v>9.874108312501427E-2</v>
      </c>
      <c r="AC2657" s="1" t="b">
        <f t="shared" si="211"/>
        <v>1</v>
      </c>
    </row>
    <row r="2658" spans="1:29" x14ac:dyDescent="0.25">
      <c r="A2658" s="1">
        <v>1012.76</v>
      </c>
      <c r="B2658">
        <v>1</v>
      </c>
      <c r="D2658" s="2">
        <v>98740.1</v>
      </c>
      <c r="E2658">
        <v>14859</v>
      </c>
      <c r="F2658" t="s">
        <v>15</v>
      </c>
      <c r="G2658" t="s">
        <v>23</v>
      </c>
      <c r="H2658">
        <v>113600</v>
      </c>
      <c r="I2658" t="s">
        <v>17</v>
      </c>
      <c r="J2658" t="s">
        <v>50</v>
      </c>
      <c r="K2658">
        <v>14859.96</v>
      </c>
      <c r="L2658">
        <v>113600.3</v>
      </c>
      <c r="M2658">
        <v>27</v>
      </c>
      <c r="Y2658" s="1">
        <f t="shared" si="207"/>
        <v>1012.76</v>
      </c>
      <c r="Z2658" s="2">
        <f t="shared" si="208"/>
        <v>98740.1</v>
      </c>
      <c r="AA2658" s="2">
        <f t="shared" si="209"/>
        <v>98740.076622299457</v>
      </c>
      <c r="AB2658" s="1">
        <f t="shared" si="210"/>
        <v>9.8748013656887845E-2</v>
      </c>
      <c r="AC2658" s="1" t="b">
        <f t="shared" si="211"/>
        <v>1</v>
      </c>
    </row>
    <row r="2659" spans="1:29" x14ac:dyDescent="0.25">
      <c r="A2659" s="1">
        <v>1012.3</v>
      </c>
      <c r="B2659">
        <v>2</v>
      </c>
      <c r="D2659" s="2">
        <v>98784.9</v>
      </c>
      <c r="E2659">
        <v>22747</v>
      </c>
      <c r="F2659" t="s">
        <v>15</v>
      </c>
      <c r="G2659" t="s">
        <v>16</v>
      </c>
      <c r="H2659">
        <v>121532</v>
      </c>
      <c r="I2659" t="s">
        <v>17</v>
      </c>
      <c r="J2659" t="s">
        <v>23</v>
      </c>
      <c r="K2659">
        <v>22747.69</v>
      </c>
      <c r="L2659">
        <v>121532.5</v>
      </c>
      <c r="M2659">
        <v>27</v>
      </c>
      <c r="Y2659" s="1">
        <f t="shared" si="207"/>
        <v>1012.3</v>
      </c>
      <c r="Z2659" s="2">
        <f t="shared" si="208"/>
        <v>98784.9</v>
      </c>
      <c r="AA2659" s="2">
        <f t="shared" si="209"/>
        <v>98784.945174355438</v>
      </c>
      <c r="AB2659" s="1">
        <f t="shared" si="210"/>
        <v>9.8792326965502053E-2</v>
      </c>
      <c r="AC2659" s="1" t="b">
        <f t="shared" si="211"/>
        <v>1</v>
      </c>
    </row>
    <row r="2660" spans="1:29" x14ac:dyDescent="0.25">
      <c r="A2660" s="1">
        <v>1012.101</v>
      </c>
      <c r="B2660">
        <v>400</v>
      </c>
      <c r="D2660" s="2">
        <v>98804.4</v>
      </c>
      <c r="E2660">
        <v>14859</v>
      </c>
      <c r="F2660" t="s">
        <v>15</v>
      </c>
      <c r="G2660" t="s">
        <v>23</v>
      </c>
      <c r="H2660">
        <v>113664</v>
      </c>
      <c r="I2660" t="s">
        <v>17</v>
      </c>
      <c r="J2660" t="s">
        <v>23</v>
      </c>
      <c r="K2660">
        <v>14859.96</v>
      </c>
      <c r="L2660">
        <v>113664.3</v>
      </c>
      <c r="M2660">
        <v>27</v>
      </c>
      <c r="Y2660" s="1">
        <f t="shared" si="207"/>
        <v>1012.101</v>
      </c>
      <c r="Z2660" s="2">
        <f t="shared" si="208"/>
        <v>98804.4</v>
      </c>
      <c r="AA2660" s="2">
        <f t="shared" si="209"/>
        <v>98804.368338732995</v>
      </c>
      <c r="AB2660" s="1">
        <f t="shared" si="210"/>
        <v>9.8811516014080114E-2</v>
      </c>
      <c r="AC2660" s="1" t="b">
        <f t="shared" si="211"/>
        <v>1</v>
      </c>
    </row>
    <row r="2661" spans="1:29" x14ac:dyDescent="0.25">
      <c r="A2661" s="1">
        <v>1011.809</v>
      </c>
      <c r="B2661">
        <v>50</v>
      </c>
      <c r="D2661" s="2">
        <v>98832.9</v>
      </c>
      <c r="E2661">
        <v>18211</v>
      </c>
      <c r="F2661" t="s">
        <v>15</v>
      </c>
      <c r="G2661" t="s">
        <v>28</v>
      </c>
      <c r="H2661">
        <v>117044</v>
      </c>
      <c r="I2661" t="s">
        <v>17</v>
      </c>
      <c r="J2661" t="s">
        <v>18</v>
      </c>
      <c r="K2661">
        <v>18211.759999999998</v>
      </c>
      <c r="L2661">
        <v>117044.6</v>
      </c>
      <c r="M2661">
        <v>27</v>
      </c>
      <c r="Y2661" s="1">
        <f t="shared" si="207"/>
        <v>1011.809</v>
      </c>
      <c r="Z2661" s="2">
        <f t="shared" si="208"/>
        <v>98832.9</v>
      </c>
      <c r="AA2661" s="2">
        <f t="shared" si="209"/>
        <v>98832.882490667704</v>
      </c>
      <c r="AB2661" s="1">
        <f t="shared" si="210"/>
        <v>9.8839693307070653E-2</v>
      </c>
      <c r="AC2661" s="1" t="b">
        <f t="shared" si="211"/>
        <v>1</v>
      </c>
    </row>
    <row r="2662" spans="1:29" x14ac:dyDescent="0.25">
      <c r="A2662" s="1">
        <v>1011.307</v>
      </c>
      <c r="B2662">
        <v>10</v>
      </c>
      <c r="D2662" s="2">
        <v>98881.9</v>
      </c>
      <c r="M2662">
        <v>27</v>
      </c>
      <c r="Y2662" s="1">
        <f t="shared" si="207"/>
        <v>1011.307</v>
      </c>
      <c r="Z2662" s="2">
        <f t="shared" si="208"/>
        <v>98881.9</v>
      </c>
      <c r="AA2662" s="2">
        <f t="shared" si="209"/>
        <v>98881.941883127482</v>
      </c>
      <c r="AB2662" s="1">
        <f t="shared" si="210"/>
        <v>9.8888192152891005E-2</v>
      </c>
      <c r="AC2662" s="1" t="b">
        <f t="shared" si="211"/>
        <v>1</v>
      </c>
    </row>
    <row r="2663" spans="1:29" x14ac:dyDescent="0.25">
      <c r="A2663" s="1">
        <v>1011.0119999999999</v>
      </c>
      <c r="B2663">
        <v>60</v>
      </c>
      <c r="D2663" s="2">
        <v>98910.8</v>
      </c>
      <c r="M2663">
        <v>27</v>
      </c>
      <c r="Y2663" s="1">
        <f t="shared" si="207"/>
        <v>1011.0119999999999</v>
      </c>
      <c r="Z2663" s="2">
        <f t="shared" si="208"/>
        <v>98910.8</v>
      </c>
      <c r="AA2663" s="2">
        <f t="shared" si="209"/>
        <v>98910.794332807127</v>
      </c>
      <c r="AB2663" s="1">
        <f t="shared" si="210"/>
        <v>9.8916726177734365E-2</v>
      </c>
      <c r="AC2663" s="1" t="b">
        <f t="shared" si="211"/>
        <v>1</v>
      </c>
    </row>
    <row r="2664" spans="1:29" x14ac:dyDescent="0.25">
      <c r="A2664" s="1">
        <v>1010.914</v>
      </c>
      <c r="B2664">
        <v>10</v>
      </c>
      <c r="D2664" s="2">
        <v>98920.4</v>
      </c>
      <c r="E2664">
        <v>14859</v>
      </c>
      <c r="F2664" t="s">
        <v>15</v>
      </c>
      <c r="G2664" t="s">
        <v>23</v>
      </c>
      <c r="H2664">
        <v>113780</v>
      </c>
      <c r="I2664" t="s">
        <v>17</v>
      </c>
      <c r="J2664" t="s">
        <v>16</v>
      </c>
      <c r="K2664">
        <v>14859.96</v>
      </c>
      <c r="L2664">
        <v>113780.5</v>
      </c>
      <c r="M2664">
        <v>27</v>
      </c>
      <c r="Y2664" s="1">
        <f t="shared" si="207"/>
        <v>1010.914</v>
      </c>
      <c r="Z2664" s="2">
        <f t="shared" si="208"/>
        <v>98920.4</v>
      </c>
      <c r="AA2664" s="2">
        <f t="shared" si="209"/>
        <v>98920.382940586438</v>
      </c>
      <c r="AB2664" s="1">
        <f t="shared" si="210"/>
        <v>9.8926210805561327E-2</v>
      </c>
      <c r="AC2664" s="1" t="b">
        <f t="shared" si="211"/>
        <v>1</v>
      </c>
    </row>
    <row r="2665" spans="1:29" x14ac:dyDescent="0.25">
      <c r="A2665" s="1">
        <v>1010.56</v>
      </c>
      <c r="B2665">
        <v>50</v>
      </c>
      <c r="D2665" s="2">
        <v>98955</v>
      </c>
      <c r="E2665">
        <v>17534</v>
      </c>
      <c r="F2665" t="s">
        <v>15</v>
      </c>
      <c r="G2665" t="s">
        <v>57</v>
      </c>
      <c r="H2665">
        <v>116489</v>
      </c>
      <c r="I2665" t="s">
        <v>17</v>
      </c>
      <c r="J2665" t="s">
        <v>528</v>
      </c>
      <c r="K2665">
        <v>17534.759999999998</v>
      </c>
      <c r="L2665">
        <v>116489.8</v>
      </c>
      <c r="M2665">
        <v>27</v>
      </c>
      <c r="Y2665" s="1">
        <f t="shared" si="207"/>
        <v>1010.56</v>
      </c>
      <c r="Z2665" s="2">
        <f t="shared" si="208"/>
        <v>98955</v>
      </c>
      <c r="AA2665" s="2">
        <f t="shared" si="209"/>
        <v>98955.03483217227</v>
      </c>
      <c r="AB2665" s="1">
        <f t="shared" si="210"/>
        <v>9.8960494593182138E-2</v>
      </c>
      <c r="AC2665" s="1" t="b">
        <f t="shared" si="211"/>
        <v>1</v>
      </c>
    </row>
    <row r="2666" spans="1:29" x14ac:dyDescent="0.25">
      <c r="A2666" s="1">
        <v>1010.282</v>
      </c>
      <c r="B2666">
        <v>20</v>
      </c>
      <c r="D2666" s="2">
        <v>98982.3</v>
      </c>
      <c r="M2666">
        <v>27</v>
      </c>
      <c r="Y2666" s="1">
        <f t="shared" si="207"/>
        <v>1010.282</v>
      </c>
      <c r="Z2666" s="2">
        <f t="shared" si="208"/>
        <v>98982.3</v>
      </c>
      <c r="AA2666" s="2">
        <f t="shared" si="209"/>
        <v>98982.264357872351</v>
      </c>
      <c r="AB2666" s="1">
        <f t="shared" si="210"/>
        <v>9.8987443287058635E-2</v>
      </c>
      <c r="AC2666" s="1" t="b">
        <f t="shared" si="211"/>
        <v>1</v>
      </c>
    </row>
    <row r="2667" spans="1:29" x14ac:dyDescent="0.25">
      <c r="A2667" s="1">
        <v>1010.153</v>
      </c>
      <c r="B2667">
        <v>20</v>
      </c>
      <c r="D2667" s="2">
        <v>98994.9</v>
      </c>
      <c r="M2667">
        <v>27</v>
      </c>
      <c r="Y2667" s="1">
        <f t="shared" si="207"/>
        <v>1010.153</v>
      </c>
      <c r="Z2667" s="2">
        <f t="shared" si="208"/>
        <v>98994.9</v>
      </c>
      <c r="AA2667" s="2">
        <f t="shared" si="209"/>
        <v>98994.904732253432</v>
      </c>
      <c r="AB2667" s="1">
        <f t="shared" si="210"/>
        <v>9.8999955814739665E-2</v>
      </c>
      <c r="AC2667" s="1" t="b">
        <f t="shared" si="211"/>
        <v>1</v>
      </c>
    </row>
    <row r="2668" spans="1:29" x14ac:dyDescent="0.25">
      <c r="A2668" s="1">
        <v>1010.034</v>
      </c>
      <c r="B2668">
        <v>20</v>
      </c>
      <c r="D2668" s="2">
        <v>99006.6</v>
      </c>
      <c r="E2668">
        <v>18241</v>
      </c>
      <c r="F2668" t="s">
        <v>15</v>
      </c>
      <c r="G2668" t="s">
        <v>23</v>
      </c>
      <c r="H2668">
        <v>117248</v>
      </c>
      <c r="I2668" t="s">
        <v>17</v>
      </c>
      <c r="J2668" t="s">
        <v>50</v>
      </c>
      <c r="K2668">
        <v>18241.54</v>
      </c>
      <c r="L2668">
        <v>117248.2</v>
      </c>
      <c r="M2668">
        <v>27</v>
      </c>
      <c r="Y2668" s="1">
        <f t="shared" si="207"/>
        <v>1010.034</v>
      </c>
      <c r="Z2668" s="2">
        <f t="shared" si="208"/>
        <v>99006.6</v>
      </c>
      <c r="AA2668" s="2">
        <f t="shared" si="209"/>
        <v>99006.568095727474</v>
      </c>
      <c r="AB2668" s="1">
        <f t="shared" si="210"/>
        <v>9.9011502630469622E-2</v>
      </c>
      <c r="AC2668" s="1" t="b">
        <f t="shared" si="211"/>
        <v>1</v>
      </c>
    </row>
    <row r="2669" spans="1:29" x14ac:dyDescent="0.25">
      <c r="A2669" s="1">
        <v>1009.75</v>
      </c>
      <c r="B2669">
        <v>1</v>
      </c>
      <c r="D2669" s="2">
        <v>99034.4</v>
      </c>
      <c r="M2669">
        <v>27</v>
      </c>
      <c r="Y2669" s="1">
        <f t="shared" si="207"/>
        <v>1009.75</v>
      </c>
      <c r="Z2669" s="2">
        <f t="shared" si="208"/>
        <v>99034.4</v>
      </c>
      <c r="AA2669" s="2">
        <f t="shared" si="209"/>
        <v>99034.414459024512</v>
      </c>
      <c r="AB2669" s="1">
        <f t="shared" si="210"/>
        <v>9.9039076236209223E-2</v>
      </c>
      <c r="AC2669" s="1" t="b">
        <f t="shared" si="211"/>
        <v>1</v>
      </c>
    </row>
    <row r="2670" spans="1:29" x14ac:dyDescent="0.25">
      <c r="A2670" s="1">
        <v>1009.57</v>
      </c>
      <c r="B2670">
        <v>1</v>
      </c>
      <c r="D2670" s="2">
        <v>99052.1</v>
      </c>
      <c r="M2670">
        <v>27</v>
      </c>
      <c r="Y2670" s="1">
        <f t="shared" si="207"/>
        <v>1009.57</v>
      </c>
      <c r="Z2670" s="2">
        <f t="shared" si="208"/>
        <v>99052.1</v>
      </c>
      <c r="AA2670" s="2">
        <f t="shared" si="209"/>
        <v>99052.071674079052</v>
      </c>
      <c r="AB2670" s="1">
        <f t="shared" si="210"/>
        <v>9.9056564514634474E-2</v>
      </c>
      <c r="AC2670" s="1" t="b">
        <f t="shared" si="211"/>
        <v>1</v>
      </c>
    </row>
    <row r="2671" spans="1:29" x14ac:dyDescent="0.25">
      <c r="A2671" s="1">
        <v>1009.029</v>
      </c>
      <c r="B2671">
        <v>1</v>
      </c>
      <c r="D2671" s="2">
        <v>99105.2</v>
      </c>
      <c r="E2671">
        <v>14558</v>
      </c>
      <c r="F2671" t="s">
        <v>15</v>
      </c>
      <c r="G2671" t="s">
        <v>16</v>
      </c>
      <c r="H2671">
        <v>113664</v>
      </c>
      <c r="I2671" t="s">
        <v>17</v>
      </c>
      <c r="J2671" t="s">
        <v>23</v>
      </c>
      <c r="K2671">
        <v>14558.82</v>
      </c>
      <c r="L2671">
        <v>113664.3</v>
      </c>
      <c r="M2671">
        <v>27</v>
      </c>
      <c r="Y2671" s="1">
        <f t="shared" si="207"/>
        <v>1009.029</v>
      </c>
      <c r="Z2671" s="2">
        <f t="shared" si="208"/>
        <v>99105.2</v>
      </c>
      <c r="AA2671" s="2">
        <f t="shared" si="209"/>
        <v>99105.179335777269</v>
      </c>
      <c r="AB2671" s="1">
        <f t="shared" si="210"/>
        <v>9.9109182855882869E-2</v>
      </c>
      <c r="AC2671" s="1" t="b">
        <f t="shared" si="211"/>
        <v>1</v>
      </c>
    </row>
    <row r="2672" spans="1:29" x14ac:dyDescent="0.25">
      <c r="A2672" s="1">
        <v>1008.938</v>
      </c>
      <c r="B2672">
        <v>1</v>
      </c>
      <c r="D2672" s="2">
        <v>99114.1</v>
      </c>
      <c r="M2672">
        <v>27</v>
      </c>
      <c r="Y2672" s="1">
        <f t="shared" si="207"/>
        <v>1008.938</v>
      </c>
      <c r="Z2672" s="2">
        <f t="shared" si="208"/>
        <v>99114.1</v>
      </c>
      <c r="AA2672" s="2">
        <f t="shared" si="209"/>
        <v>99114.118013198036</v>
      </c>
      <c r="AB2672" s="1">
        <f t="shared" si="210"/>
        <v>9.9118041947670738E-2</v>
      </c>
      <c r="AC2672" s="1" t="b">
        <f t="shared" si="211"/>
        <v>1</v>
      </c>
    </row>
    <row r="2673" spans="1:29" x14ac:dyDescent="0.25">
      <c r="A2673" s="1">
        <v>1008.742</v>
      </c>
      <c r="B2673">
        <v>15</v>
      </c>
      <c r="D2673" s="2">
        <v>99133.4</v>
      </c>
      <c r="M2673">
        <v>27</v>
      </c>
      <c r="Y2673" s="1">
        <f t="shared" si="207"/>
        <v>1008.742</v>
      </c>
      <c r="Z2673" s="2">
        <f t="shared" si="208"/>
        <v>99133.4</v>
      </c>
      <c r="AA2673" s="2">
        <f t="shared" si="209"/>
        <v>99133.376026773942</v>
      </c>
      <c r="AB2673" s="1">
        <f t="shared" si="210"/>
        <v>9.9137131212328797E-2</v>
      </c>
      <c r="AC2673" s="1" t="b">
        <f t="shared" si="211"/>
        <v>1</v>
      </c>
    </row>
    <row r="2674" spans="1:29" x14ac:dyDescent="0.25">
      <c r="A2674" s="1">
        <v>1008.612</v>
      </c>
      <c r="B2674">
        <v>500</v>
      </c>
      <c r="D2674" s="2">
        <v>99146.2</v>
      </c>
      <c r="E2674">
        <v>12846</v>
      </c>
      <c r="F2674" t="s">
        <v>15</v>
      </c>
      <c r="G2674" t="s">
        <v>16</v>
      </c>
      <c r="H2674">
        <v>111993</v>
      </c>
      <c r="I2674" t="s">
        <v>17</v>
      </c>
      <c r="J2674" t="s">
        <v>16</v>
      </c>
      <c r="K2674">
        <v>12846.66</v>
      </c>
      <c r="L2674">
        <v>111993</v>
      </c>
      <c r="M2674">
        <v>27</v>
      </c>
      <c r="Y2674" s="1">
        <f t="shared" si="207"/>
        <v>1008.612</v>
      </c>
      <c r="Z2674" s="2">
        <f t="shared" si="208"/>
        <v>99146.2</v>
      </c>
      <c r="AA2674" s="2">
        <f t="shared" si="209"/>
        <v>99146.153327543201</v>
      </c>
      <c r="AB2674" s="1">
        <f t="shared" si="210"/>
        <v>9.9149798598243535E-2</v>
      </c>
      <c r="AC2674" s="1" t="b">
        <f t="shared" si="211"/>
        <v>1</v>
      </c>
    </row>
    <row r="2675" spans="1:29" x14ac:dyDescent="0.25">
      <c r="A2675" s="1">
        <v>1008.5359999999999</v>
      </c>
      <c r="B2675">
        <v>3</v>
      </c>
      <c r="D2675" s="2">
        <v>99153.600000000006</v>
      </c>
      <c r="E2675">
        <v>16516</v>
      </c>
      <c r="F2675" t="s">
        <v>15</v>
      </c>
      <c r="G2675" t="s">
        <v>18</v>
      </c>
      <c r="H2675">
        <v>115670</v>
      </c>
      <c r="I2675" t="s">
        <v>17</v>
      </c>
      <c r="J2675" t="s">
        <v>18</v>
      </c>
      <c r="K2675">
        <v>16516.150000000001</v>
      </c>
      <c r="L2675">
        <v>115670</v>
      </c>
      <c r="M2675">
        <v>27</v>
      </c>
      <c r="Y2675" s="1">
        <f t="shared" si="207"/>
        <v>1008.5359999999999</v>
      </c>
      <c r="Z2675" s="2">
        <f t="shared" si="208"/>
        <v>99153.600000000006</v>
      </c>
      <c r="AA2675" s="2">
        <f t="shared" si="209"/>
        <v>99153.624659903071</v>
      </c>
      <c r="AB2675" s="1">
        <f t="shared" si="210"/>
        <v>9.9157206415984689E-2</v>
      </c>
      <c r="AC2675" s="1" t="b">
        <f t="shared" si="211"/>
        <v>1</v>
      </c>
    </row>
    <row r="2676" spans="1:29" x14ac:dyDescent="0.25">
      <c r="A2676" s="1">
        <v>1008.285</v>
      </c>
      <c r="B2676">
        <v>2</v>
      </c>
      <c r="D2676" s="2">
        <v>99178.3</v>
      </c>
      <c r="E2676">
        <v>19700</v>
      </c>
      <c r="F2676" t="s">
        <v>15</v>
      </c>
      <c r="G2676" t="s">
        <v>23</v>
      </c>
      <c r="H2676">
        <v>118879</v>
      </c>
      <c r="I2676" t="s">
        <v>17</v>
      </c>
      <c r="J2676" t="s">
        <v>23</v>
      </c>
      <c r="K2676">
        <v>19700.900000000001</v>
      </c>
      <c r="L2676">
        <v>118879.3</v>
      </c>
      <c r="M2676">
        <v>27</v>
      </c>
      <c r="Y2676" s="1">
        <f t="shared" si="207"/>
        <v>1008.285</v>
      </c>
      <c r="Z2676" s="2">
        <f t="shared" si="208"/>
        <v>99178.3</v>
      </c>
      <c r="AA2676" s="2">
        <f t="shared" si="209"/>
        <v>99178.307720535362</v>
      </c>
      <c r="AB2676" s="1">
        <f t="shared" si="210"/>
        <v>9.9181683611546029E-2</v>
      </c>
      <c r="AC2676" s="1" t="b">
        <f t="shared" si="211"/>
        <v>1</v>
      </c>
    </row>
    <row r="2677" spans="1:29" x14ac:dyDescent="0.25">
      <c r="A2677" s="1">
        <v>1008.22</v>
      </c>
      <c r="B2677">
        <v>20</v>
      </c>
      <c r="C2677" t="s">
        <v>123</v>
      </c>
      <c r="D2677" s="2">
        <v>99184.7</v>
      </c>
      <c r="M2677">
        <v>27</v>
      </c>
      <c r="Y2677" s="1">
        <f t="shared" si="207"/>
        <v>1008.22</v>
      </c>
      <c r="Z2677" s="2">
        <f t="shared" si="208"/>
        <v>99184.7</v>
      </c>
      <c r="AA2677" s="2">
        <f t="shared" si="209"/>
        <v>99184.701751601824</v>
      </c>
      <c r="AB2677" s="1">
        <f t="shared" si="210"/>
        <v>9.9188025307771044E-2</v>
      </c>
      <c r="AC2677" s="1" t="b">
        <f t="shared" si="211"/>
        <v>1</v>
      </c>
    </row>
    <row r="2678" spans="1:29" x14ac:dyDescent="0.25">
      <c r="A2678" s="1">
        <v>1007.847</v>
      </c>
      <c r="B2678">
        <v>40</v>
      </c>
      <c r="D2678" s="2">
        <v>99221.4</v>
      </c>
      <c r="E2678">
        <v>14558</v>
      </c>
      <c r="F2678" t="s">
        <v>15</v>
      </c>
      <c r="G2678" t="s">
        <v>16</v>
      </c>
      <c r="H2678">
        <v>113780</v>
      </c>
      <c r="I2678" t="s">
        <v>17</v>
      </c>
      <c r="J2678" t="s">
        <v>16</v>
      </c>
      <c r="K2678">
        <v>14558.82</v>
      </c>
      <c r="L2678">
        <v>113780.5</v>
      </c>
      <c r="M2678">
        <v>27</v>
      </c>
      <c r="Y2678" s="1">
        <f t="shared" si="207"/>
        <v>1007.847</v>
      </c>
      <c r="Z2678" s="2">
        <f t="shared" si="208"/>
        <v>99221.4</v>
      </c>
      <c r="AA2678" s="2">
        <f t="shared" si="209"/>
        <v>99221.40959887761</v>
      </c>
      <c r="AB2678" s="1">
        <f t="shared" si="210"/>
        <v>9.9224440613941201E-2</v>
      </c>
      <c r="AC2678" s="1" t="b">
        <f t="shared" si="211"/>
        <v>1</v>
      </c>
    </row>
    <row r="2679" spans="1:29" x14ac:dyDescent="0.25">
      <c r="A2679" s="1">
        <v>1007.4589999999999</v>
      </c>
      <c r="B2679">
        <v>40</v>
      </c>
      <c r="C2679" t="s">
        <v>27</v>
      </c>
      <c r="D2679" s="2">
        <v>99259.6</v>
      </c>
      <c r="E2679">
        <v>18063</v>
      </c>
      <c r="F2679" t="s">
        <v>15</v>
      </c>
      <c r="G2679" t="s">
        <v>16</v>
      </c>
      <c r="H2679">
        <v>117323</v>
      </c>
      <c r="I2679" t="s">
        <v>17</v>
      </c>
      <c r="J2679" t="s">
        <v>23</v>
      </c>
      <c r="K2679">
        <v>18063.36</v>
      </c>
      <c r="L2679">
        <v>117323.1</v>
      </c>
      <c r="M2679">
        <v>27</v>
      </c>
      <c r="Y2679" s="1">
        <f t="shared" si="207"/>
        <v>1007.4589999999999</v>
      </c>
      <c r="Z2679" s="2">
        <f t="shared" si="208"/>
        <v>99259.6</v>
      </c>
      <c r="AA2679" s="2">
        <f t="shared" si="209"/>
        <v>99259.622475951881</v>
      </c>
      <c r="AB2679" s="1">
        <f t="shared" si="210"/>
        <v>9.9262363270342463E-2</v>
      </c>
      <c r="AC2679" s="1" t="b">
        <f t="shared" si="211"/>
        <v>1</v>
      </c>
    </row>
    <row r="2680" spans="1:29" x14ac:dyDescent="0.25">
      <c r="A2680" s="1">
        <v>1007.4589999999999</v>
      </c>
      <c r="B2680">
        <v>40</v>
      </c>
      <c r="C2680" t="s">
        <v>27</v>
      </c>
      <c r="D2680" s="2">
        <v>99259.6</v>
      </c>
      <c r="E2680">
        <v>21238</v>
      </c>
      <c r="F2680" t="s">
        <v>15</v>
      </c>
      <c r="G2680" t="s">
        <v>50</v>
      </c>
      <c r="H2680">
        <v>120498</v>
      </c>
      <c r="I2680" t="s">
        <v>17</v>
      </c>
      <c r="J2680" t="s">
        <v>50</v>
      </c>
      <c r="K2680">
        <v>21238.78</v>
      </c>
      <c r="L2680">
        <v>120498.7</v>
      </c>
      <c r="M2680">
        <v>27</v>
      </c>
      <c r="Y2680" s="1">
        <f t="shared" si="207"/>
        <v>1007.4589999999999</v>
      </c>
      <c r="Z2680" s="2">
        <f t="shared" si="208"/>
        <v>99259.6</v>
      </c>
      <c r="AA2680" s="2">
        <f t="shared" si="209"/>
        <v>99259.622475951881</v>
      </c>
      <c r="AB2680" s="1">
        <f t="shared" si="210"/>
        <v>9.9262363270342463E-2</v>
      </c>
      <c r="AC2680" s="1" t="b">
        <f t="shared" si="211"/>
        <v>1</v>
      </c>
    </row>
    <row r="2681" spans="1:29" x14ac:dyDescent="0.25">
      <c r="A2681" s="1">
        <v>1007.3920000000001</v>
      </c>
      <c r="B2681">
        <v>1</v>
      </c>
      <c r="D2681" s="2">
        <v>99266.2</v>
      </c>
      <c r="M2681">
        <v>27</v>
      </c>
      <c r="Y2681" s="1">
        <f t="shared" si="207"/>
        <v>1007.3920000000001</v>
      </c>
      <c r="Z2681" s="2">
        <f t="shared" si="208"/>
        <v>99266.2</v>
      </c>
      <c r="AA2681" s="2">
        <f t="shared" si="209"/>
        <v>99266.224071662262</v>
      </c>
      <c r="AB2681" s="1">
        <f t="shared" si="210"/>
        <v>9.9268916207227303E-2</v>
      </c>
      <c r="AC2681" s="1" t="b">
        <f t="shared" si="211"/>
        <v>1</v>
      </c>
    </row>
    <row r="2682" spans="1:29" x14ac:dyDescent="0.25">
      <c r="A2682" s="1">
        <v>1007.336</v>
      </c>
      <c r="B2682">
        <v>7</v>
      </c>
      <c r="D2682" s="2">
        <v>99271.7</v>
      </c>
      <c r="E2682">
        <v>15525</v>
      </c>
      <c r="F2682" t="s">
        <v>15</v>
      </c>
      <c r="G2682" t="s">
        <v>23</v>
      </c>
      <c r="H2682">
        <v>114797</v>
      </c>
      <c r="I2682" t="s">
        <v>17</v>
      </c>
      <c r="J2682" t="s">
        <v>50</v>
      </c>
      <c r="K2682">
        <v>15525.5</v>
      </c>
      <c r="L2682">
        <v>114797.2</v>
      </c>
      <c r="M2682">
        <v>27</v>
      </c>
      <c r="Y2682" s="1">
        <f t="shared" si="207"/>
        <v>1007.336</v>
      </c>
      <c r="Z2682" s="2">
        <f t="shared" si="208"/>
        <v>99271.7</v>
      </c>
      <c r="AA2682" s="2">
        <f t="shared" si="209"/>
        <v>99271.742497041705</v>
      </c>
      <c r="AB2682" s="1">
        <f t="shared" si="210"/>
        <v>9.9274394291994777E-2</v>
      </c>
      <c r="AC2682" s="1" t="b">
        <f t="shared" si="211"/>
        <v>1</v>
      </c>
    </row>
    <row r="2683" spans="1:29" x14ac:dyDescent="0.25">
      <c r="A2683" s="1">
        <v>1007.088</v>
      </c>
      <c r="B2683">
        <v>1</v>
      </c>
      <c r="D2683" s="2">
        <v>99296.2</v>
      </c>
      <c r="M2683">
        <v>27</v>
      </c>
      <c r="Y2683" s="1">
        <f t="shared" si="207"/>
        <v>1007.088</v>
      </c>
      <c r="Z2683" s="2">
        <f t="shared" si="208"/>
        <v>99296.2</v>
      </c>
      <c r="AA2683" s="2">
        <f t="shared" si="209"/>
        <v>99296.188615096195</v>
      </c>
      <c r="AB2683" s="1">
        <f t="shared" si="210"/>
        <v>9.9298665367423808E-2</v>
      </c>
      <c r="AC2683" s="1" t="b">
        <f t="shared" si="211"/>
        <v>1</v>
      </c>
    </row>
    <row r="2684" spans="1:29" x14ac:dyDescent="0.25">
      <c r="A2684" s="1">
        <v>1006.829</v>
      </c>
      <c r="B2684">
        <v>3</v>
      </c>
      <c r="D2684" s="2">
        <v>99321.7</v>
      </c>
      <c r="M2684">
        <v>27</v>
      </c>
      <c r="Y2684" s="1">
        <f t="shared" si="207"/>
        <v>1006.829</v>
      </c>
      <c r="Z2684" s="2">
        <f t="shared" si="208"/>
        <v>99321.7</v>
      </c>
      <c r="AA2684" s="2">
        <f t="shared" si="209"/>
        <v>99321.731892903364</v>
      </c>
      <c r="AB2684" s="1">
        <f t="shared" si="210"/>
        <v>9.9324032131028889E-2</v>
      </c>
      <c r="AC2684" s="1" t="b">
        <f t="shared" si="211"/>
        <v>1</v>
      </c>
    </row>
    <row r="2685" spans="1:29" x14ac:dyDescent="0.25">
      <c r="A2685" s="1">
        <v>1006.681</v>
      </c>
      <c r="B2685">
        <v>5</v>
      </c>
      <c r="D2685" s="2">
        <v>99336.3</v>
      </c>
      <c r="M2685">
        <v>27</v>
      </c>
      <c r="Y2685" s="1">
        <f t="shared" si="207"/>
        <v>1006.681</v>
      </c>
      <c r="Z2685" s="2">
        <f t="shared" si="208"/>
        <v>99336.3</v>
      </c>
      <c r="AA2685" s="2">
        <f t="shared" si="209"/>
        <v>99336.333952860936</v>
      </c>
      <c r="AB2685" s="1">
        <f t="shared" si="210"/>
        <v>9.9338536215971565E-2</v>
      </c>
      <c r="AC2685" s="1" t="b">
        <f t="shared" si="211"/>
        <v>1</v>
      </c>
    </row>
    <row r="2686" spans="1:29" x14ac:dyDescent="0.25">
      <c r="A2686" s="1">
        <v>1006.383</v>
      </c>
      <c r="B2686">
        <v>3</v>
      </c>
      <c r="D2686" s="2">
        <v>99365.7</v>
      </c>
      <c r="M2686">
        <v>27</v>
      </c>
      <c r="Y2686" s="1">
        <f t="shared" si="207"/>
        <v>1006.383</v>
      </c>
      <c r="Z2686" s="2">
        <f t="shared" si="208"/>
        <v>99365.7</v>
      </c>
      <c r="AA2686" s="2">
        <f t="shared" si="209"/>
        <v>99365.748427785438</v>
      </c>
      <c r="AB2686" s="1">
        <f t="shared" si="210"/>
        <v>9.9367759803069722E-2</v>
      </c>
      <c r="AC2686" s="1" t="b">
        <f t="shared" si="211"/>
        <v>1</v>
      </c>
    </row>
    <row r="2687" spans="1:29" x14ac:dyDescent="0.25">
      <c r="A2687" s="1">
        <v>1006.221</v>
      </c>
      <c r="B2687">
        <v>3</v>
      </c>
      <c r="D2687" s="2">
        <v>99381.7</v>
      </c>
      <c r="M2687">
        <v>27</v>
      </c>
      <c r="Y2687" s="1">
        <f t="shared" si="207"/>
        <v>1006.221</v>
      </c>
      <c r="Z2687" s="2">
        <f t="shared" si="208"/>
        <v>99381.7</v>
      </c>
      <c r="AA2687" s="2">
        <f t="shared" si="209"/>
        <v>99381.746157156333</v>
      </c>
      <c r="AB2687" s="1">
        <f t="shared" si="210"/>
        <v>9.9383657346227283E-2</v>
      </c>
      <c r="AC2687" s="1" t="b">
        <f t="shared" si="211"/>
        <v>1</v>
      </c>
    </row>
    <row r="2688" spans="1:29" x14ac:dyDescent="0.25">
      <c r="A2688" s="1">
        <v>1005.857</v>
      </c>
      <c r="B2688">
        <v>10</v>
      </c>
      <c r="C2688" t="s">
        <v>27</v>
      </c>
      <c r="D2688" s="2">
        <v>99417.7</v>
      </c>
      <c r="E2688">
        <v>13352</v>
      </c>
      <c r="F2688" t="s">
        <v>15</v>
      </c>
      <c r="G2688" t="s">
        <v>23</v>
      </c>
      <c r="H2688">
        <v>112769</v>
      </c>
      <c r="I2688" t="s">
        <v>17</v>
      </c>
      <c r="J2688" t="s">
        <v>50</v>
      </c>
      <c r="K2688">
        <v>13352.1</v>
      </c>
      <c r="L2688">
        <v>112769.7</v>
      </c>
      <c r="M2688">
        <v>27</v>
      </c>
      <c r="Y2688" s="1">
        <f t="shared" si="207"/>
        <v>1005.857</v>
      </c>
      <c r="Z2688" s="2">
        <f t="shared" si="208"/>
        <v>99417.7</v>
      </c>
      <c r="AA2688" s="2">
        <f t="shared" si="209"/>
        <v>99417.710469778511</v>
      </c>
      <c r="AB2688" s="1">
        <f t="shared" si="210"/>
        <v>9.9419405775263536E-2</v>
      </c>
      <c r="AC2688" s="1" t="b">
        <f t="shared" si="211"/>
        <v>1</v>
      </c>
    </row>
    <row r="2689" spans="1:29" x14ac:dyDescent="0.25">
      <c r="A2689" s="1">
        <v>1005.857</v>
      </c>
      <c r="B2689">
        <v>10</v>
      </c>
      <c r="C2689" t="s">
        <v>27</v>
      </c>
      <c r="D2689" s="2">
        <v>99417.7</v>
      </c>
      <c r="E2689">
        <v>17627</v>
      </c>
      <c r="F2689" t="s">
        <v>15</v>
      </c>
      <c r="G2689" t="s">
        <v>16</v>
      </c>
      <c r="H2689">
        <v>117044</v>
      </c>
      <c r="I2689" t="s">
        <v>17</v>
      </c>
      <c r="J2689" t="s">
        <v>18</v>
      </c>
      <c r="K2689">
        <v>17627</v>
      </c>
      <c r="L2689">
        <v>117044.6</v>
      </c>
      <c r="M2689" s="9">
        <v>27</v>
      </c>
      <c r="O2689" t="s">
        <v>1089</v>
      </c>
      <c r="Y2689" s="1">
        <f t="shared" si="207"/>
        <v>1005.857</v>
      </c>
      <c r="Z2689" s="2">
        <f t="shared" si="208"/>
        <v>99417.7</v>
      </c>
      <c r="AA2689" s="2">
        <f t="shared" si="209"/>
        <v>99417.710469778511</v>
      </c>
      <c r="AB2689" s="1">
        <f t="shared" si="210"/>
        <v>9.9419405775263536E-2</v>
      </c>
      <c r="AC2689" s="1" t="b">
        <f t="shared" si="211"/>
        <v>1</v>
      </c>
    </row>
    <row r="2690" spans="1:29" x14ac:dyDescent="0.25">
      <c r="A2690" s="1">
        <v>1005.676</v>
      </c>
      <c r="B2690">
        <v>5</v>
      </c>
      <c r="D2690" s="2">
        <v>99435.6</v>
      </c>
      <c r="E2690">
        <v>18211</v>
      </c>
      <c r="F2690" t="s">
        <v>15</v>
      </c>
      <c r="G2690" t="s">
        <v>28</v>
      </c>
      <c r="H2690">
        <v>117647</v>
      </c>
      <c r="I2690" t="s">
        <v>17</v>
      </c>
      <c r="J2690" t="s">
        <v>18</v>
      </c>
      <c r="K2690">
        <v>18211.759999999998</v>
      </c>
      <c r="L2690">
        <v>117647.2</v>
      </c>
      <c r="M2690">
        <v>27</v>
      </c>
      <c r="N2690" t="s">
        <v>1097</v>
      </c>
      <c r="Y2690" s="1">
        <f t="shared" si="207"/>
        <v>1005.676</v>
      </c>
      <c r="Z2690" s="2">
        <f t="shared" si="208"/>
        <v>99435.6</v>
      </c>
      <c r="AA2690" s="2">
        <f t="shared" si="209"/>
        <v>99435.60351445197</v>
      </c>
      <c r="AB2690" s="1">
        <f t="shared" si="210"/>
        <v>9.9437196231416475E-2</v>
      </c>
      <c r="AC2690" s="1" t="b">
        <f t="shared" si="211"/>
        <v>1</v>
      </c>
    </row>
    <row r="2691" spans="1:29" x14ac:dyDescent="0.25">
      <c r="A2691" s="1">
        <v>1005.5839999999999</v>
      </c>
      <c r="B2691">
        <v>1</v>
      </c>
      <c r="D2691" s="2">
        <v>99444.7</v>
      </c>
      <c r="M2691">
        <v>27</v>
      </c>
      <c r="Y2691" s="1">
        <f t="shared" ref="Y2691:Y2754" si="212">ROUND($A2691,3)+0</f>
        <v>1005.5839999999999</v>
      </c>
      <c r="Z2691" s="2">
        <f t="shared" ref="Z2691:Z2754" si="213">ROUND($D2691,1)+0</f>
        <v>99444.7</v>
      </c>
      <c r="AA2691" s="2">
        <f t="shared" ref="AA2691:AA2754" si="214">100000000/Y2691</f>
        <v>99444.700790784264</v>
      </c>
      <c r="AB2691" s="1">
        <f t="shared" ref="AB2691:AB2754" si="215">0.0005/$Y2691*AA2691+0.05</f>
        <v>9.9446242576843036E-2</v>
      </c>
      <c r="AC2691" s="1" t="b">
        <f t="shared" ref="AC2691:AC2754" si="216">ABS(Z2691-AA2691)&lt;AB2691</f>
        <v>1</v>
      </c>
    </row>
    <row r="2692" spans="1:29" x14ac:dyDescent="0.25">
      <c r="A2692" s="1">
        <v>1005.28</v>
      </c>
      <c r="B2692">
        <v>3</v>
      </c>
      <c r="D2692" s="2">
        <v>99474.8</v>
      </c>
      <c r="M2692">
        <v>27</v>
      </c>
      <c r="Y2692" s="1">
        <f t="shared" si="212"/>
        <v>1005.28</v>
      </c>
      <c r="Z2692" s="2">
        <f t="shared" si="213"/>
        <v>99474.8</v>
      </c>
      <c r="AA2692" s="2">
        <f t="shared" si="214"/>
        <v>99474.773197517119</v>
      </c>
      <c r="AB2692" s="1">
        <f t="shared" si="215"/>
        <v>9.9476152513487348E-2</v>
      </c>
      <c r="AC2692" s="1" t="b">
        <f t="shared" si="216"/>
        <v>1</v>
      </c>
    </row>
    <row r="2693" spans="1:29" x14ac:dyDescent="0.25">
      <c r="A2693" s="1">
        <v>1004.912</v>
      </c>
      <c r="B2693">
        <v>30</v>
      </c>
      <c r="D2693" s="2">
        <v>99511.2</v>
      </c>
      <c r="M2693">
        <v>27</v>
      </c>
      <c r="Y2693" s="1">
        <f t="shared" si="212"/>
        <v>1004.912</v>
      </c>
      <c r="Z2693" s="2">
        <f t="shared" si="213"/>
        <v>99511.2</v>
      </c>
      <c r="AA2693" s="2">
        <f t="shared" si="214"/>
        <v>99511.200980782392</v>
      </c>
      <c r="AB2693" s="1">
        <f t="shared" si="215"/>
        <v>9.9512395603188336E-2</v>
      </c>
      <c r="AC2693" s="1" t="b">
        <f t="shared" si="216"/>
        <v>1</v>
      </c>
    </row>
    <row r="2694" spans="1:29" x14ac:dyDescent="0.25">
      <c r="A2694" s="1">
        <v>1004.533</v>
      </c>
      <c r="B2694">
        <v>2</v>
      </c>
      <c r="D2694" s="2">
        <v>99548.800000000003</v>
      </c>
      <c r="E2694">
        <v>1398</v>
      </c>
      <c r="F2694" t="s">
        <v>17</v>
      </c>
      <c r="G2694" t="s">
        <v>23</v>
      </c>
      <c r="H2694">
        <v>100947</v>
      </c>
      <c r="I2694" t="s">
        <v>15</v>
      </c>
      <c r="J2694" t="s">
        <v>16</v>
      </c>
      <c r="K2694">
        <v>1398.34</v>
      </c>
      <c r="L2694">
        <v>100947.18</v>
      </c>
      <c r="M2694">
        <v>27</v>
      </c>
      <c r="Y2694" s="1">
        <f t="shared" si="212"/>
        <v>1004.533</v>
      </c>
      <c r="Z2694" s="2">
        <f t="shared" si="213"/>
        <v>99548.800000000003</v>
      </c>
      <c r="AA2694" s="2">
        <f t="shared" si="214"/>
        <v>99548.745536483126</v>
      </c>
      <c r="AB2694" s="1">
        <f t="shared" si="215"/>
        <v>9.9549763689437354E-2</v>
      </c>
      <c r="AC2694" s="1" t="b">
        <f t="shared" si="216"/>
        <v>1</v>
      </c>
    </row>
    <row r="2695" spans="1:29" x14ac:dyDescent="0.25">
      <c r="A2695" s="1">
        <v>1004.259</v>
      </c>
      <c r="B2695">
        <v>1</v>
      </c>
      <c r="D2695" s="2">
        <v>99575.9</v>
      </c>
      <c r="M2695">
        <v>27</v>
      </c>
      <c r="Y2695" s="1">
        <f t="shared" si="212"/>
        <v>1004.259</v>
      </c>
      <c r="Z2695" s="2">
        <f t="shared" si="213"/>
        <v>99575.9</v>
      </c>
      <c r="AA2695" s="2">
        <f t="shared" si="214"/>
        <v>99575.906215428491</v>
      </c>
      <c r="AB2695" s="1">
        <f t="shared" si="215"/>
        <v>9.9576805493119064E-2</v>
      </c>
      <c r="AC2695" s="1" t="b">
        <f t="shared" si="216"/>
        <v>1</v>
      </c>
    </row>
    <row r="2696" spans="1:29" x14ac:dyDescent="0.25">
      <c r="A2696" s="1">
        <v>1003.399</v>
      </c>
      <c r="B2696">
        <v>8</v>
      </c>
      <c r="D2696" s="2">
        <v>99661.2</v>
      </c>
      <c r="M2696">
        <v>27</v>
      </c>
      <c r="Y2696" s="1">
        <f t="shared" si="212"/>
        <v>1003.399</v>
      </c>
      <c r="Z2696" s="2">
        <f t="shared" si="213"/>
        <v>99661.2</v>
      </c>
      <c r="AA2696" s="2">
        <f t="shared" si="214"/>
        <v>99661.251406469411</v>
      </c>
      <c r="AB2696" s="1">
        <f t="shared" si="215"/>
        <v>9.9661825159517506E-2</v>
      </c>
      <c r="AC2696" s="1" t="b">
        <f t="shared" si="216"/>
        <v>1</v>
      </c>
    </row>
    <row r="2697" spans="1:29" x14ac:dyDescent="0.25">
      <c r="A2697" s="1">
        <v>1003.258</v>
      </c>
      <c r="B2697">
        <v>10</v>
      </c>
      <c r="D2697" s="2">
        <v>99675.199999999997</v>
      </c>
      <c r="M2697">
        <v>27</v>
      </c>
      <c r="Y2697" s="1">
        <f t="shared" si="212"/>
        <v>1003.258</v>
      </c>
      <c r="Z2697" s="2">
        <f t="shared" si="213"/>
        <v>99675.199999999997</v>
      </c>
      <c r="AA2697" s="2">
        <f t="shared" si="214"/>
        <v>99675.258009405356</v>
      </c>
      <c r="AB2697" s="1">
        <f t="shared" si="215"/>
        <v>9.9675785296207631E-2</v>
      </c>
      <c r="AC2697" s="1" t="b">
        <f t="shared" si="216"/>
        <v>1</v>
      </c>
    </row>
    <row r="2698" spans="1:29" x14ac:dyDescent="0.25">
      <c r="A2698" s="1">
        <v>1002.876</v>
      </c>
      <c r="B2698">
        <v>1</v>
      </c>
      <c r="D2698" s="2">
        <v>99713.2</v>
      </c>
      <c r="M2698">
        <v>27</v>
      </c>
      <c r="Y2698" s="1">
        <f t="shared" si="212"/>
        <v>1002.876</v>
      </c>
      <c r="Z2698" s="2">
        <f t="shared" si="213"/>
        <v>99713.2</v>
      </c>
      <c r="AA2698" s="2">
        <f t="shared" si="214"/>
        <v>99713.22476557421</v>
      </c>
      <c r="AB2698" s="1">
        <f t="shared" si="215"/>
        <v>9.9713635965749614E-2</v>
      </c>
      <c r="AC2698" s="1" t="b">
        <f t="shared" si="216"/>
        <v>1</v>
      </c>
    </row>
    <row r="2699" spans="1:29" x14ac:dyDescent="0.25">
      <c r="A2699" s="1">
        <v>1002.724</v>
      </c>
      <c r="B2699">
        <v>1</v>
      </c>
      <c r="D2699" s="2">
        <v>99728.3</v>
      </c>
      <c r="M2699">
        <v>27</v>
      </c>
      <c r="Y2699" s="1">
        <f t="shared" si="212"/>
        <v>1002.724</v>
      </c>
      <c r="Z2699" s="2">
        <f t="shared" si="213"/>
        <v>99728.3</v>
      </c>
      <c r="AA2699" s="2">
        <f t="shared" si="214"/>
        <v>99728.340001834993</v>
      </c>
      <c r="AB2699" s="1">
        <f t="shared" si="215"/>
        <v>9.9728708997608023E-2</v>
      </c>
      <c r="AC2699" s="1" t="b">
        <f t="shared" si="216"/>
        <v>1</v>
      </c>
    </row>
    <row r="2700" spans="1:29" x14ac:dyDescent="0.25">
      <c r="A2700" s="1">
        <v>1002.035</v>
      </c>
      <c r="B2700">
        <v>20</v>
      </c>
      <c r="C2700" t="s">
        <v>124</v>
      </c>
      <c r="D2700" s="2">
        <v>99796.9</v>
      </c>
      <c r="M2700">
        <v>27</v>
      </c>
      <c r="Y2700" s="1">
        <f t="shared" si="212"/>
        <v>1002.035</v>
      </c>
      <c r="Z2700" s="2">
        <f t="shared" si="213"/>
        <v>99796.9</v>
      </c>
      <c r="AA2700" s="2">
        <f t="shared" si="214"/>
        <v>99796.913281472211</v>
      </c>
      <c r="AB2700" s="1">
        <f t="shared" si="215"/>
        <v>9.9797119502548423E-2</v>
      </c>
      <c r="AC2700" s="1" t="b">
        <f t="shared" si="216"/>
        <v>1</v>
      </c>
    </row>
    <row r="2701" spans="1:29" x14ac:dyDescent="0.25">
      <c r="A2701" s="1">
        <v>1001.528</v>
      </c>
      <c r="B2701">
        <v>4</v>
      </c>
      <c r="D2701" s="2">
        <v>99847.4</v>
      </c>
      <c r="M2701">
        <v>28</v>
      </c>
      <c r="Y2701" s="1">
        <f t="shared" si="212"/>
        <v>1001.528</v>
      </c>
      <c r="Z2701" s="2">
        <f t="shared" si="213"/>
        <v>99847.4</v>
      </c>
      <c r="AA2701" s="2">
        <f t="shared" si="214"/>
        <v>99847.433122189293</v>
      </c>
      <c r="AB2701" s="1">
        <f t="shared" si="215"/>
        <v>9.9847549505450328E-2</v>
      </c>
      <c r="AC2701" s="1" t="b">
        <f t="shared" si="216"/>
        <v>1</v>
      </c>
    </row>
    <row r="2702" spans="1:29" x14ac:dyDescent="0.25">
      <c r="A2702" s="1">
        <v>1001.224</v>
      </c>
      <c r="B2702">
        <v>50</v>
      </c>
      <c r="C2702" t="s">
        <v>122</v>
      </c>
      <c r="D2702" s="2">
        <v>99877.7</v>
      </c>
      <c r="M2702">
        <v>28</v>
      </c>
      <c r="Y2702" s="1">
        <f t="shared" si="212"/>
        <v>1001.224</v>
      </c>
      <c r="Z2702" s="2">
        <f t="shared" si="213"/>
        <v>99877.7</v>
      </c>
      <c r="AA2702" s="2">
        <f t="shared" si="214"/>
        <v>99877.749634447435</v>
      </c>
      <c r="AB2702" s="1">
        <f t="shared" si="215"/>
        <v>9.9877824360206827E-2</v>
      </c>
      <c r="AC2702" s="1" t="b">
        <f t="shared" si="216"/>
        <v>1</v>
      </c>
    </row>
    <row r="2703" spans="1:29" x14ac:dyDescent="0.25">
      <c r="A2703" s="1">
        <v>1001.197</v>
      </c>
      <c r="B2703">
        <v>20</v>
      </c>
      <c r="C2703" t="s">
        <v>122</v>
      </c>
      <c r="D2703" s="2">
        <v>99880.4</v>
      </c>
      <c r="M2703">
        <v>28</v>
      </c>
      <c r="Y2703" s="1">
        <f t="shared" si="212"/>
        <v>1001.197</v>
      </c>
      <c r="Z2703" s="2">
        <f t="shared" si="213"/>
        <v>99880.4</v>
      </c>
      <c r="AA2703" s="2">
        <f t="shared" si="214"/>
        <v>99880.443109597807</v>
      </c>
      <c r="AB2703" s="1">
        <f t="shared" si="215"/>
        <v>9.9880514578848029E-2</v>
      </c>
      <c r="AC2703" s="1" t="b">
        <f t="shared" si="216"/>
        <v>1</v>
      </c>
    </row>
    <row r="2704" spans="1:29" x14ac:dyDescent="0.25">
      <c r="A2704" s="1">
        <v>1000.63</v>
      </c>
      <c r="B2704">
        <v>80</v>
      </c>
      <c r="C2704" t="s">
        <v>27</v>
      </c>
      <c r="D2704" s="2">
        <v>99937</v>
      </c>
      <c r="E2704">
        <v>14859</v>
      </c>
      <c r="F2704" t="s">
        <v>15</v>
      </c>
      <c r="G2704" t="s">
        <v>23</v>
      </c>
      <c r="H2704">
        <v>114797</v>
      </c>
      <c r="I2704" t="s">
        <v>17</v>
      </c>
      <c r="J2704" t="s">
        <v>50</v>
      </c>
      <c r="K2704">
        <v>14859.96</v>
      </c>
      <c r="L2704">
        <v>114797.2</v>
      </c>
      <c r="M2704">
        <v>28</v>
      </c>
      <c r="Y2704" s="1">
        <f t="shared" si="212"/>
        <v>1000.63</v>
      </c>
      <c r="Z2704" s="2">
        <f t="shared" si="213"/>
        <v>99937</v>
      </c>
      <c r="AA2704" s="2">
        <f t="shared" si="214"/>
        <v>99937.039665011049</v>
      </c>
      <c r="AB2704" s="1">
        <f t="shared" si="215"/>
        <v>9.9937059485029955E-2</v>
      </c>
      <c r="AC2704" s="1" t="b">
        <f t="shared" si="216"/>
        <v>1</v>
      </c>
    </row>
    <row r="2705" spans="1:29" x14ac:dyDescent="0.25">
      <c r="A2705" s="1">
        <v>1000.63</v>
      </c>
      <c r="B2705">
        <v>80</v>
      </c>
      <c r="C2705" t="s">
        <v>27</v>
      </c>
      <c r="D2705" s="2">
        <v>99937</v>
      </c>
      <c r="E2705">
        <v>16516</v>
      </c>
      <c r="F2705" t="s">
        <v>15</v>
      </c>
      <c r="G2705" t="s">
        <v>18</v>
      </c>
      <c r="H2705">
        <v>116453</v>
      </c>
      <c r="I2705" t="s">
        <v>17</v>
      </c>
      <c r="J2705" t="s">
        <v>16</v>
      </c>
      <c r="K2705">
        <v>16516.150000000001</v>
      </c>
      <c r="L2705">
        <v>116453.2</v>
      </c>
      <c r="M2705">
        <v>28</v>
      </c>
      <c r="Y2705" s="1">
        <f t="shared" si="212"/>
        <v>1000.63</v>
      </c>
      <c r="Z2705" s="2">
        <f t="shared" si="213"/>
        <v>99937</v>
      </c>
      <c r="AA2705" s="2">
        <f t="shared" si="214"/>
        <v>99937.039665011049</v>
      </c>
      <c r="AB2705" s="1">
        <f t="shared" si="215"/>
        <v>9.9937059485029955E-2</v>
      </c>
      <c r="AC2705" s="1" t="b">
        <f t="shared" si="216"/>
        <v>1</v>
      </c>
    </row>
    <row r="2706" spans="1:29" x14ac:dyDescent="0.25">
      <c r="A2706" s="1">
        <v>1000.525</v>
      </c>
      <c r="B2706">
        <v>7</v>
      </c>
      <c r="D2706" s="2">
        <v>99947.5</v>
      </c>
      <c r="E2706">
        <v>17627</v>
      </c>
      <c r="F2706" t="s">
        <v>15</v>
      </c>
      <c r="G2706" t="s">
        <v>16</v>
      </c>
      <c r="H2706">
        <v>117574</v>
      </c>
      <c r="I2706" t="s">
        <v>17</v>
      </c>
      <c r="J2706" t="s">
        <v>23</v>
      </c>
      <c r="K2706">
        <v>17627</v>
      </c>
      <c r="L2706">
        <v>117574.5</v>
      </c>
      <c r="M2706">
        <v>28</v>
      </c>
      <c r="Y2706" s="1">
        <f t="shared" si="212"/>
        <v>1000.525</v>
      </c>
      <c r="Z2706" s="2">
        <f t="shared" si="213"/>
        <v>99947.5</v>
      </c>
      <c r="AA2706" s="2">
        <f t="shared" si="214"/>
        <v>99947.52754803728</v>
      </c>
      <c r="AB2706" s="1">
        <f t="shared" si="215"/>
        <v>9.9947541314828359E-2</v>
      </c>
      <c r="AC2706" s="1" t="b">
        <f t="shared" si="216"/>
        <v>1</v>
      </c>
    </row>
    <row r="2707" spans="1:29" x14ac:dyDescent="0.25">
      <c r="A2707" s="1">
        <v>1000.351</v>
      </c>
      <c r="B2707">
        <v>3</v>
      </c>
      <c r="D2707" s="2">
        <v>99964.9</v>
      </c>
      <c r="M2707">
        <v>28</v>
      </c>
      <c r="Y2707" s="1">
        <f t="shared" si="212"/>
        <v>1000.351</v>
      </c>
      <c r="Z2707" s="2">
        <f t="shared" si="213"/>
        <v>99964.9</v>
      </c>
      <c r="AA2707" s="2">
        <f t="shared" si="214"/>
        <v>99964.912315777168</v>
      </c>
      <c r="AB2707" s="1">
        <f t="shared" si="215"/>
        <v>9.9964918471505099E-2</v>
      </c>
      <c r="AC2707" s="1" t="b">
        <f t="shared" si="216"/>
        <v>1</v>
      </c>
    </row>
    <row r="2708" spans="1:29" x14ac:dyDescent="0.25">
      <c r="A2708" s="1">
        <v>1000.023</v>
      </c>
      <c r="B2708">
        <v>5</v>
      </c>
      <c r="D2708" s="2">
        <v>99997.7</v>
      </c>
      <c r="E2708">
        <v>21535</v>
      </c>
      <c r="F2708" t="s">
        <v>15</v>
      </c>
      <c r="G2708" t="s">
        <v>16</v>
      </c>
      <c r="H2708">
        <v>121532</v>
      </c>
      <c r="I2708" t="s">
        <v>17</v>
      </c>
      <c r="J2708" t="s">
        <v>23</v>
      </c>
      <c r="K2708">
        <v>21535.17</v>
      </c>
      <c r="L2708">
        <v>121532.5</v>
      </c>
      <c r="M2708">
        <v>28</v>
      </c>
      <c r="Y2708" s="1">
        <f t="shared" si="212"/>
        <v>1000.023</v>
      </c>
      <c r="Z2708" s="2">
        <f t="shared" si="213"/>
        <v>99997.7</v>
      </c>
      <c r="AA2708" s="2">
        <f t="shared" si="214"/>
        <v>99997.700052898785</v>
      </c>
      <c r="AB2708" s="1">
        <f t="shared" si="215"/>
        <v>9.9997700079347579E-2</v>
      </c>
      <c r="AC2708" s="1" t="b">
        <f t="shared" si="216"/>
        <v>1</v>
      </c>
    </row>
    <row r="2709" spans="1:29" x14ac:dyDescent="0.25">
      <c r="A2709" s="1">
        <v>999.49900000000002</v>
      </c>
      <c r="B2709">
        <v>30</v>
      </c>
      <c r="D2709" s="2">
        <v>100050.1</v>
      </c>
      <c r="M2709">
        <v>28</v>
      </c>
      <c r="Y2709" s="1">
        <f t="shared" si="212"/>
        <v>999.49900000000002</v>
      </c>
      <c r="Z2709" s="2">
        <f t="shared" si="213"/>
        <v>100050.1</v>
      </c>
      <c r="AA2709" s="2">
        <f t="shared" si="214"/>
        <v>100050.12511268145</v>
      </c>
      <c r="AB2709" s="1">
        <f t="shared" si="215"/>
        <v>0.10005013767531606</v>
      </c>
      <c r="AC2709" s="1" t="b">
        <f t="shared" si="216"/>
        <v>1</v>
      </c>
    </row>
    <row r="2710" spans="1:29" x14ac:dyDescent="0.25">
      <c r="A2710" s="1">
        <v>999.11800000000005</v>
      </c>
      <c r="B2710">
        <v>3</v>
      </c>
      <c r="C2710" t="s">
        <v>27</v>
      </c>
      <c r="D2710" s="2">
        <v>100088.3</v>
      </c>
      <c r="E2710">
        <v>21294</v>
      </c>
      <c r="F2710" t="s">
        <v>15</v>
      </c>
      <c r="G2710" t="s">
        <v>18</v>
      </c>
      <c r="H2710">
        <v>121382</v>
      </c>
      <c r="I2710" t="s">
        <v>17</v>
      </c>
      <c r="J2710" t="s">
        <v>16</v>
      </c>
      <c r="K2710">
        <v>21294.89</v>
      </c>
      <c r="L2710">
        <v>121382.6</v>
      </c>
      <c r="M2710">
        <v>28</v>
      </c>
      <c r="Y2710" s="1">
        <f t="shared" si="212"/>
        <v>999.11800000000005</v>
      </c>
      <c r="Z2710" s="2">
        <f t="shared" si="213"/>
        <v>100088.3</v>
      </c>
      <c r="AA2710" s="2">
        <f t="shared" si="214"/>
        <v>100088.27786107347</v>
      </c>
      <c r="AB2710" s="1">
        <f t="shared" si="215"/>
        <v>0.10008831682597724</v>
      </c>
      <c r="AC2710" s="1" t="b">
        <f t="shared" si="216"/>
        <v>1</v>
      </c>
    </row>
    <row r="2711" spans="1:29" x14ac:dyDescent="0.25">
      <c r="A2711" s="1">
        <v>999.11800000000005</v>
      </c>
      <c r="B2711">
        <v>3</v>
      </c>
      <c r="C2711" t="s">
        <v>27</v>
      </c>
      <c r="D2711" s="2">
        <v>100088.3</v>
      </c>
      <c r="E2711">
        <v>2893</v>
      </c>
      <c r="F2711" t="s">
        <v>17</v>
      </c>
      <c r="G2711" t="s">
        <v>50</v>
      </c>
      <c r="H2711">
        <v>102981</v>
      </c>
      <c r="I2711" t="s">
        <v>15</v>
      </c>
      <c r="J2711" t="s">
        <v>50</v>
      </c>
      <c r="K2711">
        <v>2893.14</v>
      </c>
      <c r="L2711">
        <v>102981.94</v>
      </c>
      <c r="M2711">
        <v>28</v>
      </c>
      <c r="Y2711" s="1">
        <f t="shared" si="212"/>
        <v>999.11800000000005</v>
      </c>
      <c r="Z2711" s="2">
        <f t="shared" si="213"/>
        <v>100088.3</v>
      </c>
      <c r="AA2711" s="2">
        <f t="shared" si="214"/>
        <v>100088.27786107347</v>
      </c>
      <c r="AB2711" s="1">
        <f t="shared" si="215"/>
        <v>0.10008831682597724</v>
      </c>
      <c r="AC2711" s="1" t="b">
        <f t="shared" si="216"/>
        <v>1</v>
      </c>
    </row>
    <row r="2712" spans="1:29" x14ac:dyDescent="0.25">
      <c r="A2712" s="1">
        <v>998.93100000000004</v>
      </c>
      <c r="B2712">
        <v>10</v>
      </c>
      <c r="D2712" s="2">
        <v>100107</v>
      </c>
      <c r="E2712">
        <v>18211</v>
      </c>
      <c r="F2712" t="s">
        <v>15</v>
      </c>
      <c r="G2712" t="s">
        <v>28</v>
      </c>
      <c r="H2712">
        <v>118318</v>
      </c>
      <c r="I2712" t="s">
        <v>17</v>
      </c>
      <c r="J2712" t="s">
        <v>18</v>
      </c>
      <c r="K2712">
        <v>18211.759999999998</v>
      </c>
      <c r="L2712">
        <v>118318.6</v>
      </c>
      <c r="M2712">
        <v>28</v>
      </c>
      <c r="Y2712" s="1">
        <f t="shared" si="212"/>
        <v>998.93100000000004</v>
      </c>
      <c r="Z2712" s="2">
        <f t="shared" si="213"/>
        <v>100107</v>
      </c>
      <c r="AA2712" s="2">
        <f t="shared" si="214"/>
        <v>100107.01439839188</v>
      </c>
      <c r="AB2712" s="1">
        <f t="shared" si="215"/>
        <v>0.1001070716587992</v>
      </c>
      <c r="AC2712" s="1" t="b">
        <f t="shared" si="216"/>
        <v>1</v>
      </c>
    </row>
    <row r="2713" spans="1:29" x14ac:dyDescent="0.25">
      <c r="A2713" s="1">
        <v>998.827</v>
      </c>
      <c r="B2713">
        <v>1</v>
      </c>
      <c r="D2713" s="2">
        <v>100117.4</v>
      </c>
      <c r="M2713">
        <v>28</v>
      </c>
      <c r="Y2713" s="1">
        <f t="shared" si="212"/>
        <v>998.827</v>
      </c>
      <c r="Z2713" s="2">
        <f t="shared" si="213"/>
        <v>100117.4</v>
      </c>
      <c r="AA2713" s="2">
        <f t="shared" si="214"/>
        <v>100117.43775448602</v>
      </c>
      <c r="AB2713" s="1">
        <f t="shared" si="215"/>
        <v>0.1001175067126169</v>
      </c>
      <c r="AC2713" s="1" t="b">
        <f t="shared" si="216"/>
        <v>1</v>
      </c>
    </row>
    <row r="2714" spans="1:29" x14ac:dyDescent="0.25">
      <c r="A2714" s="1">
        <v>997.048</v>
      </c>
      <c r="B2714">
        <v>10</v>
      </c>
      <c r="D2714" s="2">
        <v>100296.1</v>
      </c>
      <c r="M2714">
        <v>28</v>
      </c>
      <c r="Y2714" s="1">
        <f t="shared" si="212"/>
        <v>997.048</v>
      </c>
      <c r="Z2714" s="2">
        <f t="shared" si="213"/>
        <v>100296.1</v>
      </c>
      <c r="AA2714" s="2">
        <f t="shared" si="214"/>
        <v>100296.07401047893</v>
      </c>
      <c r="AB2714" s="1">
        <f t="shared" si="215"/>
        <v>0.10029651230957734</v>
      </c>
      <c r="AC2714" s="1" t="b">
        <f t="shared" si="216"/>
        <v>1</v>
      </c>
    </row>
    <row r="2715" spans="1:29" x14ac:dyDescent="0.25">
      <c r="A2715" s="1">
        <v>996.88499999999999</v>
      </c>
      <c r="B2715">
        <v>1</v>
      </c>
      <c r="C2715" t="s">
        <v>27</v>
      </c>
      <c r="D2715" s="2">
        <v>100312.5</v>
      </c>
      <c r="E2715">
        <v>12846</v>
      </c>
      <c r="F2715" t="s">
        <v>15</v>
      </c>
      <c r="G2715" t="s">
        <v>16</v>
      </c>
      <c r="H2715">
        <v>113158</v>
      </c>
      <c r="I2715" t="s">
        <v>17</v>
      </c>
      <c r="J2715" t="s">
        <v>16</v>
      </c>
      <c r="K2715">
        <v>12846.66</v>
      </c>
      <c r="L2715">
        <v>113158.8</v>
      </c>
      <c r="M2715">
        <v>28</v>
      </c>
      <c r="Y2715" s="1">
        <f t="shared" si="212"/>
        <v>996.88499999999999</v>
      </c>
      <c r="Z2715" s="2">
        <f t="shared" si="213"/>
        <v>100312.5</v>
      </c>
      <c r="AA2715" s="2">
        <f t="shared" si="214"/>
        <v>100312.47335449926</v>
      </c>
      <c r="AB2715" s="1">
        <f t="shared" si="215"/>
        <v>0.10031296155248562</v>
      </c>
      <c r="AC2715" s="1" t="b">
        <f t="shared" si="216"/>
        <v>1</v>
      </c>
    </row>
    <row r="2716" spans="1:29" x14ac:dyDescent="0.25">
      <c r="A2716" s="1">
        <v>996.88499999999999</v>
      </c>
      <c r="B2716">
        <v>1</v>
      </c>
      <c r="C2716" t="s">
        <v>27</v>
      </c>
      <c r="D2716" s="2">
        <v>100312.5</v>
      </c>
      <c r="E2716">
        <v>13352</v>
      </c>
      <c r="F2716" t="s">
        <v>15</v>
      </c>
      <c r="G2716" t="s">
        <v>23</v>
      </c>
      <c r="H2716">
        <v>113664</v>
      </c>
      <c r="I2716" t="s">
        <v>17</v>
      </c>
      <c r="J2716" t="s">
        <v>23</v>
      </c>
      <c r="K2716">
        <v>13352.1</v>
      </c>
      <c r="L2716">
        <v>113664.3</v>
      </c>
      <c r="M2716">
        <v>28</v>
      </c>
      <c r="Y2716" s="1">
        <f t="shared" si="212"/>
        <v>996.88499999999999</v>
      </c>
      <c r="Z2716" s="2">
        <f t="shared" si="213"/>
        <v>100312.5</v>
      </c>
      <c r="AA2716" s="2">
        <f t="shared" si="214"/>
        <v>100312.47335449926</v>
      </c>
      <c r="AB2716" s="1">
        <f t="shared" si="215"/>
        <v>0.10031296155248562</v>
      </c>
      <c r="AC2716" s="1" t="b">
        <f t="shared" si="216"/>
        <v>1</v>
      </c>
    </row>
    <row r="2717" spans="1:29" x14ac:dyDescent="0.25">
      <c r="A2717" s="1">
        <v>996.42499999999995</v>
      </c>
      <c r="B2717">
        <v>5</v>
      </c>
      <c r="D2717" s="2">
        <v>100358.8</v>
      </c>
      <c r="M2717">
        <v>28</v>
      </c>
      <c r="Y2717" s="1">
        <f t="shared" si="212"/>
        <v>996.42499999999995</v>
      </c>
      <c r="Z2717" s="2">
        <f t="shared" si="213"/>
        <v>100358.8</v>
      </c>
      <c r="AA2717" s="2">
        <f t="shared" si="214"/>
        <v>100358.78264796648</v>
      </c>
      <c r="AB2717" s="1">
        <f t="shared" si="215"/>
        <v>0.10035942627290889</v>
      </c>
      <c r="AC2717" s="1" t="b">
        <f t="shared" si="216"/>
        <v>1</v>
      </c>
    </row>
    <row r="2718" spans="1:29" x14ac:dyDescent="0.25">
      <c r="A2718" s="1">
        <v>996.32100000000003</v>
      </c>
      <c r="B2718">
        <v>10</v>
      </c>
      <c r="D2718" s="2">
        <v>100369.3</v>
      </c>
      <c r="E2718">
        <v>18241</v>
      </c>
      <c r="F2718" t="s">
        <v>15</v>
      </c>
      <c r="G2718" t="s">
        <v>23</v>
      </c>
      <c r="H2718">
        <v>118610</v>
      </c>
      <c r="I2718" t="s">
        <v>17</v>
      </c>
      <c r="J2718" t="s">
        <v>50</v>
      </c>
      <c r="K2718">
        <v>18241.54</v>
      </c>
      <c r="L2718">
        <v>118610.9</v>
      </c>
      <c r="M2718">
        <v>28</v>
      </c>
      <c r="Y2718" s="1">
        <f t="shared" si="212"/>
        <v>996.32100000000003</v>
      </c>
      <c r="Z2718" s="2">
        <f t="shared" si="213"/>
        <v>100369.3</v>
      </c>
      <c r="AA2718" s="2">
        <f t="shared" si="214"/>
        <v>100369.25850202896</v>
      </c>
      <c r="AB2718" s="1">
        <f t="shared" si="215"/>
        <v>0.10036994026123558</v>
      </c>
      <c r="AC2718" s="1" t="b">
        <f t="shared" si="216"/>
        <v>1</v>
      </c>
    </row>
    <row r="2719" spans="1:29" x14ac:dyDescent="0.25">
      <c r="A2719" s="1">
        <v>995.95699999999999</v>
      </c>
      <c r="B2719">
        <v>2</v>
      </c>
      <c r="D2719" s="2">
        <v>100405.9</v>
      </c>
      <c r="E2719">
        <v>18063</v>
      </c>
      <c r="F2719" t="s">
        <v>15</v>
      </c>
      <c r="G2719" t="s">
        <v>16</v>
      </c>
      <c r="H2719">
        <v>118468</v>
      </c>
      <c r="I2719" t="s">
        <v>17</v>
      </c>
      <c r="J2719" t="s">
        <v>16</v>
      </c>
      <c r="K2719">
        <v>18063.36</v>
      </c>
      <c r="L2719">
        <v>118468.8</v>
      </c>
      <c r="M2719">
        <v>28</v>
      </c>
      <c r="Y2719" s="1">
        <f t="shared" si="212"/>
        <v>995.95699999999999</v>
      </c>
      <c r="Z2719" s="2">
        <f t="shared" si="213"/>
        <v>100405.9</v>
      </c>
      <c r="AA2719" s="2">
        <f t="shared" si="214"/>
        <v>100405.9412203539</v>
      </c>
      <c r="AB2719" s="1">
        <f t="shared" si="215"/>
        <v>0.10040676516172581</v>
      </c>
      <c r="AC2719" s="1" t="b">
        <f t="shared" si="216"/>
        <v>1</v>
      </c>
    </row>
    <row r="2720" spans="1:29" x14ac:dyDescent="0.25">
      <c r="A2720" s="1">
        <v>995.57100000000003</v>
      </c>
      <c r="B2720">
        <v>2</v>
      </c>
      <c r="D2720" s="2">
        <v>100444.9</v>
      </c>
      <c r="E2720">
        <v>12846</v>
      </c>
      <c r="F2720" t="s">
        <v>15</v>
      </c>
      <c r="G2720" t="s">
        <v>16</v>
      </c>
      <c r="H2720">
        <v>113291</v>
      </c>
      <c r="I2720" t="s">
        <v>17</v>
      </c>
      <c r="J2720" t="s">
        <v>18</v>
      </c>
      <c r="K2720">
        <v>12846.66</v>
      </c>
      <c r="L2720">
        <v>113291.8</v>
      </c>
      <c r="M2720">
        <v>28</v>
      </c>
      <c r="Y2720" s="1">
        <f t="shared" si="212"/>
        <v>995.57100000000003</v>
      </c>
      <c r="Z2720" s="2">
        <f t="shared" si="213"/>
        <v>100444.9</v>
      </c>
      <c r="AA2720" s="2">
        <f t="shared" si="214"/>
        <v>100444.87033069464</v>
      </c>
      <c r="AB2720" s="1">
        <f t="shared" si="215"/>
        <v>0.10044585987875032</v>
      </c>
      <c r="AC2720" s="1" t="b">
        <f t="shared" si="216"/>
        <v>1</v>
      </c>
    </row>
    <row r="2721" spans="1:29" x14ac:dyDescent="0.25">
      <c r="A2721" s="1">
        <v>995.52</v>
      </c>
      <c r="B2721">
        <v>5</v>
      </c>
      <c r="C2721" t="s">
        <v>123</v>
      </c>
      <c r="D2721" s="2">
        <v>100450</v>
      </c>
      <c r="M2721">
        <v>28</v>
      </c>
      <c r="Y2721" s="1">
        <f t="shared" si="212"/>
        <v>995.52</v>
      </c>
      <c r="Z2721" s="2">
        <f t="shared" si="213"/>
        <v>100450</v>
      </c>
      <c r="AA2721" s="2">
        <f t="shared" si="214"/>
        <v>100450.01607200257</v>
      </c>
      <c r="AB2721" s="1">
        <f t="shared" si="215"/>
        <v>0.10045102864432787</v>
      </c>
      <c r="AC2721" s="1" t="b">
        <f t="shared" si="216"/>
        <v>1</v>
      </c>
    </row>
    <row r="2722" spans="1:29" x14ac:dyDescent="0.25">
      <c r="A2722" s="1">
        <v>995.37699999999995</v>
      </c>
      <c r="B2722">
        <v>3</v>
      </c>
      <c r="D2722" s="2">
        <v>100464.4</v>
      </c>
      <c r="E2722">
        <v>14859</v>
      </c>
      <c r="F2722" t="s">
        <v>15</v>
      </c>
      <c r="G2722" t="s">
        <v>23</v>
      </c>
      <c r="H2722">
        <v>115324</v>
      </c>
      <c r="I2722" t="s">
        <v>17</v>
      </c>
      <c r="J2722" t="s">
        <v>16</v>
      </c>
      <c r="K2722">
        <v>14859.96</v>
      </c>
      <c r="L2722">
        <v>115324.3</v>
      </c>
      <c r="M2722">
        <v>28</v>
      </c>
      <c r="Y2722" s="1">
        <f t="shared" si="212"/>
        <v>995.37699999999995</v>
      </c>
      <c r="Z2722" s="2">
        <f t="shared" si="213"/>
        <v>100464.4</v>
      </c>
      <c r="AA2722" s="2">
        <f t="shared" si="214"/>
        <v>100464.44713912418</v>
      </c>
      <c r="AB2722" s="1">
        <f t="shared" si="215"/>
        <v>0.10046552569484937</v>
      </c>
      <c r="AC2722" s="1" t="b">
        <f t="shared" si="216"/>
        <v>1</v>
      </c>
    </row>
    <row r="2723" spans="1:29" x14ac:dyDescent="0.25">
      <c r="A2723" s="1">
        <v>994.59799999999996</v>
      </c>
      <c r="B2723">
        <v>70</v>
      </c>
      <c r="D2723" s="2">
        <v>100543.1</v>
      </c>
      <c r="E2723">
        <v>14859</v>
      </c>
      <c r="F2723" t="s">
        <v>15</v>
      </c>
      <c r="G2723" t="s">
        <v>23</v>
      </c>
      <c r="H2723">
        <v>115403</v>
      </c>
      <c r="I2723" t="s">
        <v>17</v>
      </c>
      <c r="J2723" t="s">
        <v>23</v>
      </c>
      <c r="K2723">
        <v>14859.96</v>
      </c>
      <c r="L2723">
        <v>115403.3</v>
      </c>
      <c r="M2723">
        <v>28</v>
      </c>
      <c r="Y2723" s="1">
        <f t="shared" si="212"/>
        <v>994.59799999999996</v>
      </c>
      <c r="Z2723" s="2">
        <f t="shared" si="213"/>
        <v>100543.1</v>
      </c>
      <c r="AA2723" s="2">
        <f t="shared" si="214"/>
        <v>100543.1340099216</v>
      </c>
      <c r="AB2723" s="1">
        <f t="shared" si="215"/>
        <v>0.10054460898268527</v>
      </c>
      <c r="AC2723" s="1" t="b">
        <f t="shared" si="216"/>
        <v>1</v>
      </c>
    </row>
    <row r="2724" spans="1:29" x14ac:dyDescent="0.25">
      <c r="A2724" s="1">
        <v>994.54499999999996</v>
      </c>
      <c r="B2724">
        <v>6</v>
      </c>
      <c r="D2724" s="2">
        <v>100548.5</v>
      </c>
      <c r="E2724">
        <v>14859</v>
      </c>
      <c r="F2724" t="s">
        <v>15</v>
      </c>
      <c r="G2724" t="s">
        <v>23</v>
      </c>
      <c r="H2724">
        <v>115408</v>
      </c>
      <c r="I2724" t="s">
        <v>17</v>
      </c>
      <c r="J2724" t="s">
        <v>50</v>
      </c>
      <c r="K2724">
        <v>14859.96</v>
      </c>
      <c r="L2724">
        <v>115408.4</v>
      </c>
      <c r="M2724">
        <v>28</v>
      </c>
      <c r="Y2724" s="1">
        <f t="shared" si="212"/>
        <v>994.54499999999996</v>
      </c>
      <c r="Z2724" s="2">
        <f t="shared" si="213"/>
        <v>100548.5</v>
      </c>
      <c r="AA2724" s="2">
        <f t="shared" si="214"/>
        <v>100548.49202399087</v>
      </c>
      <c r="AB2724" s="1">
        <f t="shared" si="215"/>
        <v>0.10054999624149279</v>
      </c>
      <c r="AC2724" s="1" t="b">
        <f t="shared" si="216"/>
        <v>1</v>
      </c>
    </row>
    <row r="2725" spans="1:29" x14ac:dyDescent="0.25">
      <c r="A2725" s="1">
        <v>994.38</v>
      </c>
      <c r="B2725">
        <v>3</v>
      </c>
      <c r="D2725" s="2">
        <v>100565.2</v>
      </c>
      <c r="E2725">
        <v>4453</v>
      </c>
      <c r="F2725" t="s">
        <v>17</v>
      </c>
      <c r="G2725" t="s">
        <v>57</v>
      </c>
      <c r="H2725">
        <v>105019</v>
      </c>
      <c r="I2725" t="s">
        <v>15</v>
      </c>
      <c r="J2725" t="s">
        <v>50</v>
      </c>
      <c r="K2725">
        <v>4453.76</v>
      </c>
      <c r="L2725">
        <v>105019.06</v>
      </c>
      <c r="M2725">
        <v>28</v>
      </c>
      <c r="Y2725" s="1">
        <f t="shared" si="212"/>
        <v>994.38</v>
      </c>
      <c r="Z2725" s="2">
        <f t="shared" si="213"/>
        <v>100565.2</v>
      </c>
      <c r="AA2725" s="2">
        <f t="shared" si="214"/>
        <v>100565.17629075404</v>
      </c>
      <c r="AB2725" s="1">
        <f t="shared" si="215"/>
        <v>0.10056677341195219</v>
      </c>
      <c r="AC2725" s="1" t="b">
        <f t="shared" si="216"/>
        <v>1</v>
      </c>
    </row>
    <row r="2726" spans="1:29" x14ac:dyDescent="0.25">
      <c r="A2726" s="1">
        <v>994.12300000000005</v>
      </c>
      <c r="B2726">
        <v>1</v>
      </c>
      <c r="C2726" t="s">
        <v>27</v>
      </c>
      <c r="D2726" s="2">
        <v>100591.2</v>
      </c>
      <c r="E2726">
        <v>16135</v>
      </c>
      <c r="F2726" t="s">
        <v>15</v>
      </c>
      <c r="G2726" t="s">
        <v>18</v>
      </c>
      <c r="H2726">
        <v>116727</v>
      </c>
      <c r="I2726" t="s">
        <v>17</v>
      </c>
      <c r="J2726" t="s">
        <v>28</v>
      </c>
      <c r="K2726">
        <v>16135.97</v>
      </c>
      <c r="L2726">
        <v>116727.1</v>
      </c>
      <c r="M2726">
        <v>28</v>
      </c>
      <c r="Y2726" s="1">
        <f t="shared" si="212"/>
        <v>994.12300000000005</v>
      </c>
      <c r="Z2726" s="2">
        <f t="shared" si="213"/>
        <v>100591.2</v>
      </c>
      <c r="AA2726" s="2">
        <f t="shared" si="214"/>
        <v>100591.1743315465</v>
      </c>
      <c r="AB2726" s="1">
        <f t="shared" si="215"/>
        <v>0.10059292176699791</v>
      </c>
      <c r="AC2726" s="1" t="b">
        <f t="shared" si="216"/>
        <v>1</v>
      </c>
    </row>
    <row r="2727" spans="1:29" x14ac:dyDescent="0.25">
      <c r="A2727" s="1">
        <v>994.12300000000005</v>
      </c>
      <c r="B2727">
        <v>1</v>
      </c>
      <c r="C2727" t="s">
        <v>27</v>
      </c>
      <c r="D2727" s="2">
        <v>100591.2</v>
      </c>
      <c r="E2727">
        <v>2893</v>
      </c>
      <c r="F2727" t="s">
        <v>17</v>
      </c>
      <c r="G2727" t="s">
        <v>50</v>
      </c>
      <c r="H2727">
        <v>103484</v>
      </c>
      <c r="I2727" t="s">
        <v>15</v>
      </c>
      <c r="J2727" t="s">
        <v>57</v>
      </c>
      <c r="K2727">
        <v>2893.14</v>
      </c>
      <c r="L2727">
        <v>103484.19</v>
      </c>
      <c r="M2727">
        <v>28</v>
      </c>
      <c r="Y2727" s="1">
        <f t="shared" si="212"/>
        <v>994.12300000000005</v>
      </c>
      <c r="Z2727" s="2">
        <f t="shared" si="213"/>
        <v>100591.2</v>
      </c>
      <c r="AA2727" s="2">
        <f t="shared" si="214"/>
        <v>100591.1743315465</v>
      </c>
      <c r="AB2727" s="1">
        <f t="shared" si="215"/>
        <v>0.10059292176699791</v>
      </c>
      <c r="AC2727" s="1" t="b">
        <f t="shared" si="216"/>
        <v>1</v>
      </c>
    </row>
    <row r="2728" spans="1:29" x14ac:dyDescent="0.25">
      <c r="A2728" s="1">
        <v>994.07500000000005</v>
      </c>
      <c r="B2728">
        <v>2</v>
      </c>
      <c r="D2728" s="2">
        <v>100596</v>
      </c>
      <c r="E2728">
        <v>4453</v>
      </c>
      <c r="F2728" t="s">
        <v>17</v>
      </c>
      <c r="G2728" t="s">
        <v>57</v>
      </c>
      <c r="H2728">
        <v>105049</v>
      </c>
      <c r="I2728" t="s">
        <v>15</v>
      </c>
      <c r="J2728" t="s">
        <v>57</v>
      </c>
      <c r="K2728">
        <v>4453.76</v>
      </c>
      <c r="L2728">
        <v>105049.72</v>
      </c>
      <c r="M2728">
        <v>28</v>
      </c>
      <c r="Y2728" s="1">
        <f t="shared" si="212"/>
        <v>994.07500000000005</v>
      </c>
      <c r="Z2728" s="2">
        <f t="shared" si="213"/>
        <v>100596</v>
      </c>
      <c r="AA2728" s="2">
        <f t="shared" si="214"/>
        <v>100596.03148655785</v>
      </c>
      <c r="AB2728" s="1">
        <f t="shared" si="215"/>
        <v>0.1005978077542227</v>
      </c>
      <c r="AC2728" s="1" t="b">
        <f t="shared" si="216"/>
        <v>1</v>
      </c>
    </row>
    <row r="2729" spans="1:29" x14ac:dyDescent="0.25">
      <c r="A2729" s="1">
        <v>993.79499999999996</v>
      </c>
      <c r="B2729">
        <v>100</v>
      </c>
      <c r="D2729" s="2">
        <v>100624.4</v>
      </c>
      <c r="E2729">
        <v>15045</v>
      </c>
      <c r="F2729" t="s">
        <v>15</v>
      </c>
      <c r="G2729" t="s">
        <v>28</v>
      </c>
      <c r="H2729">
        <v>115670</v>
      </c>
      <c r="I2729" t="s">
        <v>17</v>
      </c>
      <c r="J2729" t="s">
        <v>18</v>
      </c>
      <c r="K2729">
        <v>15045.8</v>
      </c>
      <c r="L2729">
        <v>115670</v>
      </c>
      <c r="M2729">
        <v>28</v>
      </c>
      <c r="Y2729" s="1">
        <f t="shared" si="212"/>
        <v>993.79499999999996</v>
      </c>
      <c r="Z2729" s="2">
        <f t="shared" si="213"/>
        <v>100624.4</v>
      </c>
      <c r="AA2729" s="2">
        <f t="shared" si="214"/>
        <v>100624.37424217269</v>
      </c>
      <c r="AB2729" s="1">
        <f t="shared" si="215"/>
        <v>0.10062632345814415</v>
      </c>
      <c r="AC2729" s="1" t="b">
        <f t="shared" si="216"/>
        <v>1</v>
      </c>
    </row>
    <row r="2730" spans="1:29" x14ac:dyDescent="0.25">
      <c r="A2730" s="1">
        <v>993.64200000000005</v>
      </c>
      <c r="B2730">
        <v>2</v>
      </c>
      <c r="D2730" s="2">
        <v>100639.9</v>
      </c>
      <c r="E2730">
        <v>14859</v>
      </c>
      <c r="F2730" t="s">
        <v>15</v>
      </c>
      <c r="G2730" t="s">
        <v>23</v>
      </c>
      <c r="H2730">
        <v>115499</v>
      </c>
      <c r="I2730" t="s">
        <v>17</v>
      </c>
      <c r="J2730" t="s">
        <v>16</v>
      </c>
      <c r="K2730">
        <v>14859.96</v>
      </c>
      <c r="L2730">
        <v>115499.8</v>
      </c>
      <c r="M2730">
        <v>28</v>
      </c>
      <c r="Y2730" s="1">
        <f t="shared" si="212"/>
        <v>993.64200000000005</v>
      </c>
      <c r="Z2730" s="2">
        <f t="shared" si="213"/>
        <v>100639.9</v>
      </c>
      <c r="AA2730" s="2">
        <f t="shared" si="214"/>
        <v>100639.86828254038</v>
      </c>
      <c r="AB2730" s="1">
        <f t="shared" si="215"/>
        <v>0.10064191543963538</v>
      </c>
      <c r="AC2730" s="1" t="b">
        <f t="shared" si="216"/>
        <v>1</v>
      </c>
    </row>
    <row r="2731" spans="1:29" x14ac:dyDescent="0.25">
      <c r="A2731" s="1">
        <v>993.6</v>
      </c>
      <c r="B2731">
        <v>1</v>
      </c>
      <c r="D2731" s="2">
        <v>100644.1</v>
      </c>
      <c r="E2731">
        <v>17627</v>
      </c>
      <c r="F2731" t="s">
        <v>15</v>
      </c>
      <c r="G2731" t="s">
        <v>16</v>
      </c>
      <c r="H2731">
        <v>118271</v>
      </c>
      <c r="I2731" t="s">
        <v>17</v>
      </c>
      <c r="J2731" t="s">
        <v>23</v>
      </c>
      <c r="K2731">
        <v>17627</v>
      </c>
      <c r="L2731">
        <v>118271.6</v>
      </c>
      <c r="M2731">
        <v>28</v>
      </c>
      <c r="Y2731" s="1">
        <f t="shared" si="212"/>
        <v>993.6</v>
      </c>
      <c r="Z2731" s="2">
        <f t="shared" si="213"/>
        <v>100644.1</v>
      </c>
      <c r="AA2731" s="2">
        <f t="shared" si="214"/>
        <v>100644.12238325282</v>
      </c>
      <c r="AB2731" s="1">
        <f t="shared" si="215"/>
        <v>0.10064619685147586</v>
      </c>
      <c r="AC2731" s="1" t="b">
        <f t="shared" si="216"/>
        <v>1</v>
      </c>
    </row>
    <row r="2732" spans="1:29" x14ac:dyDescent="0.25">
      <c r="A2732" s="1">
        <v>993.42200000000003</v>
      </c>
      <c r="B2732">
        <v>4</v>
      </c>
      <c r="D2732" s="2">
        <v>100662.2</v>
      </c>
      <c r="E2732">
        <v>17113</v>
      </c>
      <c r="F2732" t="s">
        <v>15</v>
      </c>
      <c r="G2732" t="s">
        <v>50</v>
      </c>
      <c r="H2732">
        <v>117775</v>
      </c>
      <c r="I2732" t="s">
        <v>17</v>
      </c>
      <c r="J2732" t="s">
        <v>50</v>
      </c>
      <c r="K2732">
        <v>17113.189999999999</v>
      </c>
      <c r="L2732">
        <v>117775.3</v>
      </c>
      <c r="M2732">
        <v>28</v>
      </c>
      <c r="Y2732" s="1">
        <f t="shared" si="212"/>
        <v>993.42200000000003</v>
      </c>
      <c r="Z2732" s="2">
        <f t="shared" si="213"/>
        <v>100662.2</v>
      </c>
      <c r="AA2732" s="2">
        <f t="shared" si="214"/>
        <v>100662.15565993103</v>
      </c>
      <c r="AB2732" s="1">
        <f t="shared" si="215"/>
        <v>0.10066434791052092</v>
      </c>
      <c r="AC2732" s="1" t="b">
        <f t="shared" si="216"/>
        <v>1</v>
      </c>
    </row>
    <row r="2733" spans="1:29" x14ac:dyDescent="0.25">
      <c r="A2733" s="1">
        <v>992.16899999999998</v>
      </c>
      <c r="B2733">
        <v>5</v>
      </c>
      <c r="D2733" s="2">
        <v>100789.3</v>
      </c>
      <c r="E2733">
        <v>0</v>
      </c>
      <c r="F2733" t="s">
        <v>17</v>
      </c>
      <c r="G2733" t="s">
        <v>16</v>
      </c>
      <c r="H2733">
        <v>100788</v>
      </c>
      <c r="I2733" t="s">
        <v>15</v>
      </c>
      <c r="J2733" t="s">
        <v>18</v>
      </c>
      <c r="K2733">
        <v>0</v>
      </c>
      <c r="L2733">
        <v>100788.95</v>
      </c>
      <c r="M2733">
        <v>28</v>
      </c>
      <c r="Y2733" s="1">
        <f t="shared" si="212"/>
        <v>992.16899999999998</v>
      </c>
      <c r="Z2733" s="2">
        <f t="shared" si="213"/>
        <v>100789.3</v>
      </c>
      <c r="AA2733" s="2">
        <f t="shared" si="214"/>
        <v>100789.28085840215</v>
      </c>
      <c r="AB2733" s="1">
        <f t="shared" si="215"/>
        <v>0.10079239567976936</v>
      </c>
      <c r="AC2733" s="1" t="b">
        <f t="shared" si="216"/>
        <v>1</v>
      </c>
    </row>
    <row r="2734" spans="1:29" x14ac:dyDescent="0.25">
      <c r="A2734" s="1">
        <v>992.08500000000004</v>
      </c>
      <c r="B2734">
        <v>30</v>
      </c>
      <c r="D2734" s="2">
        <v>100797.8</v>
      </c>
      <c r="E2734">
        <v>19700</v>
      </c>
      <c r="F2734" t="s">
        <v>15</v>
      </c>
      <c r="G2734" t="s">
        <v>23</v>
      </c>
      <c r="H2734">
        <v>120498</v>
      </c>
      <c r="I2734" t="s">
        <v>17</v>
      </c>
      <c r="J2734" t="s">
        <v>50</v>
      </c>
      <c r="K2734">
        <v>19700.900000000001</v>
      </c>
      <c r="L2734">
        <v>120498.7</v>
      </c>
      <c r="M2734">
        <v>28</v>
      </c>
      <c r="Y2734" s="1">
        <f t="shared" si="212"/>
        <v>992.08500000000004</v>
      </c>
      <c r="Z2734" s="2">
        <f t="shared" si="213"/>
        <v>100797.8</v>
      </c>
      <c r="AA2734" s="2">
        <f t="shared" si="214"/>
        <v>100797.81470337723</v>
      </c>
      <c r="AB2734" s="1">
        <f t="shared" si="215"/>
        <v>0.10080099724488185</v>
      </c>
      <c r="AC2734" s="1" t="b">
        <f t="shared" si="216"/>
        <v>1</v>
      </c>
    </row>
    <row r="2735" spans="1:29" x14ac:dyDescent="0.25">
      <c r="A2735" s="1">
        <v>990.75</v>
      </c>
      <c r="B2735">
        <v>5</v>
      </c>
      <c r="D2735" s="2">
        <v>100933.6</v>
      </c>
      <c r="E2735">
        <v>12846</v>
      </c>
      <c r="F2735" t="s">
        <v>15</v>
      </c>
      <c r="G2735" t="s">
        <v>16</v>
      </c>
      <c r="H2735">
        <v>113780</v>
      </c>
      <c r="I2735" t="s">
        <v>17</v>
      </c>
      <c r="J2735" t="s">
        <v>16</v>
      </c>
      <c r="K2735">
        <v>12846.66</v>
      </c>
      <c r="L2735">
        <v>113780.5</v>
      </c>
      <c r="M2735">
        <v>28</v>
      </c>
      <c r="Y2735" s="1">
        <f t="shared" si="212"/>
        <v>990.75</v>
      </c>
      <c r="Z2735" s="2">
        <f t="shared" si="213"/>
        <v>100933.6</v>
      </c>
      <c r="AA2735" s="2">
        <f t="shared" si="214"/>
        <v>100933.63613424174</v>
      </c>
      <c r="AB2735" s="1">
        <f t="shared" si="215"/>
        <v>0.10093799451639755</v>
      </c>
      <c r="AC2735" s="1" t="b">
        <f t="shared" si="216"/>
        <v>1</v>
      </c>
    </row>
    <row r="2736" spans="1:29" x14ac:dyDescent="0.25">
      <c r="A2736" s="1">
        <v>989.62699999999995</v>
      </c>
      <c r="B2736">
        <v>2</v>
      </c>
      <c r="D2736" s="2">
        <v>101048.2</v>
      </c>
      <c r="M2736">
        <v>28</v>
      </c>
      <c r="Y2736" s="1">
        <f t="shared" si="212"/>
        <v>989.62699999999995</v>
      </c>
      <c r="Z2736" s="2">
        <f t="shared" si="213"/>
        <v>101048.2</v>
      </c>
      <c r="AA2736" s="2">
        <f t="shared" si="214"/>
        <v>101048.17269536907</v>
      </c>
      <c r="AB2736" s="1">
        <f t="shared" si="215"/>
        <v>0.10105366602536567</v>
      </c>
      <c r="AC2736" s="1" t="b">
        <f t="shared" si="216"/>
        <v>1</v>
      </c>
    </row>
    <row r="2737" spans="1:29" x14ac:dyDescent="0.25">
      <c r="A2737" s="1">
        <v>989.38099999999997</v>
      </c>
      <c r="B2737">
        <v>20</v>
      </c>
      <c r="D2737" s="2">
        <v>101073.3</v>
      </c>
      <c r="E2737">
        <v>14859</v>
      </c>
      <c r="F2737" t="s">
        <v>15</v>
      </c>
      <c r="G2737" t="s">
        <v>23</v>
      </c>
      <c r="H2737">
        <v>115933</v>
      </c>
      <c r="I2737" t="s">
        <v>17</v>
      </c>
      <c r="J2737" t="s">
        <v>23</v>
      </c>
      <c r="K2737">
        <v>14859.96</v>
      </c>
      <c r="L2737">
        <v>115933.2</v>
      </c>
      <c r="M2737">
        <v>28</v>
      </c>
      <c r="Y2737" s="1">
        <f t="shared" si="212"/>
        <v>989.38099999999997</v>
      </c>
      <c r="Z2737" s="2">
        <f t="shared" si="213"/>
        <v>101073.3</v>
      </c>
      <c r="AA2737" s="2">
        <f t="shared" si="214"/>
        <v>101073.29734450126</v>
      </c>
      <c r="AB2737" s="1">
        <f t="shared" si="215"/>
        <v>0.10107905718044984</v>
      </c>
      <c r="AC2737" s="1" t="b">
        <f t="shared" si="216"/>
        <v>1</v>
      </c>
    </row>
    <row r="2738" spans="1:29" x14ac:dyDescent="0.25">
      <c r="A2738" s="1">
        <v>988.35299999999995</v>
      </c>
      <c r="B2738">
        <v>2</v>
      </c>
      <c r="D2738" s="2">
        <v>101178.4</v>
      </c>
      <c r="M2738">
        <v>28</v>
      </c>
      <c r="Y2738" s="1">
        <f t="shared" si="212"/>
        <v>988.35299999999995</v>
      </c>
      <c r="Z2738" s="2">
        <f t="shared" si="213"/>
        <v>101178.4</v>
      </c>
      <c r="AA2738" s="2">
        <f t="shared" si="214"/>
        <v>101178.42511734169</v>
      </c>
      <c r="AB2738" s="1">
        <f t="shared" si="215"/>
        <v>0.10118536854612759</v>
      </c>
      <c r="AC2738" s="1" t="b">
        <f t="shared" si="216"/>
        <v>1</v>
      </c>
    </row>
    <row r="2739" spans="1:29" x14ac:dyDescent="0.25">
      <c r="A2739" s="1">
        <v>988.00099999999998</v>
      </c>
      <c r="B2739">
        <v>60</v>
      </c>
      <c r="D2739" s="2">
        <v>101214.5</v>
      </c>
      <c r="E2739">
        <v>27138</v>
      </c>
      <c r="F2739" t="s">
        <v>15</v>
      </c>
      <c r="G2739" t="s">
        <v>18</v>
      </c>
      <c r="H2739">
        <v>128352</v>
      </c>
      <c r="I2739" t="s">
        <v>17</v>
      </c>
      <c r="J2739" t="s">
        <v>16</v>
      </c>
      <c r="K2739">
        <v>27138.55</v>
      </c>
      <c r="L2739">
        <v>128352.8</v>
      </c>
      <c r="M2739">
        <v>28</v>
      </c>
      <c r="Y2739" s="1">
        <f t="shared" si="212"/>
        <v>988.00099999999998</v>
      </c>
      <c r="Z2739" s="2">
        <f t="shared" si="213"/>
        <v>101214.5</v>
      </c>
      <c r="AA2739" s="2">
        <f t="shared" si="214"/>
        <v>101214.47245498739</v>
      </c>
      <c r="AB2739" s="1">
        <f t="shared" si="215"/>
        <v>0.10122184717170701</v>
      </c>
      <c r="AC2739" s="1" t="b">
        <f t="shared" si="216"/>
        <v>1</v>
      </c>
    </row>
    <row r="2740" spans="1:29" x14ac:dyDescent="0.25">
      <c r="A2740" s="1">
        <v>987.96</v>
      </c>
      <c r="B2740">
        <v>3</v>
      </c>
      <c r="D2740" s="2">
        <v>101218.7</v>
      </c>
      <c r="E2740">
        <v>1398</v>
      </c>
      <c r="F2740" t="s">
        <v>17</v>
      </c>
      <c r="G2740" t="s">
        <v>23</v>
      </c>
      <c r="H2740">
        <v>102617</v>
      </c>
      <c r="I2740" t="s">
        <v>15</v>
      </c>
      <c r="J2740" t="s">
        <v>23</v>
      </c>
      <c r="K2740">
        <v>1398.34</v>
      </c>
      <c r="L2740">
        <v>102617.24</v>
      </c>
      <c r="M2740">
        <v>28</v>
      </c>
      <c r="Y2740" s="1">
        <f t="shared" si="212"/>
        <v>987.96</v>
      </c>
      <c r="Z2740" s="2">
        <f t="shared" si="213"/>
        <v>101218.7</v>
      </c>
      <c r="AA2740" s="2">
        <f t="shared" si="214"/>
        <v>101218.67282076197</v>
      </c>
      <c r="AB2740" s="1">
        <f t="shared" si="215"/>
        <v>0.10122609863798229</v>
      </c>
      <c r="AC2740" s="1" t="b">
        <f t="shared" si="216"/>
        <v>1</v>
      </c>
    </row>
    <row r="2741" spans="1:29" x14ac:dyDescent="0.25">
      <c r="A2741" s="1">
        <v>987.34400000000005</v>
      </c>
      <c r="B2741">
        <v>4</v>
      </c>
      <c r="D2741" s="2">
        <v>101281.8</v>
      </c>
      <c r="M2741">
        <v>28</v>
      </c>
      <c r="Y2741" s="1">
        <f t="shared" si="212"/>
        <v>987.34400000000005</v>
      </c>
      <c r="Z2741" s="2">
        <f t="shared" si="213"/>
        <v>101281.8</v>
      </c>
      <c r="AA2741" s="2">
        <f t="shared" si="214"/>
        <v>101281.82274870764</v>
      </c>
      <c r="AB2741" s="1">
        <f t="shared" si="215"/>
        <v>0.10129003809650317</v>
      </c>
      <c r="AC2741" s="1" t="b">
        <f t="shared" si="216"/>
        <v>1</v>
      </c>
    </row>
    <row r="2742" spans="1:29" x14ac:dyDescent="0.25">
      <c r="A2742" s="1">
        <v>987.02300000000002</v>
      </c>
      <c r="B2742">
        <v>2</v>
      </c>
      <c r="D2742" s="2">
        <v>101314.8</v>
      </c>
      <c r="E2742">
        <v>27138</v>
      </c>
      <c r="F2742" t="s">
        <v>15</v>
      </c>
      <c r="G2742" t="s">
        <v>18</v>
      </c>
      <c r="H2742">
        <v>128453</v>
      </c>
      <c r="I2742" t="s">
        <v>17</v>
      </c>
      <c r="J2742" t="s">
        <v>18</v>
      </c>
      <c r="K2742">
        <v>27138.55</v>
      </c>
      <c r="L2742">
        <v>128453.2</v>
      </c>
      <c r="M2742">
        <v>28</v>
      </c>
      <c r="Y2742" s="1">
        <f t="shared" si="212"/>
        <v>987.02300000000002</v>
      </c>
      <c r="Z2742" s="2">
        <f t="shared" si="213"/>
        <v>101314.8</v>
      </c>
      <c r="AA2742" s="2">
        <f t="shared" si="214"/>
        <v>101314.76166208893</v>
      </c>
      <c r="AB2742" s="1">
        <f t="shared" si="215"/>
        <v>0.10132340465322942</v>
      </c>
      <c r="AC2742" s="1" t="b">
        <f t="shared" si="216"/>
        <v>1</v>
      </c>
    </row>
    <row r="2743" spans="1:29" x14ac:dyDescent="0.25">
      <c r="A2743" s="1">
        <v>985.88</v>
      </c>
      <c r="B2743">
        <v>2</v>
      </c>
      <c r="D2743" s="2">
        <v>101432.2</v>
      </c>
      <c r="E2743">
        <v>1398</v>
      </c>
      <c r="F2743" t="s">
        <v>17</v>
      </c>
      <c r="G2743" t="s">
        <v>23</v>
      </c>
      <c r="H2743">
        <v>102830</v>
      </c>
      <c r="I2743" t="s">
        <v>15</v>
      </c>
      <c r="J2743" t="s">
        <v>16</v>
      </c>
      <c r="K2743">
        <v>1398.34</v>
      </c>
      <c r="L2743">
        <v>102830.43</v>
      </c>
      <c r="M2743">
        <v>28</v>
      </c>
      <c r="Y2743" s="1">
        <f t="shared" si="212"/>
        <v>985.88</v>
      </c>
      <c r="Z2743" s="2">
        <f t="shared" si="213"/>
        <v>101432.2</v>
      </c>
      <c r="AA2743" s="2">
        <f t="shared" si="214"/>
        <v>101432.22298859902</v>
      </c>
      <c r="AB2743" s="1">
        <f t="shared" si="215"/>
        <v>0.10144247930204438</v>
      </c>
      <c r="AC2743" s="1" t="b">
        <f t="shared" si="216"/>
        <v>1</v>
      </c>
    </row>
    <row r="2744" spans="1:29" x14ac:dyDescent="0.25">
      <c r="A2744" s="1">
        <v>985.12</v>
      </c>
      <c r="B2744">
        <v>3</v>
      </c>
      <c r="D2744" s="2">
        <v>101510.5</v>
      </c>
      <c r="E2744">
        <v>19872</v>
      </c>
      <c r="F2744" t="s">
        <v>15</v>
      </c>
      <c r="G2744" t="s">
        <v>18</v>
      </c>
      <c r="H2744">
        <v>121382</v>
      </c>
      <c r="I2744" t="s">
        <v>17</v>
      </c>
      <c r="J2744" t="s">
        <v>16</v>
      </c>
      <c r="K2744">
        <v>19872.43</v>
      </c>
      <c r="L2744">
        <v>121382.6</v>
      </c>
      <c r="M2744">
        <v>28</v>
      </c>
      <c r="Y2744" s="1">
        <f t="shared" si="212"/>
        <v>985.12</v>
      </c>
      <c r="Z2744" s="2">
        <f t="shared" si="213"/>
        <v>101510.5</v>
      </c>
      <c r="AA2744" s="2">
        <f t="shared" si="214"/>
        <v>101510.47588111094</v>
      </c>
      <c r="AB2744" s="1">
        <f t="shared" si="215"/>
        <v>0.10152188356804803</v>
      </c>
      <c r="AC2744" s="1" t="b">
        <f t="shared" si="216"/>
        <v>1</v>
      </c>
    </row>
    <row r="2745" spans="1:29" x14ac:dyDescent="0.25">
      <c r="A2745" s="1">
        <v>983.92700000000002</v>
      </c>
      <c r="B2745">
        <v>3</v>
      </c>
      <c r="D2745" s="2">
        <v>101633.60000000001</v>
      </c>
      <c r="M2745">
        <v>28</v>
      </c>
      <c r="Y2745" s="1">
        <f t="shared" si="212"/>
        <v>983.92700000000002</v>
      </c>
      <c r="Z2745" s="2">
        <f t="shared" si="213"/>
        <v>101633.60000000001</v>
      </c>
      <c r="AA2745" s="2">
        <f t="shared" si="214"/>
        <v>101633.55614796626</v>
      </c>
      <c r="AB2745" s="1">
        <f t="shared" si="215"/>
        <v>0.10164689867640905</v>
      </c>
      <c r="AC2745" s="1" t="b">
        <f t="shared" si="216"/>
        <v>1</v>
      </c>
    </row>
    <row r="2746" spans="1:29" x14ac:dyDescent="0.25">
      <c r="A2746" s="1">
        <v>983.46100000000001</v>
      </c>
      <c r="B2746">
        <v>8</v>
      </c>
      <c r="D2746" s="2">
        <v>101681.7</v>
      </c>
      <c r="E2746">
        <v>19700</v>
      </c>
      <c r="F2746" t="s">
        <v>15</v>
      </c>
      <c r="G2746" t="s">
        <v>23</v>
      </c>
      <c r="H2746">
        <v>121382</v>
      </c>
      <c r="I2746" t="s">
        <v>17</v>
      </c>
      <c r="J2746" t="s">
        <v>16</v>
      </c>
      <c r="K2746">
        <v>19700.900000000001</v>
      </c>
      <c r="L2746">
        <v>121382.6</v>
      </c>
      <c r="M2746">
        <v>28</v>
      </c>
      <c r="Y2746" s="1">
        <f t="shared" si="212"/>
        <v>983.46100000000001</v>
      </c>
      <c r="Z2746" s="2">
        <f t="shared" si="213"/>
        <v>101681.7</v>
      </c>
      <c r="AA2746" s="2">
        <f t="shared" si="214"/>
        <v>101681.71386562355</v>
      </c>
      <c r="AB2746" s="1">
        <f t="shared" si="215"/>
        <v>0.10169585467325271</v>
      </c>
      <c r="AC2746" s="1" t="b">
        <f t="shared" si="216"/>
        <v>1</v>
      </c>
    </row>
    <row r="2747" spans="1:29" x14ac:dyDescent="0.25">
      <c r="A2747" s="1">
        <v>982.79600000000005</v>
      </c>
      <c r="B2747">
        <v>4</v>
      </c>
      <c r="D2747" s="2">
        <v>101750.5</v>
      </c>
      <c r="E2747">
        <v>14558</v>
      </c>
      <c r="F2747" t="s">
        <v>15</v>
      </c>
      <c r="G2747" t="s">
        <v>16</v>
      </c>
      <c r="H2747">
        <v>116309</v>
      </c>
      <c r="I2747" t="s">
        <v>17</v>
      </c>
      <c r="J2747" t="s">
        <v>23</v>
      </c>
      <c r="K2747">
        <v>14558.82</v>
      </c>
      <c r="L2747">
        <v>116309.2</v>
      </c>
      <c r="M2747">
        <v>28</v>
      </c>
      <c r="Y2747" s="1">
        <f t="shared" si="212"/>
        <v>982.79600000000005</v>
      </c>
      <c r="Z2747" s="2">
        <f t="shared" si="213"/>
        <v>101750.5</v>
      </c>
      <c r="AA2747" s="2">
        <f t="shared" si="214"/>
        <v>101750.51587511548</v>
      </c>
      <c r="AB2747" s="1">
        <f t="shared" si="215"/>
        <v>0.10176583740426065</v>
      </c>
      <c r="AC2747" s="1" t="b">
        <f t="shared" si="216"/>
        <v>1</v>
      </c>
    </row>
    <row r="2748" spans="1:29" x14ac:dyDescent="0.25">
      <c r="A2748" s="1">
        <v>982.70899999999995</v>
      </c>
      <c r="B2748">
        <v>20</v>
      </c>
      <c r="D2748" s="2">
        <v>101759.5</v>
      </c>
      <c r="E2748">
        <v>19360</v>
      </c>
      <c r="F2748" t="s">
        <v>15</v>
      </c>
      <c r="G2748" t="s">
        <v>50</v>
      </c>
      <c r="H2748">
        <v>121119</v>
      </c>
      <c r="I2748" t="s">
        <v>17</v>
      </c>
      <c r="J2748" t="s">
        <v>57</v>
      </c>
      <c r="K2748">
        <v>19360.099999999999</v>
      </c>
      <c r="L2748">
        <v>121119.2</v>
      </c>
      <c r="M2748">
        <v>28</v>
      </c>
      <c r="Y2748" s="1">
        <f t="shared" si="212"/>
        <v>982.70899999999995</v>
      </c>
      <c r="Z2748" s="2">
        <f t="shared" si="213"/>
        <v>101759.5</v>
      </c>
      <c r="AA2748" s="2">
        <f t="shared" si="214"/>
        <v>101759.52392824326</v>
      </c>
      <c r="AB2748" s="1">
        <f t="shared" si="215"/>
        <v>0.10177500355051355</v>
      </c>
      <c r="AC2748" s="1" t="b">
        <f t="shared" si="216"/>
        <v>1</v>
      </c>
    </row>
    <row r="2749" spans="1:29" x14ac:dyDescent="0.25">
      <c r="A2749" s="1">
        <v>982.34</v>
      </c>
      <c r="B2749">
        <v>1</v>
      </c>
      <c r="D2749" s="2">
        <v>101797.8</v>
      </c>
      <c r="E2749">
        <v>15525</v>
      </c>
      <c r="F2749" t="s">
        <v>15</v>
      </c>
      <c r="G2749" t="s">
        <v>23</v>
      </c>
      <c r="H2749">
        <v>117323</v>
      </c>
      <c r="I2749" t="s">
        <v>17</v>
      </c>
      <c r="J2749" t="s">
        <v>23</v>
      </c>
      <c r="K2749">
        <v>15525.5</v>
      </c>
      <c r="L2749">
        <v>117323.1</v>
      </c>
      <c r="M2749">
        <v>28</v>
      </c>
      <c r="Y2749" s="1">
        <f t="shared" si="212"/>
        <v>982.34</v>
      </c>
      <c r="Z2749" s="2">
        <f t="shared" si="213"/>
        <v>101797.8</v>
      </c>
      <c r="AA2749" s="2">
        <f t="shared" si="214"/>
        <v>101797.74823380906</v>
      </c>
      <c r="AB2749" s="1">
        <f t="shared" si="215"/>
        <v>0.1018139077273699</v>
      </c>
      <c r="AC2749" s="1" t="b">
        <f t="shared" si="216"/>
        <v>1</v>
      </c>
    </row>
    <row r="2750" spans="1:29" x14ac:dyDescent="0.25">
      <c r="A2750" s="1">
        <v>979.899</v>
      </c>
      <c r="B2750">
        <v>1</v>
      </c>
      <c r="D2750" s="2">
        <v>102051.3</v>
      </c>
      <c r="E2750">
        <v>13352</v>
      </c>
      <c r="F2750" t="s">
        <v>15</v>
      </c>
      <c r="G2750" t="s">
        <v>23</v>
      </c>
      <c r="H2750">
        <v>115403</v>
      </c>
      <c r="I2750" t="s">
        <v>17</v>
      </c>
      <c r="J2750" t="s">
        <v>23</v>
      </c>
      <c r="K2750">
        <v>13352.1</v>
      </c>
      <c r="L2750">
        <v>115403.3</v>
      </c>
      <c r="M2750">
        <v>28</v>
      </c>
      <c r="Y2750" s="1">
        <f t="shared" si="212"/>
        <v>979.899</v>
      </c>
      <c r="Z2750" s="2">
        <f t="shared" si="213"/>
        <v>102051.3</v>
      </c>
      <c r="AA2750" s="2">
        <f t="shared" si="214"/>
        <v>102051.33386195924</v>
      </c>
      <c r="AB2750" s="1">
        <f t="shared" si="215"/>
        <v>0.10207237371502534</v>
      </c>
      <c r="AC2750" s="1" t="b">
        <f t="shared" si="216"/>
        <v>1</v>
      </c>
    </row>
    <row r="2751" spans="1:29" x14ac:dyDescent="0.25">
      <c r="A2751" s="1">
        <v>979.69399999999996</v>
      </c>
      <c r="B2751">
        <v>2</v>
      </c>
      <c r="D2751" s="2">
        <v>102072.7</v>
      </c>
      <c r="M2751">
        <v>28</v>
      </c>
      <c r="Y2751" s="1">
        <f t="shared" si="212"/>
        <v>979.69399999999996</v>
      </c>
      <c r="Z2751" s="2">
        <f t="shared" si="213"/>
        <v>102072.7</v>
      </c>
      <c r="AA2751" s="2">
        <f t="shared" si="214"/>
        <v>102072.6880025804</v>
      </c>
      <c r="AB2751" s="1">
        <f t="shared" si="215"/>
        <v>0.10209416818036061</v>
      </c>
      <c r="AC2751" s="1" t="b">
        <f t="shared" si="216"/>
        <v>1</v>
      </c>
    </row>
    <row r="2752" spans="1:29" x14ac:dyDescent="0.25">
      <c r="A2752" s="1">
        <v>979.21799999999996</v>
      </c>
      <c r="B2752">
        <v>1</v>
      </c>
      <c r="C2752" t="s">
        <v>27</v>
      </c>
      <c r="D2752" s="2">
        <v>102122.3</v>
      </c>
      <c r="E2752">
        <v>19308</v>
      </c>
      <c r="F2752" t="s">
        <v>15</v>
      </c>
      <c r="G2752" t="s">
        <v>23</v>
      </c>
      <c r="H2752">
        <v>121431</v>
      </c>
      <c r="I2752" t="s">
        <v>17</v>
      </c>
      <c r="J2752" t="s">
        <v>50</v>
      </c>
      <c r="K2752">
        <v>19308.93</v>
      </c>
      <c r="L2752">
        <v>121431.2</v>
      </c>
      <c r="M2752">
        <v>28</v>
      </c>
      <c r="Y2752" s="1">
        <f t="shared" si="212"/>
        <v>979.21799999999996</v>
      </c>
      <c r="Z2752" s="2">
        <f t="shared" si="213"/>
        <v>102122.3</v>
      </c>
      <c r="AA2752" s="2">
        <f t="shared" si="214"/>
        <v>102122.30575826834</v>
      </c>
      <c r="AB2752" s="1">
        <f t="shared" si="215"/>
        <v>0.10214482666692623</v>
      </c>
      <c r="AC2752" s="1" t="b">
        <f t="shared" si="216"/>
        <v>1</v>
      </c>
    </row>
    <row r="2753" spans="1:29" x14ac:dyDescent="0.25">
      <c r="A2753" s="1">
        <v>979.21799999999996</v>
      </c>
      <c r="B2753">
        <v>1</v>
      </c>
      <c r="C2753" t="s">
        <v>27</v>
      </c>
      <c r="D2753" s="2">
        <v>102122.3</v>
      </c>
      <c r="E2753">
        <v>26446</v>
      </c>
      <c r="F2753" t="s">
        <v>15</v>
      </c>
      <c r="G2753" t="s">
        <v>18</v>
      </c>
      <c r="H2753">
        <v>128568</v>
      </c>
      <c r="I2753" t="s">
        <v>17</v>
      </c>
      <c r="J2753" t="s">
        <v>16</v>
      </c>
      <c r="K2753">
        <v>26446.97</v>
      </c>
      <c r="L2753">
        <v>128568.6</v>
      </c>
      <c r="M2753">
        <v>28</v>
      </c>
      <c r="Y2753" s="1">
        <f t="shared" si="212"/>
        <v>979.21799999999996</v>
      </c>
      <c r="Z2753" s="2">
        <f t="shared" si="213"/>
        <v>102122.3</v>
      </c>
      <c r="AA2753" s="2">
        <f t="shared" si="214"/>
        <v>102122.30575826834</v>
      </c>
      <c r="AB2753" s="1">
        <f t="shared" si="215"/>
        <v>0.10214482666692623</v>
      </c>
      <c r="AC2753" s="1" t="b">
        <f t="shared" si="216"/>
        <v>1</v>
      </c>
    </row>
    <row r="2754" spans="1:29" x14ac:dyDescent="0.25">
      <c r="A2754" s="1">
        <v>978.00099999999998</v>
      </c>
      <c r="B2754">
        <v>4</v>
      </c>
      <c r="D2754" s="2">
        <v>102249.4</v>
      </c>
      <c r="E2754">
        <v>15525</v>
      </c>
      <c r="F2754" t="s">
        <v>15</v>
      </c>
      <c r="G2754" t="s">
        <v>23</v>
      </c>
      <c r="H2754">
        <v>117775</v>
      </c>
      <c r="I2754" t="s">
        <v>17</v>
      </c>
      <c r="J2754" t="s">
        <v>50</v>
      </c>
      <c r="K2754">
        <v>15525.5</v>
      </c>
      <c r="L2754">
        <v>117775.3</v>
      </c>
      <c r="M2754">
        <v>28</v>
      </c>
      <c r="Y2754" s="1">
        <f t="shared" si="212"/>
        <v>978.00099999999998</v>
      </c>
      <c r="Z2754" s="2">
        <f t="shared" si="213"/>
        <v>102249.4</v>
      </c>
      <c r="AA2754" s="2">
        <f t="shared" si="214"/>
        <v>102249.38420308364</v>
      </c>
      <c r="AB2754" s="1">
        <f t="shared" si="215"/>
        <v>0.10227468284954906</v>
      </c>
      <c r="AC2754" s="1" t="b">
        <f t="shared" si="216"/>
        <v>1</v>
      </c>
    </row>
    <row r="2755" spans="1:29" x14ac:dyDescent="0.25">
      <c r="A2755" s="1">
        <v>977.928</v>
      </c>
      <c r="B2755">
        <v>7</v>
      </c>
      <c r="D2755" s="2">
        <v>102257</v>
      </c>
      <c r="E2755">
        <v>18241</v>
      </c>
      <c r="F2755" t="s">
        <v>15</v>
      </c>
      <c r="G2755" t="s">
        <v>23</v>
      </c>
      <c r="H2755">
        <v>120498</v>
      </c>
      <c r="I2755" t="s">
        <v>17</v>
      </c>
      <c r="J2755" t="s">
        <v>50</v>
      </c>
      <c r="K2755">
        <v>18241.54</v>
      </c>
      <c r="L2755">
        <v>120498.7</v>
      </c>
      <c r="M2755">
        <v>28</v>
      </c>
      <c r="Y2755" s="1">
        <f t="shared" ref="Y2755:Y2818" si="217">ROUND($A2755,3)+0</f>
        <v>977.928</v>
      </c>
      <c r="Z2755" s="2">
        <f t="shared" ref="Z2755:Z2818" si="218">ROUND($D2755,1)+0</f>
        <v>102257</v>
      </c>
      <c r="AA2755" s="2">
        <f t="shared" ref="AA2755:AA2818" si="219">100000000/Y2755</f>
        <v>102257.01687649806</v>
      </c>
      <c r="AB2755" s="1">
        <f t="shared" ref="AB2755:AB2818" si="220">0.0005/$Y2755*AA2755+0.05</f>
        <v>0.10228248750240204</v>
      </c>
      <c r="AC2755" s="1" t="b">
        <f t="shared" ref="AC2755:AC2818" si="221">ABS(Z2755-AA2755)&lt;AB2755</f>
        <v>1</v>
      </c>
    </row>
    <row r="2756" spans="1:29" x14ac:dyDescent="0.25">
      <c r="A2756" s="1">
        <v>976.67600000000004</v>
      </c>
      <c r="B2756">
        <v>10</v>
      </c>
      <c r="D2756" s="2">
        <v>102388.1</v>
      </c>
      <c r="E2756">
        <v>14859</v>
      </c>
      <c r="F2756" t="s">
        <v>15</v>
      </c>
      <c r="G2756" t="s">
        <v>23</v>
      </c>
      <c r="H2756">
        <v>117248</v>
      </c>
      <c r="I2756" t="s">
        <v>17</v>
      </c>
      <c r="J2756" t="s">
        <v>50</v>
      </c>
      <c r="K2756">
        <v>14859.96</v>
      </c>
      <c r="L2756">
        <v>117248.2</v>
      </c>
      <c r="M2756">
        <v>28</v>
      </c>
      <c r="Y2756" s="1">
        <f t="shared" si="217"/>
        <v>976.67600000000004</v>
      </c>
      <c r="Z2756" s="2">
        <f t="shared" si="218"/>
        <v>102388.1</v>
      </c>
      <c r="AA2756" s="2">
        <f t="shared" si="219"/>
        <v>102388.10004546031</v>
      </c>
      <c r="AB2756" s="1">
        <f t="shared" si="220"/>
        <v>0.10241661515459595</v>
      </c>
      <c r="AC2756" s="1" t="b">
        <f t="shared" si="221"/>
        <v>1</v>
      </c>
    </row>
    <row r="2757" spans="1:29" x14ac:dyDescent="0.25">
      <c r="A2757" s="1">
        <v>974.23099999999999</v>
      </c>
      <c r="B2757">
        <v>2</v>
      </c>
      <c r="D2757" s="2">
        <v>102645.1</v>
      </c>
      <c r="M2757">
        <v>28</v>
      </c>
      <c r="Y2757" s="1">
        <f t="shared" si="217"/>
        <v>974.23099999999999</v>
      </c>
      <c r="Z2757" s="2">
        <f t="shared" si="218"/>
        <v>102645.1</v>
      </c>
      <c r="AA2757" s="2">
        <f t="shared" si="219"/>
        <v>102645.06056571798</v>
      </c>
      <c r="AB2757" s="1">
        <f t="shared" si="220"/>
        <v>0.10268004229269957</v>
      </c>
      <c r="AC2757" s="1" t="b">
        <f t="shared" si="221"/>
        <v>1</v>
      </c>
    </row>
    <row r="2758" spans="1:29" x14ac:dyDescent="0.25">
      <c r="A2758" s="1">
        <v>973.1</v>
      </c>
      <c r="B2758">
        <v>3</v>
      </c>
      <c r="D2758" s="2">
        <v>102764.4</v>
      </c>
      <c r="E2758">
        <v>14558</v>
      </c>
      <c r="F2758" t="s">
        <v>15</v>
      </c>
      <c r="G2758" t="s">
        <v>16</v>
      </c>
      <c r="H2758">
        <v>117323</v>
      </c>
      <c r="I2758" t="s">
        <v>17</v>
      </c>
      <c r="J2758" t="s">
        <v>23</v>
      </c>
      <c r="K2758">
        <v>14558.82</v>
      </c>
      <c r="L2758">
        <v>117323.1</v>
      </c>
      <c r="M2758">
        <v>28</v>
      </c>
      <c r="Y2758" s="1">
        <f t="shared" si="217"/>
        <v>973.1</v>
      </c>
      <c r="Z2758" s="2">
        <f t="shared" si="218"/>
        <v>102764.4</v>
      </c>
      <c r="AA2758" s="2">
        <f t="shared" si="219"/>
        <v>102764.36131949439</v>
      </c>
      <c r="AB2758" s="1">
        <f t="shared" si="220"/>
        <v>0.10280256978701799</v>
      </c>
      <c r="AC2758" s="1" t="b">
        <f t="shared" si="221"/>
        <v>1</v>
      </c>
    </row>
    <row r="2759" spans="1:29" x14ac:dyDescent="0.25">
      <c r="A2759" s="1">
        <v>972.26300000000003</v>
      </c>
      <c r="B2759">
        <v>1</v>
      </c>
      <c r="D2759" s="2">
        <v>102852.8</v>
      </c>
      <c r="M2759">
        <v>28</v>
      </c>
      <c r="Y2759" s="1">
        <f t="shared" si="217"/>
        <v>972.26300000000003</v>
      </c>
      <c r="Z2759" s="2">
        <f t="shared" si="218"/>
        <v>102852.8</v>
      </c>
      <c r="AA2759" s="2">
        <f t="shared" si="219"/>
        <v>102852.82891563291</v>
      </c>
      <c r="AB2759" s="1">
        <f t="shared" si="220"/>
        <v>0.10289352207974227</v>
      </c>
      <c r="AC2759" s="1" t="b">
        <f t="shared" si="221"/>
        <v>1</v>
      </c>
    </row>
    <row r="2760" spans="1:29" x14ac:dyDescent="0.25">
      <c r="A2760" s="1">
        <v>972.14800000000002</v>
      </c>
      <c r="B2760">
        <v>2</v>
      </c>
      <c r="D2760" s="2">
        <v>102865</v>
      </c>
      <c r="M2760">
        <v>28</v>
      </c>
      <c r="Y2760" s="1">
        <f t="shared" si="217"/>
        <v>972.14800000000002</v>
      </c>
      <c r="Z2760" s="2">
        <f t="shared" si="218"/>
        <v>102865</v>
      </c>
      <c r="AA2760" s="2">
        <f t="shared" si="219"/>
        <v>102864.99586482716</v>
      </c>
      <c r="AB2760" s="1">
        <f t="shared" si="220"/>
        <v>0.10290603687135455</v>
      </c>
      <c r="AC2760" s="1" t="b">
        <f t="shared" si="221"/>
        <v>1</v>
      </c>
    </row>
    <row r="2761" spans="1:29" x14ac:dyDescent="0.25">
      <c r="A2761" s="1">
        <v>971.67499999999995</v>
      </c>
      <c r="B2761">
        <v>10</v>
      </c>
      <c r="D2761" s="2">
        <v>102915.1</v>
      </c>
      <c r="E2761">
        <v>14859</v>
      </c>
      <c r="F2761" t="s">
        <v>15</v>
      </c>
      <c r="G2761" t="s">
        <v>23</v>
      </c>
      <c r="H2761">
        <v>117775</v>
      </c>
      <c r="I2761" t="s">
        <v>17</v>
      </c>
      <c r="J2761" t="s">
        <v>50</v>
      </c>
      <c r="K2761">
        <v>14859.96</v>
      </c>
      <c r="L2761">
        <v>117775.3</v>
      </c>
      <c r="M2761">
        <v>28</v>
      </c>
      <c r="Y2761" s="1">
        <f t="shared" si="217"/>
        <v>971.67499999999995</v>
      </c>
      <c r="Z2761" s="2">
        <f t="shared" si="218"/>
        <v>102915.1</v>
      </c>
      <c r="AA2761" s="2">
        <f t="shared" si="219"/>
        <v>102915.06933902798</v>
      </c>
      <c r="AB2761" s="1">
        <f t="shared" si="220"/>
        <v>0.10295755748528468</v>
      </c>
      <c r="AC2761" s="1" t="b">
        <f t="shared" si="221"/>
        <v>1</v>
      </c>
    </row>
    <row r="2762" spans="1:29" x14ac:dyDescent="0.25">
      <c r="A2762" s="1">
        <v>971.35799999999995</v>
      </c>
      <c r="B2762">
        <v>1</v>
      </c>
      <c r="D2762" s="2">
        <v>102948.6</v>
      </c>
      <c r="M2762">
        <v>28</v>
      </c>
      <c r="Y2762" s="1">
        <f t="shared" si="217"/>
        <v>971.35799999999995</v>
      </c>
      <c r="Z2762" s="2">
        <f t="shared" si="218"/>
        <v>102948.6</v>
      </c>
      <c r="AA2762" s="2">
        <f t="shared" si="219"/>
        <v>102948.65538761199</v>
      </c>
      <c r="AB2762" s="1">
        <f t="shared" si="220"/>
        <v>0.10299212823058645</v>
      </c>
      <c r="AC2762" s="1" t="b">
        <f t="shared" si="221"/>
        <v>1</v>
      </c>
    </row>
    <row r="2763" spans="1:29" x14ac:dyDescent="0.25">
      <c r="A2763" s="1">
        <v>970.72699999999998</v>
      </c>
      <c r="B2763">
        <v>5</v>
      </c>
      <c r="D2763" s="2">
        <v>103015.6</v>
      </c>
      <c r="E2763">
        <v>14558</v>
      </c>
      <c r="F2763" t="s">
        <v>15</v>
      </c>
      <c r="G2763" t="s">
        <v>16</v>
      </c>
      <c r="H2763">
        <v>117574</v>
      </c>
      <c r="I2763" t="s">
        <v>17</v>
      </c>
      <c r="J2763" t="s">
        <v>23</v>
      </c>
      <c r="K2763">
        <v>14558.82</v>
      </c>
      <c r="L2763">
        <v>117574.5</v>
      </c>
      <c r="M2763">
        <v>28</v>
      </c>
      <c r="Y2763" s="1">
        <f t="shared" si="217"/>
        <v>970.72699999999998</v>
      </c>
      <c r="Z2763" s="2">
        <f t="shared" si="218"/>
        <v>103015.6</v>
      </c>
      <c r="AA2763" s="2">
        <f t="shared" si="219"/>
        <v>103015.57492477288</v>
      </c>
      <c r="AB2763" s="1">
        <f t="shared" si="220"/>
        <v>0.10306104338540747</v>
      </c>
      <c r="AC2763" s="1" t="b">
        <f t="shared" si="221"/>
        <v>1</v>
      </c>
    </row>
    <row r="2764" spans="1:29" x14ac:dyDescent="0.25">
      <c r="A2764" s="1">
        <v>970.06500000000005</v>
      </c>
      <c r="B2764">
        <v>10</v>
      </c>
      <c r="D2764" s="2">
        <v>103085.9</v>
      </c>
      <c r="M2764">
        <v>28</v>
      </c>
      <c r="Y2764" s="1">
        <f t="shared" si="217"/>
        <v>970.06500000000005</v>
      </c>
      <c r="Z2764" s="2">
        <f t="shared" si="218"/>
        <v>103085.9</v>
      </c>
      <c r="AA2764" s="2">
        <f t="shared" si="219"/>
        <v>103085.8756887425</v>
      </c>
      <c r="AB2764" s="1">
        <f t="shared" si="220"/>
        <v>0.10313348883257437</v>
      </c>
      <c r="AC2764" s="1" t="b">
        <f t="shared" si="221"/>
        <v>1</v>
      </c>
    </row>
    <row r="2765" spans="1:29" x14ac:dyDescent="0.25">
      <c r="A2765" s="1">
        <v>969.09</v>
      </c>
      <c r="B2765">
        <v>20</v>
      </c>
      <c r="D2765" s="2">
        <v>103189.6</v>
      </c>
      <c r="E2765">
        <v>18241</v>
      </c>
      <c r="F2765" t="s">
        <v>15</v>
      </c>
      <c r="G2765" t="s">
        <v>23</v>
      </c>
      <c r="H2765">
        <v>121431</v>
      </c>
      <c r="I2765" t="s">
        <v>17</v>
      </c>
      <c r="J2765" t="s">
        <v>50</v>
      </c>
      <c r="K2765">
        <v>18241.54</v>
      </c>
      <c r="L2765">
        <v>121431.2</v>
      </c>
      <c r="M2765">
        <v>28</v>
      </c>
      <c r="Y2765" s="1">
        <f t="shared" si="217"/>
        <v>969.09</v>
      </c>
      <c r="Z2765" s="2">
        <f t="shared" si="218"/>
        <v>103189.6</v>
      </c>
      <c r="AA2765" s="2">
        <f t="shared" si="219"/>
        <v>103189.59023413718</v>
      </c>
      <c r="AB2765" s="1">
        <f t="shared" si="220"/>
        <v>0.10324045766344569</v>
      </c>
      <c r="AC2765" s="1" t="b">
        <f t="shared" si="221"/>
        <v>1</v>
      </c>
    </row>
    <row r="2766" spans="1:29" x14ac:dyDescent="0.25">
      <c r="A2766" s="1">
        <v>968.14</v>
      </c>
      <c r="B2766">
        <v>2</v>
      </c>
      <c r="D2766" s="2">
        <v>103290.8</v>
      </c>
      <c r="E2766">
        <v>18241</v>
      </c>
      <c r="F2766" t="s">
        <v>15</v>
      </c>
      <c r="G2766" t="s">
        <v>23</v>
      </c>
      <c r="H2766">
        <v>121532</v>
      </c>
      <c r="I2766" t="s">
        <v>17</v>
      </c>
      <c r="J2766" t="s">
        <v>23</v>
      </c>
      <c r="K2766">
        <v>18241.54</v>
      </c>
      <c r="L2766">
        <v>121532.5</v>
      </c>
      <c r="M2766">
        <v>28</v>
      </c>
      <c r="Y2766" s="1">
        <f t="shared" si="217"/>
        <v>968.14</v>
      </c>
      <c r="Z2766" s="2">
        <f t="shared" si="218"/>
        <v>103290.8</v>
      </c>
      <c r="AA2766" s="2">
        <f t="shared" si="219"/>
        <v>103290.84636519512</v>
      </c>
      <c r="AB2766" s="1">
        <f t="shared" si="220"/>
        <v>0.10334499471419172</v>
      </c>
      <c r="AC2766" s="1" t="b">
        <f t="shared" si="221"/>
        <v>1</v>
      </c>
    </row>
    <row r="2767" spans="1:29" x14ac:dyDescent="0.25">
      <c r="A2767" s="1">
        <v>966.53099999999995</v>
      </c>
      <c r="B2767">
        <v>2</v>
      </c>
      <c r="D2767" s="2">
        <v>103462.8</v>
      </c>
      <c r="E2767">
        <v>12846</v>
      </c>
      <c r="F2767" t="s">
        <v>15</v>
      </c>
      <c r="G2767" t="s">
        <v>16</v>
      </c>
      <c r="H2767">
        <v>116309</v>
      </c>
      <c r="I2767" t="s">
        <v>17</v>
      </c>
      <c r="J2767" t="s">
        <v>23</v>
      </c>
      <c r="K2767">
        <v>12846.66</v>
      </c>
      <c r="L2767">
        <v>116309.2</v>
      </c>
      <c r="M2767">
        <v>28</v>
      </c>
      <c r="Y2767" s="1">
        <f t="shared" si="217"/>
        <v>966.53099999999995</v>
      </c>
      <c r="Z2767" s="2">
        <f t="shared" si="218"/>
        <v>103462.8</v>
      </c>
      <c r="AA2767" s="2">
        <f t="shared" si="219"/>
        <v>103462.79633038155</v>
      </c>
      <c r="AB2767" s="1">
        <f t="shared" si="220"/>
        <v>0.10352275112251007</v>
      </c>
      <c r="AC2767" s="1" t="b">
        <f t="shared" si="221"/>
        <v>1</v>
      </c>
    </row>
    <row r="2768" spans="1:29" x14ac:dyDescent="0.25">
      <c r="A2768" s="1">
        <v>965.31299999999999</v>
      </c>
      <c r="B2768">
        <v>10</v>
      </c>
      <c r="D2768" s="2">
        <v>103593.3</v>
      </c>
      <c r="E2768">
        <v>24788</v>
      </c>
      <c r="F2768" t="s">
        <v>15</v>
      </c>
      <c r="G2768" t="s">
        <v>16</v>
      </c>
      <c r="H2768">
        <v>128381</v>
      </c>
      <c r="I2768" t="s">
        <v>17</v>
      </c>
      <c r="J2768" t="s">
        <v>23</v>
      </c>
      <c r="K2768">
        <v>24788.02</v>
      </c>
      <c r="L2768">
        <v>128381.6</v>
      </c>
      <c r="M2768">
        <v>28</v>
      </c>
      <c r="Y2768" s="1">
        <f t="shared" si="217"/>
        <v>965.31299999999999</v>
      </c>
      <c r="Z2768" s="2">
        <f t="shared" si="218"/>
        <v>103593.3</v>
      </c>
      <c r="AA2768" s="2">
        <f t="shared" si="219"/>
        <v>103593.34226307944</v>
      </c>
      <c r="AB2768" s="1">
        <f t="shared" si="220"/>
        <v>0.10365790280617759</v>
      </c>
      <c r="AC2768" s="1" t="b">
        <f t="shared" si="221"/>
        <v>1</v>
      </c>
    </row>
    <row r="2769" spans="1:29" x14ac:dyDescent="0.25">
      <c r="A2769" s="1">
        <v>964.53099999999995</v>
      </c>
      <c r="B2769">
        <v>1</v>
      </c>
      <c r="D2769" s="2">
        <v>103677.3</v>
      </c>
      <c r="M2769">
        <v>28</v>
      </c>
      <c r="Y2769" s="1">
        <f t="shared" si="217"/>
        <v>964.53099999999995</v>
      </c>
      <c r="Z2769" s="2">
        <f t="shared" si="218"/>
        <v>103677.3</v>
      </c>
      <c r="AA2769" s="2">
        <f t="shared" si="219"/>
        <v>103677.33126255144</v>
      </c>
      <c r="AB2769" s="1">
        <f t="shared" si="220"/>
        <v>0.10374494508862414</v>
      </c>
      <c r="AC2769" s="1" t="b">
        <f t="shared" si="221"/>
        <v>1</v>
      </c>
    </row>
    <row r="2770" spans="1:29" x14ac:dyDescent="0.25">
      <c r="A2770" s="1">
        <v>963.84900000000005</v>
      </c>
      <c r="B2770">
        <v>10</v>
      </c>
      <c r="D2770" s="2">
        <v>103750.7</v>
      </c>
      <c r="E2770">
        <v>14859</v>
      </c>
      <c r="F2770" t="s">
        <v>15</v>
      </c>
      <c r="G2770" t="s">
        <v>23</v>
      </c>
      <c r="H2770">
        <v>118610</v>
      </c>
      <c r="I2770" t="s">
        <v>17</v>
      </c>
      <c r="J2770" t="s">
        <v>50</v>
      </c>
      <c r="K2770">
        <v>14859.96</v>
      </c>
      <c r="L2770">
        <v>118610.9</v>
      </c>
      <c r="M2770">
        <v>28</v>
      </c>
      <c r="Y2770" s="1">
        <f t="shared" si="217"/>
        <v>963.84900000000005</v>
      </c>
      <c r="Z2770" s="2">
        <f t="shared" si="218"/>
        <v>103750.7</v>
      </c>
      <c r="AA2770" s="2">
        <f t="shared" si="219"/>
        <v>103750.69123898038</v>
      </c>
      <c r="AB2770" s="1">
        <f t="shared" si="220"/>
        <v>0.1038210296628312</v>
      </c>
      <c r="AC2770" s="1" t="b">
        <f t="shared" si="221"/>
        <v>1</v>
      </c>
    </row>
    <row r="2771" spans="1:29" x14ac:dyDescent="0.25">
      <c r="A2771" s="1">
        <v>954.85699999999997</v>
      </c>
      <c r="B2771">
        <v>8</v>
      </c>
      <c r="D2771" s="2">
        <v>104727.7</v>
      </c>
      <c r="E2771">
        <v>12846</v>
      </c>
      <c r="F2771" t="s">
        <v>15</v>
      </c>
      <c r="G2771" t="s">
        <v>16</v>
      </c>
      <c r="H2771">
        <v>117574</v>
      </c>
      <c r="I2771" t="s">
        <v>17</v>
      </c>
      <c r="J2771" t="s">
        <v>23</v>
      </c>
      <c r="K2771">
        <v>12846.66</v>
      </c>
      <c r="L2771">
        <v>117574.5</v>
      </c>
      <c r="M2771">
        <v>28</v>
      </c>
      <c r="Y2771" s="1">
        <f t="shared" si="217"/>
        <v>954.85699999999997</v>
      </c>
      <c r="Z2771" s="2">
        <f t="shared" si="218"/>
        <v>104727.7</v>
      </c>
      <c r="AA2771" s="2">
        <f t="shared" si="219"/>
        <v>104727.72362772646</v>
      </c>
      <c r="AB2771" s="1">
        <f t="shared" si="220"/>
        <v>0.10483948048122727</v>
      </c>
      <c r="AC2771" s="1" t="b">
        <f t="shared" si="221"/>
        <v>1</v>
      </c>
    </row>
    <row r="2772" spans="1:29" x14ac:dyDescent="0.25">
      <c r="A2772" s="1">
        <v>936.29600000000005</v>
      </c>
      <c r="B2772">
        <v>5</v>
      </c>
      <c r="D2772" s="2">
        <v>106803.8</v>
      </c>
      <c r="M2772">
        <v>28</v>
      </c>
      <c r="Y2772" s="1">
        <f t="shared" si="217"/>
        <v>936.29600000000005</v>
      </c>
      <c r="Z2772" s="2">
        <f t="shared" si="218"/>
        <v>106803.8</v>
      </c>
      <c r="AA2772" s="2">
        <f t="shared" si="219"/>
        <v>106803.8312670352</v>
      </c>
      <c r="AB2772" s="1">
        <f t="shared" si="220"/>
        <v>0.10703529186658664</v>
      </c>
      <c r="AC2772" s="1" t="b">
        <f t="shared" si="221"/>
        <v>1</v>
      </c>
    </row>
    <row r="2773" spans="1:29" x14ac:dyDescent="0.25">
      <c r="A2773" s="1">
        <v>935.04600000000005</v>
      </c>
      <c r="B2773">
        <v>3</v>
      </c>
      <c r="D2773" s="2">
        <v>106946.6</v>
      </c>
      <c r="M2773">
        <v>28</v>
      </c>
      <c r="Y2773" s="1">
        <f t="shared" si="217"/>
        <v>935.04600000000005</v>
      </c>
      <c r="Z2773" s="2">
        <f t="shared" si="218"/>
        <v>106946.6</v>
      </c>
      <c r="AA2773" s="2">
        <f t="shared" si="219"/>
        <v>106946.61011329923</v>
      </c>
      <c r="AB2773" s="1">
        <f t="shared" si="220"/>
        <v>0.10718788707363019</v>
      </c>
      <c r="AC2773" s="1" t="b">
        <f t="shared" si="221"/>
        <v>1</v>
      </c>
    </row>
    <row r="2774" spans="1:29" x14ac:dyDescent="0.25">
      <c r="A2774" s="1">
        <v>934.97</v>
      </c>
      <c r="B2774">
        <v>5</v>
      </c>
      <c r="D2774" s="2">
        <v>106955.3</v>
      </c>
      <c r="M2774">
        <v>28</v>
      </c>
      <c r="Y2774" s="1">
        <f t="shared" si="217"/>
        <v>934.97</v>
      </c>
      <c r="Z2774" s="2">
        <f t="shared" si="218"/>
        <v>106955.3</v>
      </c>
      <c r="AA2774" s="2">
        <f t="shared" si="219"/>
        <v>106955.30337871803</v>
      </c>
      <c r="AB2774" s="1">
        <f t="shared" si="220"/>
        <v>0.10719718460416808</v>
      </c>
      <c r="AC2774" s="1" t="b">
        <f t="shared" si="221"/>
        <v>1</v>
      </c>
    </row>
    <row r="2775" spans="1:29" x14ac:dyDescent="0.25">
      <c r="A2775" s="1">
        <v>934.07399999999996</v>
      </c>
      <c r="B2775">
        <v>2</v>
      </c>
      <c r="D2775" s="2">
        <v>107057.9</v>
      </c>
      <c r="E2775">
        <v>21294</v>
      </c>
      <c r="F2775" t="s">
        <v>15</v>
      </c>
      <c r="G2775" t="s">
        <v>18</v>
      </c>
      <c r="H2775">
        <v>128352</v>
      </c>
      <c r="I2775" t="s">
        <v>17</v>
      </c>
      <c r="J2775" t="s">
        <v>16</v>
      </c>
      <c r="K2775">
        <v>21294.89</v>
      </c>
      <c r="L2775">
        <v>128352.8</v>
      </c>
      <c r="M2775">
        <v>28</v>
      </c>
      <c r="Y2775" s="1">
        <f t="shared" si="217"/>
        <v>934.07399999999996</v>
      </c>
      <c r="Z2775" s="2">
        <f t="shared" si="218"/>
        <v>107057.9</v>
      </c>
      <c r="AA2775" s="2">
        <f t="shared" si="219"/>
        <v>107057.89905296583</v>
      </c>
      <c r="AB2775" s="1">
        <f t="shared" si="220"/>
        <v>0.10730696874817511</v>
      </c>
      <c r="AC2775" s="1" t="b">
        <f t="shared" si="221"/>
        <v>1</v>
      </c>
    </row>
    <row r="2776" spans="1:29" x14ac:dyDescent="0.25">
      <c r="A2776" s="1">
        <v>932.19600000000003</v>
      </c>
      <c r="B2776">
        <v>3</v>
      </c>
      <c r="D2776" s="2">
        <v>107273.60000000001</v>
      </c>
      <c r="E2776">
        <v>21294</v>
      </c>
      <c r="F2776" t="s">
        <v>15</v>
      </c>
      <c r="G2776" t="s">
        <v>18</v>
      </c>
      <c r="H2776">
        <v>128568</v>
      </c>
      <c r="I2776" t="s">
        <v>17</v>
      </c>
      <c r="J2776" t="s">
        <v>16</v>
      </c>
      <c r="K2776">
        <v>21294.89</v>
      </c>
      <c r="L2776">
        <v>128568.6</v>
      </c>
      <c r="M2776">
        <v>28</v>
      </c>
      <c r="Y2776" s="1">
        <f t="shared" si="217"/>
        <v>932.19600000000003</v>
      </c>
      <c r="Z2776" s="2">
        <f t="shared" si="218"/>
        <v>107273.60000000001</v>
      </c>
      <c r="AA2776" s="2">
        <f t="shared" si="219"/>
        <v>107273.57765963381</v>
      </c>
      <c r="AB2776" s="1">
        <f t="shared" si="220"/>
        <v>0.10753810231948743</v>
      </c>
      <c r="AC2776" s="1" t="b">
        <f t="shared" si="221"/>
        <v>1</v>
      </c>
    </row>
    <row r="2777" spans="1:29" x14ac:dyDescent="0.25">
      <c r="A2777" s="1">
        <v>931.15300000000002</v>
      </c>
      <c r="B2777">
        <v>40</v>
      </c>
      <c r="D2777" s="2">
        <v>107393.7</v>
      </c>
      <c r="E2777">
        <v>25979</v>
      </c>
      <c r="F2777" t="s">
        <v>15</v>
      </c>
      <c r="G2777" t="s">
        <v>57</v>
      </c>
      <c r="H2777">
        <v>133373</v>
      </c>
      <c r="I2777" t="s">
        <v>17</v>
      </c>
      <c r="J2777" t="s">
        <v>528</v>
      </c>
      <c r="K2777">
        <v>25979.34</v>
      </c>
      <c r="L2777">
        <v>133373</v>
      </c>
      <c r="M2777">
        <v>28</v>
      </c>
      <c r="Y2777" s="1">
        <f t="shared" si="217"/>
        <v>931.15300000000002</v>
      </c>
      <c r="Z2777" s="2">
        <f t="shared" si="218"/>
        <v>107393.7</v>
      </c>
      <c r="AA2777" s="2">
        <f t="shared" si="219"/>
        <v>107393.73658249504</v>
      </c>
      <c r="AB2777" s="1">
        <f t="shared" si="220"/>
        <v>0.10766707328575166</v>
      </c>
      <c r="AC2777" s="1" t="b">
        <f t="shared" si="221"/>
        <v>1</v>
      </c>
    </row>
    <row r="2778" spans="1:29" x14ac:dyDescent="0.25">
      <c r="A2778" s="1">
        <v>920.00300000000004</v>
      </c>
      <c r="B2778">
        <v>1</v>
      </c>
      <c r="D2778" s="2">
        <v>108695.3</v>
      </c>
      <c r="M2778">
        <v>28</v>
      </c>
      <c r="Y2778" s="1">
        <f t="shared" si="217"/>
        <v>920.00300000000004</v>
      </c>
      <c r="Z2778" s="2">
        <f t="shared" si="218"/>
        <v>108695.3</v>
      </c>
      <c r="AA2778" s="2">
        <f t="shared" si="219"/>
        <v>108695.29773272478</v>
      </c>
      <c r="AB2778" s="1">
        <f t="shared" si="220"/>
        <v>0.10907333874602843</v>
      </c>
      <c r="AC2778" s="1" t="b">
        <f t="shared" si="221"/>
        <v>1</v>
      </c>
    </row>
    <row r="2779" spans="1:29" x14ac:dyDescent="0.25">
      <c r="A2779" s="1">
        <v>914.63499999999999</v>
      </c>
      <c r="B2779">
        <v>1</v>
      </c>
      <c r="D2779" s="2">
        <v>109333.2</v>
      </c>
      <c r="M2779">
        <v>28</v>
      </c>
      <c r="Y2779" s="1">
        <f t="shared" si="217"/>
        <v>914.63499999999999</v>
      </c>
      <c r="Z2779" s="2">
        <f t="shared" si="218"/>
        <v>109333.2</v>
      </c>
      <c r="AA2779" s="2">
        <f t="shared" si="219"/>
        <v>109333.23128898413</v>
      </c>
      <c r="AB2779" s="1">
        <f t="shared" si="220"/>
        <v>0.10976877732045248</v>
      </c>
      <c r="AC2779" s="1" t="b">
        <f t="shared" si="221"/>
        <v>1</v>
      </c>
    </row>
    <row r="2780" spans="1:29" x14ac:dyDescent="0.25">
      <c r="A2780" s="1">
        <v>913.82500000000005</v>
      </c>
      <c r="B2780">
        <v>60</v>
      </c>
      <c r="D2780" s="2">
        <v>109430.1</v>
      </c>
      <c r="M2780">
        <v>28</v>
      </c>
      <c r="Y2780" s="1">
        <f t="shared" si="217"/>
        <v>913.82500000000005</v>
      </c>
      <c r="Z2780" s="2">
        <f t="shared" si="218"/>
        <v>109430.1</v>
      </c>
      <c r="AA2780" s="2">
        <f t="shared" si="219"/>
        <v>109430.14253276064</v>
      </c>
      <c r="AB2780" s="1">
        <f t="shared" si="220"/>
        <v>0.10987478047370156</v>
      </c>
      <c r="AC2780" s="1" t="b">
        <f t="shared" si="221"/>
        <v>1</v>
      </c>
    </row>
    <row r="2781" spans="1:29" x14ac:dyDescent="0.25">
      <c r="A2781" s="1">
        <v>912.34</v>
      </c>
      <c r="B2781">
        <v>1</v>
      </c>
      <c r="D2781" s="2">
        <v>109608.3</v>
      </c>
      <c r="M2781">
        <v>28</v>
      </c>
      <c r="Y2781" s="1">
        <f t="shared" si="217"/>
        <v>912.34</v>
      </c>
      <c r="Z2781" s="2">
        <f t="shared" si="218"/>
        <v>109608.3</v>
      </c>
      <c r="AA2781" s="2">
        <f t="shared" si="219"/>
        <v>109608.26007847951</v>
      </c>
      <c r="AB2781" s="1">
        <f t="shared" si="220"/>
        <v>0.11006985338715802</v>
      </c>
      <c r="AC2781" s="1" t="b">
        <f t="shared" si="221"/>
        <v>1</v>
      </c>
    </row>
    <row r="2782" spans="1:29" x14ac:dyDescent="0.25">
      <c r="A2782" s="1">
        <v>909.89400000000001</v>
      </c>
      <c r="B2782">
        <v>4</v>
      </c>
      <c r="D2782" s="2">
        <v>109902.9</v>
      </c>
      <c r="M2782">
        <v>28</v>
      </c>
      <c r="Y2782" s="1">
        <f t="shared" si="217"/>
        <v>909.89400000000001</v>
      </c>
      <c r="Z2782" s="2">
        <f t="shared" si="218"/>
        <v>109902.9</v>
      </c>
      <c r="AA2782" s="2">
        <f t="shared" si="219"/>
        <v>109902.91176774437</v>
      </c>
      <c r="AB2782" s="1">
        <f t="shared" si="220"/>
        <v>0.11039325007514303</v>
      </c>
      <c r="AC2782" s="1" t="b">
        <f t="shared" si="221"/>
        <v>1</v>
      </c>
    </row>
    <row r="2783" spans="1:29" x14ac:dyDescent="0.25">
      <c r="A2783" s="1">
        <v>907.10299999999995</v>
      </c>
      <c r="B2783">
        <v>1</v>
      </c>
      <c r="D2783" s="2">
        <v>110241.1</v>
      </c>
      <c r="E2783">
        <v>18211</v>
      </c>
      <c r="F2783" t="s">
        <v>15</v>
      </c>
      <c r="G2783" t="s">
        <v>28</v>
      </c>
      <c r="H2783">
        <v>128453</v>
      </c>
      <c r="I2783" t="s">
        <v>17</v>
      </c>
      <c r="J2783" t="s">
        <v>18</v>
      </c>
      <c r="K2783">
        <v>18211.759999999998</v>
      </c>
      <c r="L2783">
        <v>128453.2</v>
      </c>
      <c r="M2783">
        <v>28</v>
      </c>
      <c r="Y2783" s="1">
        <f t="shared" si="217"/>
        <v>907.10299999999995</v>
      </c>
      <c r="Z2783" s="2">
        <f t="shared" si="218"/>
        <v>110241.1</v>
      </c>
      <c r="AA2783" s="2">
        <f t="shared" si="219"/>
        <v>110241.06413494388</v>
      </c>
      <c r="AB2783" s="1">
        <f t="shared" si="220"/>
        <v>0.11076546110802407</v>
      </c>
      <c r="AC2783" s="1" t="b">
        <f t="shared" si="221"/>
        <v>1</v>
      </c>
    </row>
    <row r="2784" spans="1:29" x14ac:dyDescent="0.25">
      <c r="A2784" s="1">
        <v>904.38599999999997</v>
      </c>
      <c r="B2784">
        <v>2</v>
      </c>
      <c r="D2784" s="2">
        <v>110572.2</v>
      </c>
      <c r="M2784">
        <v>28</v>
      </c>
      <c r="Y2784" s="1">
        <f t="shared" si="217"/>
        <v>904.38599999999997</v>
      </c>
      <c r="Z2784" s="2">
        <f t="shared" si="218"/>
        <v>110572.2</v>
      </c>
      <c r="AA2784" s="2">
        <f t="shared" si="219"/>
        <v>110572.25565190085</v>
      </c>
      <c r="AB2784" s="1">
        <f t="shared" si="220"/>
        <v>0.11113111859974661</v>
      </c>
      <c r="AC2784" s="1" t="b">
        <f t="shared" si="221"/>
        <v>1</v>
      </c>
    </row>
    <row r="2785" spans="1:29" x14ac:dyDescent="0.25">
      <c r="A2785" s="1">
        <v>903.76599999999996</v>
      </c>
      <c r="B2785">
        <v>2</v>
      </c>
      <c r="D2785" s="2">
        <v>110648.1</v>
      </c>
      <c r="M2785">
        <v>28</v>
      </c>
      <c r="Y2785" s="1">
        <f t="shared" si="217"/>
        <v>903.76599999999996</v>
      </c>
      <c r="Z2785" s="2">
        <f t="shared" si="218"/>
        <v>110648.1</v>
      </c>
      <c r="AA2785" s="2">
        <f t="shared" si="219"/>
        <v>110648.11024092521</v>
      </c>
      <c r="AB2785" s="1">
        <f t="shared" si="220"/>
        <v>0.11121502149943968</v>
      </c>
      <c r="AC2785" s="1" t="b">
        <f t="shared" si="221"/>
        <v>1</v>
      </c>
    </row>
    <row r="2786" spans="1:29" x14ac:dyDescent="0.25">
      <c r="A2786" s="1">
        <v>902.99900000000002</v>
      </c>
      <c r="B2786">
        <v>3</v>
      </c>
      <c r="D2786" s="2">
        <v>110742.1</v>
      </c>
      <c r="M2786">
        <v>28</v>
      </c>
      <c r="Y2786" s="1">
        <f t="shared" si="217"/>
        <v>902.99900000000002</v>
      </c>
      <c r="Z2786" s="2">
        <f t="shared" si="218"/>
        <v>110742.1</v>
      </c>
      <c r="AA2786" s="2">
        <f t="shared" si="219"/>
        <v>110742.09384506516</v>
      </c>
      <c r="AB2786" s="1">
        <f t="shared" si="220"/>
        <v>0.11131905674594611</v>
      </c>
      <c r="AC2786" s="1" t="b">
        <f t="shared" si="221"/>
        <v>1</v>
      </c>
    </row>
    <row r="2787" spans="1:29" x14ac:dyDescent="0.25">
      <c r="A2787" s="1">
        <v>896.17200000000003</v>
      </c>
      <c r="B2787">
        <v>1</v>
      </c>
      <c r="D2787" s="2">
        <v>111585.7</v>
      </c>
      <c r="M2787">
        <v>28</v>
      </c>
      <c r="Y2787" s="1">
        <f t="shared" si="217"/>
        <v>896.17200000000003</v>
      </c>
      <c r="Z2787" s="2">
        <f t="shared" si="218"/>
        <v>111585.7</v>
      </c>
      <c r="AA2787" s="2">
        <f t="shared" si="219"/>
        <v>111585.72238364957</v>
      </c>
      <c r="AB2787" s="1">
        <f t="shared" si="220"/>
        <v>0.11225686719940456</v>
      </c>
      <c r="AC2787" s="1" t="b">
        <f t="shared" si="221"/>
        <v>1</v>
      </c>
    </row>
    <row r="2788" spans="1:29" x14ac:dyDescent="0.25">
      <c r="A2788" s="1">
        <v>894.64700000000005</v>
      </c>
      <c r="B2788">
        <v>3</v>
      </c>
      <c r="D2788" s="2">
        <v>111775.9</v>
      </c>
      <c r="M2788">
        <v>28</v>
      </c>
      <c r="Y2788" s="1">
        <f t="shared" si="217"/>
        <v>894.64700000000005</v>
      </c>
      <c r="Z2788" s="2">
        <f t="shared" si="218"/>
        <v>111775.9</v>
      </c>
      <c r="AA2788" s="2">
        <f t="shared" si="219"/>
        <v>111775.92950068574</v>
      </c>
      <c r="AB2788" s="1">
        <f t="shared" si="220"/>
        <v>0.11246929207871134</v>
      </c>
      <c r="AC2788" s="1" t="b">
        <f t="shared" si="221"/>
        <v>1</v>
      </c>
    </row>
    <row r="2789" spans="1:29" x14ac:dyDescent="0.25">
      <c r="A2789" s="1">
        <v>890.27599999999995</v>
      </c>
      <c r="B2789">
        <v>1</v>
      </c>
      <c r="D2789" s="2">
        <v>112324.7</v>
      </c>
      <c r="M2789">
        <v>28</v>
      </c>
      <c r="Y2789" s="1">
        <f t="shared" si="217"/>
        <v>890.27599999999995</v>
      </c>
      <c r="Z2789" s="2">
        <f t="shared" si="218"/>
        <v>112324.7</v>
      </c>
      <c r="AA2789" s="2">
        <f t="shared" si="219"/>
        <v>112324.71727868661</v>
      </c>
      <c r="AB2789" s="1">
        <f t="shared" si="220"/>
        <v>0.11308421055868441</v>
      </c>
      <c r="AC2789" s="1" t="b">
        <f t="shared" si="221"/>
        <v>1</v>
      </c>
    </row>
    <row r="2790" spans="1:29" x14ac:dyDescent="0.25">
      <c r="A2790" s="1">
        <v>889.29600000000005</v>
      </c>
      <c r="B2790">
        <v>2</v>
      </c>
      <c r="D2790" s="2">
        <v>112448.5</v>
      </c>
      <c r="M2790">
        <v>28</v>
      </c>
      <c r="Y2790" s="1">
        <f t="shared" si="217"/>
        <v>889.29600000000005</v>
      </c>
      <c r="Z2790" s="2">
        <f t="shared" si="218"/>
        <v>112448.5</v>
      </c>
      <c r="AA2790" s="2">
        <f t="shared" si="219"/>
        <v>112448.49858764686</v>
      </c>
      <c r="AB2790" s="1">
        <f t="shared" si="220"/>
        <v>0.11322332417308008</v>
      </c>
      <c r="AC2790" s="1" t="b">
        <f t="shared" si="221"/>
        <v>1</v>
      </c>
    </row>
    <row r="2791" spans="1:29" x14ac:dyDescent="0.25">
      <c r="A2791" s="1">
        <v>888.25699999999995</v>
      </c>
      <c r="B2791">
        <v>1</v>
      </c>
      <c r="D2791" s="2">
        <v>112580</v>
      </c>
      <c r="M2791">
        <v>28</v>
      </c>
      <c r="Y2791" s="1">
        <f t="shared" si="217"/>
        <v>888.25699999999995</v>
      </c>
      <c r="Z2791" s="2">
        <f t="shared" si="218"/>
        <v>112580</v>
      </c>
      <c r="AA2791" s="2">
        <f t="shared" si="219"/>
        <v>112580.03032906017</v>
      </c>
      <c r="AB2791" s="1">
        <f t="shared" si="220"/>
        <v>0.11337131614446055</v>
      </c>
      <c r="AC2791" s="1" t="b">
        <f t="shared" si="221"/>
        <v>1</v>
      </c>
    </row>
    <row r="2792" spans="1:29" x14ac:dyDescent="0.25">
      <c r="A2792" s="1">
        <v>887.36</v>
      </c>
      <c r="B2792">
        <v>4</v>
      </c>
      <c r="D2792" s="2">
        <v>112693.8</v>
      </c>
      <c r="M2792">
        <v>28</v>
      </c>
      <c r="Y2792" s="1">
        <f t="shared" si="217"/>
        <v>887.36</v>
      </c>
      <c r="Z2792" s="2">
        <f t="shared" si="218"/>
        <v>112693.8</v>
      </c>
      <c r="AA2792" s="2">
        <f t="shared" si="219"/>
        <v>112693.83339343671</v>
      </c>
      <c r="AB2792" s="1">
        <f t="shared" si="220"/>
        <v>0.11349950042453837</v>
      </c>
      <c r="AC2792" s="1" t="b">
        <f t="shared" si="221"/>
        <v>1</v>
      </c>
    </row>
    <row r="2793" spans="1:29" x14ac:dyDescent="0.25">
      <c r="A2793" s="1">
        <v>886.23299999999995</v>
      </c>
      <c r="B2793">
        <v>2</v>
      </c>
      <c r="D2793" s="2">
        <v>112837.1</v>
      </c>
      <c r="M2793">
        <v>28</v>
      </c>
      <c r="Y2793" s="1">
        <f t="shared" si="217"/>
        <v>886.23299999999995</v>
      </c>
      <c r="Z2793" s="2">
        <f t="shared" si="218"/>
        <v>112837.1</v>
      </c>
      <c r="AA2793" s="2">
        <f t="shared" si="219"/>
        <v>112837.14327947618</v>
      </c>
      <c r="AB2793" s="1">
        <f t="shared" si="220"/>
        <v>0.11366110451736518</v>
      </c>
      <c r="AC2793" s="1" t="b">
        <f t="shared" si="221"/>
        <v>1</v>
      </c>
    </row>
    <row r="2794" spans="1:29" x14ac:dyDescent="0.25">
      <c r="A2794" s="1">
        <v>885.57500000000005</v>
      </c>
      <c r="B2794">
        <v>2</v>
      </c>
      <c r="D2794" s="2">
        <v>112921</v>
      </c>
      <c r="M2794">
        <v>28</v>
      </c>
      <c r="Y2794" s="1">
        <f t="shared" si="217"/>
        <v>885.57500000000005</v>
      </c>
      <c r="Z2794" s="2">
        <f t="shared" si="218"/>
        <v>112921</v>
      </c>
      <c r="AA2794" s="2">
        <f t="shared" si="219"/>
        <v>112920.98354176665</v>
      </c>
      <c r="AB2794" s="1">
        <f t="shared" si="220"/>
        <v>0.11375574262019966</v>
      </c>
      <c r="AC2794" s="1" t="b">
        <f t="shared" si="221"/>
        <v>1</v>
      </c>
    </row>
    <row r="2795" spans="1:29" x14ac:dyDescent="0.25">
      <c r="A2795" s="1">
        <v>885.279</v>
      </c>
      <c r="B2795">
        <v>20</v>
      </c>
      <c r="D2795" s="2">
        <v>112958.7</v>
      </c>
      <c r="M2795">
        <v>28</v>
      </c>
      <c r="Y2795" s="1">
        <f t="shared" si="217"/>
        <v>885.279</v>
      </c>
      <c r="Z2795" s="2">
        <f t="shared" si="218"/>
        <v>112958.7</v>
      </c>
      <c r="AA2795" s="2">
        <f t="shared" si="219"/>
        <v>112958.73956120048</v>
      </c>
      <c r="AB2795" s="1">
        <f t="shared" si="220"/>
        <v>0.1137983842162756</v>
      </c>
      <c r="AC2795" s="1" t="b">
        <f t="shared" si="221"/>
        <v>1</v>
      </c>
    </row>
    <row r="2796" spans="1:29" x14ac:dyDescent="0.25">
      <c r="A2796" s="1">
        <v>884.15800000000002</v>
      </c>
      <c r="B2796">
        <v>40</v>
      </c>
      <c r="D2796" s="2">
        <v>113102</v>
      </c>
      <c r="M2796">
        <v>28</v>
      </c>
      <c r="Y2796" s="1">
        <f t="shared" si="217"/>
        <v>884.15800000000002</v>
      </c>
      <c r="Z2796" s="2">
        <f t="shared" si="218"/>
        <v>113102</v>
      </c>
      <c r="AA2796" s="2">
        <f t="shared" si="219"/>
        <v>113101.95689005811</v>
      </c>
      <c r="AB2796" s="1">
        <f t="shared" si="220"/>
        <v>0.11396026326180282</v>
      </c>
      <c r="AC2796" s="1" t="b">
        <f t="shared" si="221"/>
        <v>1</v>
      </c>
    </row>
    <row r="2797" spans="1:29" x14ac:dyDescent="0.25">
      <c r="A2797" s="1">
        <v>883.83799999999997</v>
      </c>
      <c r="B2797">
        <v>3</v>
      </c>
      <c r="D2797" s="2">
        <v>113142.9</v>
      </c>
      <c r="M2797">
        <v>28</v>
      </c>
      <c r="Y2797" s="1">
        <f t="shared" si="217"/>
        <v>883.83799999999997</v>
      </c>
      <c r="Z2797" s="2">
        <f t="shared" si="218"/>
        <v>113142.9</v>
      </c>
      <c r="AA2797" s="2">
        <f t="shared" si="219"/>
        <v>113142.90627920501</v>
      </c>
      <c r="AB2797" s="1">
        <f t="shared" si="220"/>
        <v>0.11400658620652485</v>
      </c>
      <c r="AC2797" s="1" t="b">
        <f t="shared" si="221"/>
        <v>1</v>
      </c>
    </row>
    <row r="2798" spans="1:29" x14ac:dyDescent="0.25">
      <c r="A2798" s="1">
        <v>882.99</v>
      </c>
      <c r="B2798">
        <v>3</v>
      </c>
      <c r="D2798" s="2">
        <v>113251.6</v>
      </c>
      <c r="M2798">
        <v>28</v>
      </c>
      <c r="Y2798" s="1">
        <f t="shared" si="217"/>
        <v>882.99</v>
      </c>
      <c r="Z2798" s="2">
        <f t="shared" si="218"/>
        <v>113251.6</v>
      </c>
      <c r="AA2798" s="2">
        <f t="shared" si="219"/>
        <v>113251.56570289584</v>
      </c>
      <c r="AB2798" s="1">
        <f t="shared" si="220"/>
        <v>0.11412958567078667</v>
      </c>
      <c r="AC2798" s="1" t="b">
        <f t="shared" si="221"/>
        <v>1</v>
      </c>
    </row>
    <row r="2799" spans="1:29" x14ac:dyDescent="0.25">
      <c r="A2799" s="1">
        <v>882.33600000000001</v>
      </c>
      <c r="B2799">
        <v>1</v>
      </c>
      <c r="D2799" s="2">
        <v>113335.5</v>
      </c>
      <c r="M2799">
        <v>28</v>
      </c>
      <c r="Y2799" s="1">
        <f t="shared" si="217"/>
        <v>882.33600000000001</v>
      </c>
      <c r="Z2799" s="2">
        <f t="shared" si="218"/>
        <v>113335.5</v>
      </c>
      <c r="AA2799" s="2">
        <f t="shared" si="219"/>
        <v>113335.50937511334</v>
      </c>
      <c r="AB2799" s="1">
        <f t="shared" si="220"/>
        <v>0.11422468842658202</v>
      </c>
      <c r="AC2799" s="1" t="b">
        <f t="shared" si="221"/>
        <v>1</v>
      </c>
    </row>
    <row r="2800" spans="1:29" x14ac:dyDescent="0.25">
      <c r="A2800" s="1">
        <v>881.59100000000001</v>
      </c>
      <c r="B2800">
        <v>3</v>
      </c>
      <c r="D2800" s="2">
        <v>113431.3</v>
      </c>
      <c r="M2800">
        <v>28</v>
      </c>
      <c r="Y2800" s="1">
        <f t="shared" si="217"/>
        <v>881.59100000000001</v>
      </c>
      <c r="Z2800" s="2">
        <f t="shared" si="218"/>
        <v>113431.3</v>
      </c>
      <c r="AA2800" s="2">
        <f t="shared" si="219"/>
        <v>113431.28502899871</v>
      </c>
      <c r="AB2800" s="1">
        <f t="shared" si="220"/>
        <v>0.11433328211664974</v>
      </c>
      <c r="AC2800" s="1" t="b">
        <f t="shared" si="221"/>
        <v>1</v>
      </c>
    </row>
    <row r="2801" spans="1:29" x14ac:dyDescent="0.25">
      <c r="A2801" s="1">
        <v>880.303</v>
      </c>
      <c r="B2801">
        <v>10</v>
      </c>
      <c r="D2801" s="2">
        <v>113597.2</v>
      </c>
      <c r="M2801">
        <v>29</v>
      </c>
      <c r="Y2801" s="1">
        <f t="shared" si="217"/>
        <v>880.303</v>
      </c>
      <c r="Z2801" s="2">
        <f t="shared" si="218"/>
        <v>113597.2</v>
      </c>
      <c r="AA2801" s="2">
        <f t="shared" si="219"/>
        <v>113597.25003777108</v>
      </c>
      <c r="AB2801" s="1">
        <f t="shared" si="220"/>
        <v>0.11452167608071942</v>
      </c>
      <c r="AC2801" s="1" t="b">
        <f t="shared" si="221"/>
        <v>1</v>
      </c>
    </row>
    <row r="2802" spans="1:29" x14ac:dyDescent="0.25">
      <c r="A2802" s="1">
        <v>879.84</v>
      </c>
      <c r="B2802">
        <v>2</v>
      </c>
      <c r="D2802" s="2">
        <v>113657</v>
      </c>
      <c r="M2802">
        <v>29</v>
      </c>
      <c r="Y2802" s="1">
        <f t="shared" si="217"/>
        <v>879.84</v>
      </c>
      <c r="Z2802" s="2">
        <f t="shared" si="218"/>
        <v>113657</v>
      </c>
      <c r="AA2802" s="2">
        <f t="shared" si="219"/>
        <v>113657.02855064557</v>
      </c>
      <c r="AB2802" s="1">
        <f t="shared" si="220"/>
        <v>0.11458960069481132</v>
      </c>
      <c r="AC2802" s="1" t="b">
        <f t="shared" si="221"/>
        <v>1</v>
      </c>
    </row>
    <row r="2803" spans="1:29" x14ac:dyDescent="0.25">
      <c r="A2803" s="1">
        <v>879.44100000000003</v>
      </c>
      <c r="B2803">
        <v>10</v>
      </c>
      <c r="D2803" s="2">
        <v>113708.6</v>
      </c>
      <c r="E2803">
        <v>14859</v>
      </c>
      <c r="F2803" t="s">
        <v>15</v>
      </c>
      <c r="G2803" t="s">
        <v>23</v>
      </c>
      <c r="H2803">
        <v>128568</v>
      </c>
      <c r="I2803" t="s">
        <v>17</v>
      </c>
      <c r="J2803" t="s">
        <v>16</v>
      </c>
      <c r="K2803">
        <v>14859.96</v>
      </c>
      <c r="L2803">
        <v>128568.6</v>
      </c>
      <c r="M2803">
        <v>29</v>
      </c>
      <c r="Y2803" s="1">
        <f t="shared" si="217"/>
        <v>879.44100000000003</v>
      </c>
      <c r="Z2803" s="2">
        <f t="shared" si="218"/>
        <v>113708.6</v>
      </c>
      <c r="AA2803" s="2">
        <f t="shared" si="219"/>
        <v>113708.59443669331</v>
      </c>
      <c r="AB2803" s="1">
        <f t="shared" si="220"/>
        <v>0.11464822224384201</v>
      </c>
      <c r="AC2803" s="1" t="b">
        <f t="shared" si="221"/>
        <v>1</v>
      </c>
    </row>
    <row r="2804" spans="1:29" x14ac:dyDescent="0.25">
      <c r="A2804" s="1">
        <v>878.74900000000002</v>
      </c>
      <c r="B2804">
        <v>1</v>
      </c>
      <c r="D2804" s="2">
        <v>113798.1</v>
      </c>
      <c r="M2804">
        <v>29</v>
      </c>
      <c r="Y2804" s="1">
        <f t="shared" si="217"/>
        <v>878.74900000000002</v>
      </c>
      <c r="Z2804" s="2">
        <f t="shared" si="218"/>
        <v>113798.1</v>
      </c>
      <c r="AA2804" s="2">
        <f t="shared" si="219"/>
        <v>113798.13803486546</v>
      </c>
      <c r="AB2804" s="1">
        <f t="shared" si="220"/>
        <v>0.11475008110101148</v>
      </c>
      <c r="AC2804" s="1" t="b">
        <f t="shared" si="221"/>
        <v>1</v>
      </c>
    </row>
    <row r="2805" spans="1:29" x14ac:dyDescent="0.25">
      <c r="A2805" s="1">
        <v>878.21500000000003</v>
      </c>
      <c r="B2805">
        <v>10</v>
      </c>
      <c r="D2805" s="2">
        <v>113867.3</v>
      </c>
      <c r="M2805">
        <v>29</v>
      </c>
      <c r="Y2805" s="1">
        <f t="shared" si="217"/>
        <v>878.21500000000003</v>
      </c>
      <c r="Z2805" s="2">
        <f t="shared" si="218"/>
        <v>113867.3</v>
      </c>
      <c r="AA2805" s="2">
        <f t="shared" si="219"/>
        <v>113867.33317012349</v>
      </c>
      <c r="AB2805" s="1">
        <f t="shared" si="220"/>
        <v>0.11482884781637952</v>
      </c>
      <c r="AC2805" s="1" t="b">
        <f t="shared" si="221"/>
        <v>1</v>
      </c>
    </row>
    <row r="2806" spans="1:29" x14ac:dyDescent="0.25">
      <c r="A2806" s="1">
        <v>876.35500000000002</v>
      </c>
      <c r="B2806">
        <v>2</v>
      </c>
      <c r="D2806" s="2">
        <v>114109</v>
      </c>
      <c r="M2806">
        <v>29</v>
      </c>
      <c r="Y2806" s="1">
        <f t="shared" si="217"/>
        <v>876.35500000000002</v>
      </c>
      <c r="Z2806" s="2">
        <f t="shared" si="218"/>
        <v>114109</v>
      </c>
      <c r="AA2806" s="2">
        <f t="shared" si="219"/>
        <v>114109.00833566305</v>
      </c>
      <c r="AB2806" s="1">
        <f t="shared" si="220"/>
        <v>0.1151043289167421</v>
      </c>
      <c r="AC2806" s="1" t="b">
        <f t="shared" si="221"/>
        <v>1</v>
      </c>
    </row>
    <row r="2807" spans="1:29" x14ac:dyDescent="0.25">
      <c r="A2807" s="1">
        <v>876.30499999999995</v>
      </c>
      <c r="B2807">
        <v>1</v>
      </c>
      <c r="D2807" s="2">
        <v>114115.5</v>
      </c>
      <c r="M2807">
        <v>29</v>
      </c>
      <c r="Y2807" s="1">
        <f t="shared" si="217"/>
        <v>876.30499999999995</v>
      </c>
      <c r="Z2807" s="2">
        <f t="shared" si="218"/>
        <v>114115.5</v>
      </c>
      <c r="AA2807" s="2">
        <f t="shared" si="219"/>
        <v>114115.51914002546</v>
      </c>
      <c r="AB2807" s="1">
        <f t="shared" si="220"/>
        <v>0.11511175854298758</v>
      </c>
      <c r="AC2807" s="1" t="b">
        <f t="shared" si="221"/>
        <v>1</v>
      </c>
    </row>
    <row r="2808" spans="1:29" x14ac:dyDescent="0.25">
      <c r="A2808" s="1">
        <v>875.33900000000006</v>
      </c>
      <c r="B2808">
        <v>1</v>
      </c>
      <c r="D2808" s="2">
        <v>114241.4</v>
      </c>
      <c r="M2808">
        <v>29</v>
      </c>
      <c r="Y2808" s="1">
        <f t="shared" si="217"/>
        <v>875.33900000000006</v>
      </c>
      <c r="Z2808" s="2">
        <f t="shared" si="218"/>
        <v>114241.4</v>
      </c>
      <c r="AA2808" s="2">
        <f t="shared" si="219"/>
        <v>114241.45388243868</v>
      </c>
      <c r="AB2808" s="1">
        <f t="shared" si="220"/>
        <v>0.11525554892586683</v>
      </c>
      <c r="AC2808" s="1" t="b">
        <f t="shared" si="221"/>
        <v>1</v>
      </c>
    </row>
    <row r="2809" spans="1:29" x14ac:dyDescent="0.25">
      <c r="A2809" s="1">
        <v>874.68</v>
      </c>
      <c r="B2809">
        <v>2</v>
      </c>
      <c r="D2809" s="2">
        <v>114327.5</v>
      </c>
      <c r="M2809">
        <v>29</v>
      </c>
      <c r="Y2809" s="1">
        <f t="shared" si="217"/>
        <v>874.68</v>
      </c>
      <c r="Z2809" s="2">
        <f t="shared" si="218"/>
        <v>114327.5</v>
      </c>
      <c r="AA2809" s="2">
        <f t="shared" si="219"/>
        <v>114327.52549503819</v>
      </c>
      <c r="AB2809" s="1">
        <f t="shared" si="220"/>
        <v>0.11535391542909304</v>
      </c>
      <c r="AC2809" s="1" t="b">
        <f t="shared" si="221"/>
        <v>1</v>
      </c>
    </row>
    <row r="2810" spans="1:29" x14ac:dyDescent="0.25">
      <c r="A2810" s="1">
        <v>874.48099999999999</v>
      </c>
      <c r="B2810">
        <v>1</v>
      </c>
      <c r="D2810" s="2">
        <v>114353.5</v>
      </c>
      <c r="M2810">
        <v>29</v>
      </c>
      <c r="Y2810" s="1">
        <f t="shared" si="217"/>
        <v>874.48099999999999</v>
      </c>
      <c r="Z2810" s="2">
        <f t="shared" si="218"/>
        <v>114353.5</v>
      </c>
      <c r="AA2810" s="2">
        <f t="shared" si="219"/>
        <v>114353.54227250221</v>
      </c>
      <c r="AB2810" s="1">
        <f t="shared" si="220"/>
        <v>0.11538366315134474</v>
      </c>
      <c r="AC2810" s="1" t="b">
        <f t="shared" si="221"/>
        <v>1</v>
      </c>
    </row>
    <row r="2811" spans="1:29" x14ac:dyDescent="0.25">
      <c r="A2811" s="1">
        <v>874.173</v>
      </c>
      <c r="B2811">
        <v>1</v>
      </c>
      <c r="D2811" s="2">
        <v>114393.8</v>
      </c>
      <c r="M2811">
        <v>29</v>
      </c>
      <c r="Y2811" s="1">
        <f t="shared" si="217"/>
        <v>874.173</v>
      </c>
      <c r="Z2811" s="2">
        <f t="shared" si="218"/>
        <v>114393.8</v>
      </c>
      <c r="AA2811" s="2">
        <f t="shared" si="219"/>
        <v>114393.8327996861</v>
      </c>
      <c r="AB2811" s="1">
        <f t="shared" si="220"/>
        <v>0.11542974491301271</v>
      </c>
      <c r="AC2811" s="1" t="b">
        <f t="shared" si="221"/>
        <v>1</v>
      </c>
    </row>
    <row r="2812" spans="1:29" x14ac:dyDescent="0.25">
      <c r="A2812" s="1">
        <v>874.14700000000005</v>
      </c>
      <c r="B2812">
        <v>1</v>
      </c>
      <c r="D2812" s="2">
        <v>114397.2</v>
      </c>
      <c r="M2812">
        <v>29</v>
      </c>
      <c r="Y2812" s="1">
        <f t="shared" si="217"/>
        <v>874.14700000000005</v>
      </c>
      <c r="Z2812" s="2">
        <f t="shared" si="218"/>
        <v>114397.2</v>
      </c>
      <c r="AA2812" s="2">
        <f t="shared" si="219"/>
        <v>114397.23524761853</v>
      </c>
      <c r="AB2812" s="1">
        <f t="shared" si="220"/>
        <v>0.11543363716149488</v>
      </c>
      <c r="AC2812" s="1" t="b">
        <f t="shared" si="221"/>
        <v>1</v>
      </c>
    </row>
    <row r="2813" spans="1:29" x14ac:dyDescent="0.25">
      <c r="A2813" s="1">
        <v>874.05100000000004</v>
      </c>
      <c r="B2813">
        <v>1</v>
      </c>
      <c r="D2813" s="2">
        <v>114409.8</v>
      </c>
      <c r="M2813">
        <v>29</v>
      </c>
      <c r="Y2813" s="1">
        <f t="shared" si="217"/>
        <v>874.05100000000004</v>
      </c>
      <c r="Z2813" s="2">
        <f t="shared" si="218"/>
        <v>114409.8</v>
      </c>
      <c r="AA2813" s="2">
        <f t="shared" si="219"/>
        <v>114409.79988581901</v>
      </c>
      <c r="AB2813" s="1">
        <f t="shared" si="220"/>
        <v>0.11544801154956577</v>
      </c>
      <c r="AC2813" s="1" t="b">
        <f t="shared" si="221"/>
        <v>1</v>
      </c>
    </row>
    <row r="2814" spans="1:29" x14ac:dyDescent="0.25">
      <c r="A2814" s="1">
        <v>873.74900000000002</v>
      </c>
      <c r="B2814">
        <v>1</v>
      </c>
      <c r="D2814" s="2">
        <v>114449.3</v>
      </c>
      <c r="M2814">
        <v>29</v>
      </c>
      <c r="Y2814" s="1">
        <f t="shared" si="217"/>
        <v>873.74900000000002</v>
      </c>
      <c r="Z2814" s="2">
        <f t="shared" si="218"/>
        <v>114449.3</v>
      </c>
      <c r="AA2814" s="2">
        <f t="shared" si="219"/>
        <v>114449.34414803336</v>
      </c>
      <c r="AB2814" s="1">
        <f t="shared" si="220"/>
        <v>0.11549326187957488</v>
      </c>
      <c r="AC2814" s="1" t="b">
        <f t="shared" si="221"/>
        <v>1</v>
      </c>
    </row>
    <row r="2815" spans="1:29" x14ac:dyDescent="0.25">
      <c r="A2815" s="1">
        <v>872.56899999999996</v>
      </c>
      <c r="B2815">
        <v>1</v>
      </c>
      <c r="D2815" s="2">
        <v>114604.1</v>
      </c>
      <c r="M2815">
        <v>29</v>
      </c>
      <c r="Y2815" s="1">
        <f t="shared" si="217"/>
        <v>872.56899999999996</v>
      </c>
      <c r="Z2815" s="2">
        <f t="shared" si="218"/>
        <v>114604.1</v>
      </c>
      <c r="AA2815" s="2">
        <f t="shared" si="219"/>
        <v>114604.11726751695</v>
      </c>
      <c r="AB2815" s="1">
        <f t="shared" si="220"/>
        <v>0.11567051847333389</v>
      </c>
      <c r="AC2815" s="1" t="b">
        <f t="shared" si="221"/>
        <v>1</v>
      </c>
    </row>
    <row r="2816" spans="1:29" x14ac:dyDescent="0.25">
      <c r="A2816" s="1">
        <v>872.10400000000004</v>
      </c>
      <c r="B2816">
        <v>30</v>
      </c>
      <c r="D2816" s="2">
        <v>114665.2</v>
      </c>
      <c r="M2816">
        <v>29</v>
      </c>
      <c r="Y2816" s="1">
        <f t="shared" si="217"/>
        <v>872.10400000000004</v>
      </c>
      <c r="Z2816" s="2">
        <f t="shared" si="218"/>
        <v>114665.2</v>
      </c>
      <c r="AA2816" s="2">
        <f t="shared" si="219"/>
        <v>114665.22341372129</v>
      </c>
      <c r="AB2816" s="1">
        <f t="shared" si="220"/>
        <v>0.11574056730259309</v>
      </c>
      <c r="AC2816" s="1" t="b">
        <f t="shared" si="221"/>
        <v>1</v>
      </c>
    </row>
    <row r="2817" spans="1:29" x14ac:dyDescent="0.25">
      <c r="A2817" s="1">
        <v>871.93200000000002</v>
      </c>
      <c r="B2817">
        <v>1</v>
      </c>
      <c r="D2817" s="2">
        <v>114687.8</v>
      </c>
      <c r="M2817">
        <v>29</v>
      </c>
      <c r="Y2817" s="1">
        <f t="shared" si="217"/>
        <v>871.93200000000002</v>
      </c>
      <c r="Z2817" s="2">
        <f t="shared" si="218"/>
        <v>114687.8</v>
      </c>
      <c r="AA2817" s="2">
        <f t="shared" si="219"/>
        <v>114687.84262992986</v>
      </c>
      <c r="AB2817" s="1">
        <f t="shared" si="220"/>
        <v>0.11576650623553779</v>
      </c>
      <c r="AC2817" s="1" t="b">
        <f t="shared" si="221"/>
        <v>1</v>
      </c>
    </row>
    <row r="2818" spans="1:29" x14ac:dyDescent="0.25">
      <c r="A2818" s="1">
        <v>871.69899999999996</v>
      </c>
      <c r="B2818">
        <v>3</v>
      </c>
      <c r="D2818" s="2">
        <v>114718.5</v>
      </c>
      <c r="M2818">
        <v>29</v>
      </c>
      <c r="Y2818" s="1">
        <f t="shared" si="217"/>
        <v>871.69899999999996</v>
      </c>
      <c r="Z2818" s="2">
        <f t="shared" si="218"/>
        <v>114718.5</v>
      </c>
      <c r="AA2818" s="2">
        <f t="shared" si="219"/>
        <v>114718.49801364921</v>
      </c>
      <c r="AB2818" s="1">
        <f t="shared" si="220"/>
        <v>0.1158016689325382</v>
      </c>
      <c r="AC2818" s="1" t="b">
        <f t="shared" si="221"/>
        <v>1</v>
      </c>
    </row>
    <row r="2819" spans="1:29" x14ac:dyDescent="0.25">
      <c r="A2819" s="1">
        <v>871.06899999999996</v>
      </c>
      <c r="B2819">
        <v>2</v>
      </c>
      <c r="D2819" s="2">
        <v>114801.5</v>
      </c>
      <c r="M2819">
        <v>29</v>
      </c>
      <c r="Y2819" s="1">
        <f t="shared" ref="Y2819:Y2882" si="222">ROUND($A2819,3)+0</f>
        <v>871.06899999999996</v>
      </c>
      <c r="Z2819" s="2">
        <f t="shared" ref="Z2819:Z2882" si="223">ROUND($D2819,1)+0</f>
        <v>114801.5</v>
      </c>
      <c r="AA2819" s="2">
        <f t="shared" ref="AA2819:AA2882" si="224">100000000/Y2819</f>
        <v>114801.46808117382</v>
      </c>
      <c r="AB2819" s="1">
        <f t="shared" ref="AB2819:AB2882" si="225">0.0005/$Y2819*AA2819+0.05</f>
        <v>0.11589688536796387</v>
      </c>
      <c r="AC2819" s="1" t="b">
        <f t="shared" ref="AC2819:AC2882" si="226">ABS(Z2819-AA2819)&lt;AB2819</f>
        <v>1</v>
      </c>
    </row>
    <row r="2820" spans="1:29" x14ac:dyDescent="0.25">
      <c r="A2820" s="1">
        <v>870.89300000000003</v>
      </c>
      <c r="B2820">
        <v>1</v>
      </c>
      <c r="D2820" s="2">
        <v>114824.7</v>
      </c>
      <c r="M2820">
        <v>29</v>
      </c>
      <c r="Y2820" s="1">
        <f t="shared" si="222"/>
        <v>870.89300000000003</v>
      </c>
      <c r="Z2820" s="2">
        <f t="shared" si="223"/>
        <v>114824.7</v>
      </c>
      <c r="AA2820" s="2">
        <f t="shared" si="224"/>
        <v>114824.66847247595</v>
      </c>
      <c r="AB2820" s="1">
        <f t="shared" si="225"/>
        <v>0.11592352244907007</v>
      </c>
      <c r="AC2820" s="1" t="b">
        <f t="shared" si="226"/>
        <v>1</v>
      </c>
    </row>
    <row r="2821" spans="1:29" x14ac:dyDescent="0.25">
      <c r="A2821" s="1">
        <v>869.59799999999996</v>
      </c>
      <c r="B2821">
        <v>1</v>
      </c>
      <c r="D2821" s="2">
        <v>114995.7</v>
      </c>
      <c r="M2821">
        <v>29</v>
      </c>
      <c r="Y2821" s="1">
        <f t="shared" si="222"/>
        <v>869.59799999999996</v>
      </c>
      <c r="Z2821" s="2">
        <f t="shared" si="223"/>
        <v>114995.7</v>
      </c>
      <c r="AA2821" s="2">
        <f t="shared" si="224"/>
        <v>114995.66466344219</v>
      </c>
      <c r="AB2821" s="1">
        <f t="shared" si="225"/>
        <v>0.11612001445693425</v>
      </c>
      <c r="AC2821" s="1" t="b">
        <f t="shared" si="226"/>
        <v>1</v>
      </c>
    </row>
    <row r="2822" spans="1:29" x14ac:dyDescent="0.25">
      <c r="A2822" s="1">
        <v>868.55799999999999</v>
      </c>
      <c r="B2822">
        <v>10</v>
      </c>
      <c r="D2822" s="2">
        <v>115133.4</v>
      </c>
      <c r="M2822">
        <v>29</v>
      </c>
      <c r="Y2822" s="1">
        <f t="shared" si="222"/>
        <v>868.55799999999999</v>
      </c>
      <c r="Z2822" s="2">
        <f t="shared" si="223"/>
        <v>115133.4</v>
      </c>
      <c r="AA2822" s="2">
        <f t="shared" si="224"/>
        <v>115133.3589696946</v>
      </c>
      <c r="AB2822" s="1">
        <f t="shared" si="225"/>
        <v>0.11627845173822278</v>
      </c>
      <c r="AC2822" s="1" t="b">
        <f t="shared" si="226"/>
        <v>1</v>
      </c>
    </row>
    <row r="2823" spans="1:29" x14ac:dyDescent="0.25">
      <c r="A2823" s="1">
        <v>868.49</v>
      </c>
      <c r="B2823">
        <v>1</v>
      </c>
      <c r="D2823" s="2">
        <v>115142.39999999999</v>
      </c>
      <c r="M2823">
        <v>29</v>
      </c>
      <c r="Y2823" s="1">
        <f t="shared" si="222"/>
        <v>868.49</v>
      </c>
      <c r="Z2823" s="2">
        <f t="shared" si="223"/>
        <v>115142.39999999999</v>
      </c>
      <c r="AA2823" s="2">
        <f t="shared" si="224"/>
        <v>115142.37354488825</v>
      </c>
      <c r="AB2823" s="1">
        <f t="shared" si="225"/>
        <v>0.11628883092775291</v>
      </c>
      <c r="AC2823" s="1" t="b">
        <f t="shared" si="226"/>
        <v>1</v>
      </c>
    </row>
    <row r="2824" spans="1:29" x14ac:dyDescent="0.25">
      <c r="A2824" s="1">
        <v>868.41399999999999</v>
      </c>
      <c r="B2824">
        <v>1</v>
      </c>
      <c r="D2824" s="2">
        <v>115152.4</v>
      </c>
      <c r="M2824">
        <v>29</v>
      </c>
      <c r="Y2824" s="1">
        <f t="shared" si="222"/>
        <v>868.41399999999999</v>
      </c>
      <c r="Z2824" s="2">
        <f t="shared" si="223"/>
        <v>115152.4</v>
      </c>
      <c r="AA2824" s="2">
        <f t="shared" si="224"/>
        <v>115152.45032899056</v>
      </c>
      <c r="AB2824" s="1">
        <f t="shared" si="225"/>
        <v>0.11630043408385318</v>
      </c>
      <c r="AC2824" s="1" t="b">
        <f t="shared" si="226"/>
        <v>1</v>
      </c>
    </row>
    <row r="2825" spans="1:29" x14ac:dyDescent="0.25">
      <c r="A2825" s="1">
        <v>866.28499999999997</v>
      </c>
      <c r="B2825">
        <v>4</v>
      </c>
      <c r="D2825" s="2">
        <v>115435.4</v>
      </c>
      <c r="M2825">
        <v>29</v>
      </c>
      <c r="Y2825" s="1">
        <f t="shared" si="222"/>
        <v>866.28499999999997</v>
      </c>
      <c r="Z2825" s="2">
        <f t="shared" si="223"/>
        <v>115435.4</v>
      </c>
      <c r="AA2825" s="2">
        <f t="shared" si="224"/>
        <v>115435.45138147377</v>
      </c>
      <c r="AB2825" s="1">
        <f t="shared" si="225"/>
        <v>0.11662671717822297</v>
      </c>
      <c r="AC2825" s="1" t="b">
        <f t="shared" si="226"/>
        <v>1</v>
      </c>
    </row>
    <row r="2826" spans="1:29" x14ac:dyDescent="0.25">
      <c r="A2826" s="1">
        <v>864.91</v>
      </c>
      <c r="B2826">
        <v>1</v>
      </c>
      <c r="D2826" s="2">
        <v>115619</v>
      </c>
      <c r="M2826">
        <v>29</v>
      </c>
      <c r="Y2826" s="1">
        <f t="shared" si="222"/>
        <v>864.91</v>
      </c>
      <c r="Z2826" s="2">
        <f t="shared" si="223"/>
        <v>115619</v>
      </c>
      <c r="AA2826" s="2">
        <f t="shared" si="224"/>
        <v>115618.96613520483</v>
      </c>
      <c r="AB2826" s="1">
        <f t="shared" si="225"/>
        <v>0.1168387266508682</v>
      </c>
      <c r="AC2826" s="1" t="b">
        <f t="shared" si="226"/>
        <v>1</v>
      </c>
    </row>
    <row r="2827" spans="1:29" x14ac:dyDescent="0.25">
      <c r="A2827" s="1">
        <v>864.58199999999999</v>
      </c>
      <c r="B2827">
        <v>1</v>
      </c>
      <c r="D2827" s="2">
        <v>115662.8</v>
      </c>
      <c r="M2827">
        <v>29</v>
      </c>
      <c r="Y2827" s="1">
        <f t="shared" si="222"/>
        <v>864.58199999999999</v>
      </c>
      <c r="Z2827" s="2">
        <f t="shared" si="223"/>
        <v>115662.8</v>
      </c>
      <c r="AA2827" s="2">
        <f t="shared" si="224"/>
        <v>115662.82897400131</v>
      </c>
      <c r="AB2827" s="1">
        <f t="shared" si="225"/>
        <v>0.11688945003134539</v>
      </c>
      <c r="AC2827" s="1" t="b">
        <f t="shared" si="226"/>
        <v>1</v>
      </c>
    </row>
    <row r="2828" spans="1:29" x14ac:dyDescent="0.25">
      <c r="A2828" s="1">
        <v>864.32</v>
      </c>
      <c r="B2828">
        <v>1</v>
      </c>
      <c r="D2828" s="2">
        <v>115697.9</v>
      </c>
      <c r="M2828">
        <v>29</v>
      </c>
      <c r="Y2828" s="1">
        <f t="shared" si="222"/>
        <v>864.32</v>
      </c>
      <c r="Z2828" s="2">
        <f t="shared" si="223"/>
        <v>115697.9</v>
      </c>
      <c r="AA2828" s="2">
        <f t="shared" si="224"/>
        <v>115697.8896704924</v>
      </c>
      <c r="AB2828" s="1">
        <f t="shared" si="225"/>
        <v>0.11693000837102717</v>
      </c>
      <c r="AC2828" s="1" t="b">
        <f t="shared" si="226"/>
        <v>1</v>
      </c>
    </row>
    <row r="2829" spans="1:29" x14ac:dyDescent="0.25">
      <c r="A2829" s="1">
        <v>863.94100000000003</v>
      </c>
      <c r="B2829">
        <v>8</v>
      </c>
      <c r="D2829" s="2">
        <v>115748.6</v>
      </c>
      <c r="M2829">
        <v>29</v>
      </c>
      <c r="Y2829" s="1">
        <f t="shared" si="222"/>
        <v>863.94100000000003</v>
      </c>
      <c r="Z2829" s="2">
        <f t="shared" si="223"/>
        <v>115748.6</v>
      </c>
      <c r="AA2829" s="2">
        <f t="shared" si="224"/>
        <v>115748.64487274014</v>
      </c>
      <c r="AB2829" s="1">
        <f t="shared" si="225"/>
        <v>0.11698874394937857</v>
      </c>
      <c r="AC2829" s="1" t="b">
        <f t="shared" si="226"/>
        <v>1</v>
      </c>
    </row>
    <row r="2830" spans="1:29" x14ac:dyDescent="0.25">
      <c r="A2830" s="1">
        <v>863.34900000000005</v>
      </c>
      <c r="B2830">
        <v>1</v>
      </c>
      <c r="D2830" s="2">
        <v>115828</v>
      </c>
      <c r="M2830">
        <v>29</v>
      </c>
      <c r="Y2830" s="1">
        <f t="shared" si="222"/>
        <v>863.34900000000005</v>
      </c>
      <c r="Z2830" s="2">
        <f t="shared" si="223"/>
        <v>115828</v>
      </c>
      <c r="AA2830" s="2">
        <f t="shared" si="224"/>
        <v>115828.01393179351</v>
      </c>
      <c r="AB2830" s="1">
        <f t="shared" si="225"/>
        <v>0.11708064405691876</v>
      </c>
      <c r="AC2830" s="1" t="b">
        <f t="shared" si="226"/>
        <v>1</v>
      </c>
    </row>
    <row r="2831" spans="1:29" x14ac:dyDescent="0.25">
      <c r="A2831" s="1">
        <v>863.13099999999997</v>
      </c>
      <c r="B2831">
        <v>3</v>
      </c>
      <c r="C2831" t="s">
        <v>123</v>
      </c>
      <c r="D2831" s="2">
        <v>115857.3</v>
      </c>
      <c r="M2831">
        <v>29</v>
      </c>
      <c r="Y2831" s="1">
        <f t="shared" si="222"/>
        <v>863.13099999999997</v>
      </c>
      <c r="Z2831" s="2">
        <f t="shared" si="223"/>
        <v>115857.3</v>
      </c>
      <c r="AA2831" s="2">
        <f t="shared" si="224"/>
        <v>115857.26847952398</v>
      </c>
      <c r="AB2831" s="1">
        <f t="shared" si="225"/>
        <v>0.1171145332976825</v>
      </c>
      <c r="AC2831" s="1" t="b">
        <f t="shared" si="226"/>
        <v>1</v>
      </c>
    </row>
    <row r="2832" spans="1:29" x14ac:dyDescent="0.25">
      <c r="A2832" s="1">
        <v>862.82299999999998</v>
      </c>
      <c r="B2832">
        <v>2</v>
      </c>
      <c r="D2832" s="2">
        <v>115898.6</v>
      </c>
      <c r="M2832">
        <v>29</v>
      </c>
      <c r="Y2832" s="1">
        <f t="shared" si="222"/>
        <v>862.82299999999998</v>
      </c>
      <c r="Z2832" s="2">
        <f t="shared" si="223"/>
        <v>115898.6</v>
      </c>
      <c r="AA2832" s="2">
        <f t="shared" si="224"/>
        <v>115898.62578999401</v>
      </c>
      <c r="AB2832" s="1">
        <f t="shared" si="225"/>
        <v>0.11716245730004533</v>
      </c>
      <c r="AC2832" s="1" t="b">
        <f t="shared" si="226"/>
        <v>1</v>
      </c>
    </row>
    <row r="2833" spans="1:29" x14ac:dyDescent="0.25">
      <c r="A2833" s="1">
        <v>862.42700000000002</v>
      </c>
      <c r="B2833">
        <v>2</v>
      </c>
      <c r="D2833" s="2">
        <v>115951.8</v>
      </c>
      <c r="M2833">
        <v>29</v>
      </c>
      <c r="Y2833" s="1">
        <f t="shared" si="222"/>
        <v>862.42700000000002</v>
      </c>
      <c r="Z2833" s="2">
        <f t="shared" si="223"/>
        <v>115951.8</v>
      </c>
      <c r="AA2833" s="2">
        <f t="shared" si="224"/>
        <v>115951.84288061481</v>
      </c>
      <c r="AB2833" s="1">
        <f t="shared" si="225"/>
        <v>0.11722414933705393</v>
      </c>
      <c r="AC2833" s="1" t="b">
        <f t="shared" si="226"/>
        <v>1</v>
      </c>
    </row>
    <row r="2834" spans="1:29" x14ac:dyDescent="0.25">
      <c r="A2834" s="1">
        <v>862.22699999999998</v>
      </c>
      <c r="B2834">
        <v>1</v>
      </c>
      <c r="D2834" s="2">
        <v>115978.7</v>
      </c>
      <c r="M2834">
        <v>29</v>
      </c>
      <c r="Y2834" s="1">
        <f t="shared" si="222"/>
        <v>862.22699999999998</v>
      </c>
      <c r="Z2834" s="2">
        <f t="shared" si="223"/>
        <v>115978.7</v>
      </c>
      <c r="AA2834" s="2">
        <f t="shared" si="224"/>
        <v>115978.73877760729</v>
      </c>
      <c r="AB2834" s="1">
        <f t="shared" si="225"/>
        <v>0.11725533924222235</v>
      </c>
      <c r="AC2834" s="1" t="b">
        <f t="shared" si="226"/>
        <v>1</v>
      </c>
    </row>
    <row r="2835" spans="1:29" x14ac:dyDescent="0.25">
      <c r="A2835" s="1">
        <v>861.53499999999997</v>
      </c>
      <c r="B2835">
        <v>2</v>
      </c>
      <c r="D2835" s="2">
        <v>116071.9</v>
      </c>
      <c r="M2835">
        <v>29</v>
      </c>
      <c r="Y2835" s="1">
        <f t="shared" si="222"/>
        <v>861.53499999999997</v>
      </c>
      <c r="Z2835" s="2">
        <f t="shared" si="223"/>
        <v>116071.9</v>
      </c>
      <c r="AA2835" s="2">
        <f t="shared" si="224"/>
        <v>116071.89493172072</v>
      </c>
      <c r="AB2835" s="1">
        <f t="shared" si="225"/>
        <v>0.11736342396520207</v>
      </c>
      <c r="AC2835" s="1" t="b">
        <f t="shared" si="226"/>
        <v>1</v>
      </c>
    </row>
    <row r="2836" spans="1:29" x14ac:dyDescent="0.25">
      <c r="A2836" s="1">
        <v>861.49800000000005</v>
      </c>
      <c r="B2836">
        <v>1</v>
      </c>
      <c r="D2836" s="2">
        <v>116076.9</v>
      </c>
      <c r="M2836">
        <v>29</v>
      </c>
      <c r="Y2836" s="1">
        <f t="shared" si="222"/>
        <v>861.49800000000005</v>
      </c>
      <c r="Z2836" s="2">
        <f t="shared" si="223"/>
        <v>116076.9</v>
      </c>
      <c r="AA2836" s="2">
        <f t="shared" si="224"/>
        <v>116076.88003918754</v>
      </c>
      <c r="AB2836" s="1">
        <f t="shared" si="225"/>
        <v>0.11736921039815967</v>
      </c>
      <c r="AC2836" s="1" t="b">
        <f t="shared" si="226"/>
        <v>1</v>
      </c>
    </row>
    <row r="2837" spans="1:29" x14ac:dyDescent="0.25">
      <c r="A2837" s="1">
        <v>861.30700000000002</v>
      </c>
      <c r="B2837">
        <v>1</v>
      </c>
      <c r="D2837" s="2">
        <v>116102.6</v>
      </c>
      <c r="M2837">
        <v>29</v>
      </c>
      <c r="Y2837" s="1">
        <f t="shared" si="222"/>
        <v>861.30700000000002</v>
      </c>
      <c r="Z2837" s="2">
        <f t="shared" si="223"/>
        <v>116102.6</v>
      </c>
      <c r="AA2837" s="2">
        <f t="shared" si="224"/>
        <v>116102.62078445897</v>
      </c>
      <c r="AB2837" s="1">
        <f t="shared" si="225"/>
        <v>0.11739909276509942</v>
      </c>
      <c r="AC2837" s="1" t="b">
        <f t="shared" si="226"/>
        <v>1</v>
      </c>
    </row>
    <row r="2838" spans="1:29" x14ac:dyDescent="0.25">
      <c r="A2838" s="1">
        <v>860.721</v>
      </c>
      <c r="B2838">
        <v>2</v>
      </c>
      <c r="D2838" s="2">
        <v>116181.7</v>
      </c>
      <c r="M2838">
        <v>29</v>
      </c>
      <c r="Y2838" s="1">
        <f t="shared" si="222"/>
        <v>860.721</v>
      </c>
      <c r="Z2838" s="2">
        <f t="shared" si="223"/>
        <v>116181.7</v>
      </c>
      <c r="AA2838" s="2">
        <f t="shared" si="224"/>
        <v>116181.66630069441</v>
      </c>
      <c r="AB2838" s="1">
        <f t="shared" si="225"/>
        <v>0.11749089792202957</v>
      </c>
      <c r="AC2838" s="1" t="b">
        <f t="shared" si="226"/>
        <v>1</v>
      </c>
    </row>
    <row r="2839" spans="1:29" x14ac:dyDescent="0.25">
      <c r="A2839" s="1">
        <v>860.52200000000005</v>
      </c>
      <c r="B2839">
        <v>2</v>
      </c>
      <c r="D2839" s="2">
        <v>116208.5</v>
      </c>
      <c r="M2839">
        <v>29</v>
      </c>
      <c r="Y2839" s="1">
        <f t="shared" si="222"/>
        <v>860.52200000000005</v>
      </c>
      <c r="Z2839" s="2">
        <f t="shared" si="223"/>
        <v>116208.5</v>
      </c>
      <c r="AA2839" s="2">
        <f t="shared" si="224"/>
        <v>116208.53388989474</v>
      </c>
      <c r="AB2839" s="1">
        <f t="shared" si="225"/>
        <v>0.11752211674419408</v>
      </c>
      <c r="AC2839" s="1" t="b">
        <f t="shared" si="226"/>
        <v>1</v>
      </c>
    </row>
    <row r="2840" spans="1:29" x14ac:dyDescent="0.25">
      <c r="A2840" s="1">
        <v>860.31299999999999</v>
      </c>
      <c r="B2840">
        <v>3</v>
      </c>
      <c r="D2840" s="2">
        <v>116236.8</v>
      </c>
      <c r="M2840">
        <v>29</v>
      </c>
      <c r="Y2840" s="1">
        <f t="shared" si="222"/>
        <v>860.31299999999999</v>
      </c>
      <c r="Z2840" s="2">
        <f t="shared" si="223"/>
        <v>116236.8</v>
      </c>
      <c r="AA2840" s="2">
        <f t="shared" si="224"/>
        <v>116236.76499134618</v>
      </c>
      <c r="AB2840" s="1">
        <f t="shared" si="225"/>
        <v>0.11755492767826721</v>
      </c>
      <c r="AC2840" s="1" t="b">
        <f t="shared" si="226"/>
        <v>1</v>
      </c>
    </row>
    <row r="2841" spans="1:29" x14ac:dyDescent="0.25">
      <c r="A2841" s="1">
        <v>859.95600000000002</v>
      </c>
      <c r="B2841">
        <v>2</v>
      </c>
      <c r="D2841" s="2">
        <v>116285</v>
      </c>
      <c r="M2841">
        <v>29</v>
      </c>
      <c r="Y2841" s="1">
        <f t="shared" si="222"/>
        <v>859.95600000000002</v>
      </c>
      <c r="Z2841" s="2">
        <f t="shared" si="223"/>
        <v>116285</v>
      </c>
      <c r="AA2841" s="2">
        <f t="shared" si="224"/>
        <v>116285.01923354217</v>
      </c>
      <c r="AB2841" s="1">
        <f t="shared" si="225"/>
        <v>0.11761102849072637</v>
      </c>
      <c r="AC2841" s="1" t="b">
        <f t="shared" si="226"/>
        <v>1</v>
      </c>
    </row>
    <row r="2842" spans="1:29" x14ac:dyDescent="0.25">
      <c r="A2842" s="1">
        <v>859.73</v>
      </c>
      <c r="B2842">
        <v>3</v>
      </c>
      <c r="D2842" s="2">
        <v>116315.6</v>
      </c>
      <c r="M2842">
        <v>29</v>
      </c>
      <c r="Y2842" s="1">
        <f t="shared" si="222"/>
        <v>859.73</v>
      </c>
      <c r="Z2842" s="2">
        <f t="shared" si="223"/>
        <v>116315.6</v>
      </c>
      <c r="AA2842" s="2">
        <f t="shared" si="224"/>
        <v>116315.58745187442</v>
      </c>
      <c r="AB2842" s="1">
        <f t="shared" si="225"/>
        <v>0.11764657942137324</v>
      </c>
      <c r="AC2842" s="1" t="b">
        <f t="shared" si="226"/>
        <v>1</v>
      </c>
    </row>
    <row r="2843" spans="1:29" x14ac:dyDescent="0.25">
      <c r="A2843" s="1">
        <v>859.54100000000005</v>
      </c>
      <c r="B2843">
        <v>1</v>
      </c>
      <c r="D2843" s="2">
        <v>116341.2</v>
      </c>
      <c r="M2843">
        <v>29</v>
      </c>
      <c r="Y2843" s="1">
        <f t="shared" si="222"/>
        <v>859.54100000000005</v>
      </c>
      <c r="Z2843" s="2">
        <f t="shared" si="223"/>
        <v>116341.2</v>
      </c>
      <c r="AA2843" s="2">
        <f t="shared" si="224"/>
        <v>116341.16348143951</v>
      </c>
      <c r="AB2843" s="1">
        <f t="shared" si="225"/>
        <v>0.11767633160107517</v>
      </c>
      <c r="AC2843" s="1" t="b">
        <f t="shared" si="226"/>
        <v>1</v>
      </c>
    </row>
    <row r="2844" spans="1:29" x14ac:dyDescent="0.25">
      <c r="A2844" s="1">
        <v>859.29899999999998</v>
      </c>
      <c r="B2844">
        <v>1</v>
      </c>
      <c r="D2844" s="2">
        <v>116373.9</v>
      </c>
      <c r="M2844">
        <v>29</v>
      </c>
      <c r="Y2844" s="1">
        <f t="shared" si="222"/>
        <v>859.29899999999998</v>
      </c>
      <c r="Z2844" s="2">
        <f t="shared" si="223"/>
        <v>116373.9</v>
      </c>
      <c r="AA2844" s="2">
        <f t="shared" si="224"/>
        <v>116373.92805065525</v>
      </c>
      <c r="AB2844" s="1">
        <f t="shared" si="225"/>
        <v>0.11771445564969543</v>
      </c>
      <c r="AC2844" s="1" t="b">
        <f t="shared" si="226"/>
        <v>1</v>
      </c>
    </row>
    <row r="2845" spans="1:29" x14ac:dyDescent="0.25">
      <c r="A2845" s="1">
        <v>859.10199999999998</v>
      </c>
      <c r="B2845">
        <v>7</v>
      </c>
      <c r="D2845" s="2">
        <v>116400.6</v>
      </c>
      <c r="M2845">
        <v>29</v>
      </c>
      <c r="Y2845" s="1">
        <f t="shared" si="222"/>
        <v>859.10199999999998</v>
      </c>
      <c r="Z2845" s="2">
        <f t="shared" si="223"/>
        <v>116400.6</v>
      </c>
      <c r="AA2845" s="2">
        <f t="shared" si="224"/>
        <v>116400.61366403523</v>
      </c>
      <c r="AB2845" s="1">
        <f t="shared" si="225"/>
        <v>0.11774551430681994</v>
      </c>
      <c r="AC2845" s="1" t="b">
        <f t="shared" si="226"/>
        <v>1</v>
      </c>
    </row>
    <row r="2846" spans="1:29" x14ac:dyDescent="0.25">
      <c r="A2846" s="1">
        <v>857.72299999999996</v>
      </c>
      <c r="B2846">
        <v>8</v>
      </c>
      <c r="D2846" s="2">
        <v>116587.8</v>
      </c>
      <c r="M2846">
        <v>29</v>
      </c>
      <c r="Y2846" s="1">
        <f t="shared" si="222"/>
        <v>857.72299999999996</v>
      </c>
      <c r="Z2846" s="2">
        <f t="shared" si="223"/>
        <v>116587.8</v>
      </c>
      <c r="AA2846" s="2">
        <f t="shared" si="224"/>
        <v>116587.75618702076</v>
      </c>
      <c r="AB2846" s="1">
        <f t="shared" si="225"/>
        <v>0.11796352446362099</v>
      </c>
      <c r="AC2846" s="1" t="b">
        <f t="shared" si="226"/>
        <v>1</v>
      </c>
    </row>
    <row r="2847" spans="1:29" x14ac:dyDescent="0.25">
      <c r="A2847" s="1">
        <v>857.61400000000003</v>
      </c>
      <c r="B2847">
        <v>1</v>
      </c>
      <c r="D2847" s="2">
        <v>116602.6</v>
      </c>
      <c r="M2847">
        <v>29</v>
      </c>
      <c r="Y2847" s="1">
        <f t="shared" si="222"/>
        <v>857.61400000000003</v>
      </c>
      <c r="Z2847" s="2">
        <f t="shared" si="223"/>
        <v>116602.6</v>
      </c>
      <c r="AA2847" s="2">
        <f t="shared" si="224"/>
        <v>116602.57411842623</v>
      </c>
      <c r="AB2847" s="1">
        <f t="shared" si="225"/>
        <v>0.11798080145521542</v>
      </c>
      <c r="AC2847" s="1" t="b">
        <f t="shared" si="226"/>
        <v>1</v>
      </c>
    </row>
    <row r="2848" spans="1:29" x14ac:dyDescent="0.25">
      <c r="A2848" s="1">
        <v>857.34799999999996</v>
      </c>
      <c r="B2848">
        <v>5</v>
      </c>
      <c r="D2848" s="2">
        <v>116638.8</v>
      </c>
      <c r="M2848">
        <v>29</v>
      </c>
      <c r="Y2848" s="1">
        <f t="shared" si="222"/>
        <v>857.34799999999996</v>
      </c>
      <c r="Z2848" s="2">
        <f t="shared" si="223"/>
        <v>116638.8</v>
      </c>
      <c r="AA2848" s="2">
        <f t="shared" si="224"/>
        <v>116638.75112556395</v>
      </c>
      <c r="AB2848" s="1">
        <f t="shared" si="225"/>
        <v>0.11802299132065623</v>
      </c>
      <c r="AC2848" s="1" t="b">
        <f t="shared" si="226"/>
        <v>1</v>
      </c>
    </row>
    <row r="2849" spans="1:29" x14ac:dyDescent="0.25">
      <c r="A2849" s="1">
        <v>857.21</v>
      </c>
      <c r="B2849">
        <v>1</v>
      </c>
      <c r="D2849" s="2">
        <v>116657.5</v>
      </c>
      <c r="M2849">
        <v>29</v>
      </c>
      <c r="Y2849" s="1">
        <f t="shared" si="222"/>
        <v>857.21</v>
      </c>
      <c r="Z2849" s="2">
        <f t="shared" si="223"/>
        <v>116657.5</v>
      </c>
      <c r="AA2849" s="2">
        <f t="shared" si="224"/>
        <v>116657.52849360133</v>
      </c>
      <c r="AB2849" s="1">
        <f t="shared" si="225"/>
        <v>0.11804489477117704</v>
      </c>
      <c r="AC2849" s="1" t="b">
        <f t="shared" si="226"/>
        <v>1</v>
      </c>
    </row>
    <row r="2850" spans="1:29" x14ac:dyDescent="0.25">
      <c r="A2850" s="1">
        <v>857.09100000000001</v>
      </c>
      <c r="B2850">
        <v>1</v>
      </c>
      <c r="D2850" s="2">
        <v>116673.7</v>
      </c>
      <c r="M2850">
        <v>29</v>
      </c>
      <c r="Y2850" s="1">
        <f t="shared" si="222"/>
        <v>857.09100000000001</v>
      </c>
      <c r="Z2850" s="2">
        <f t="shared" si="223"/>
        <v>116673.7</v>
      </c>
      <c r="AA2850" s="2">
        <f t="shared" si="224"/>
        <v>116673.725427055</v>
      </c>
      <c r="AB2850" s="1">
        <f t="shared" si="225"/>
        <v>0.1180637910251391</v>
      </c>
      <c r="AC2850" s="1" t="b">
        <f t="shared" si="226"/>
        <v>1</v>
      </c>
    </row>
    <row r="2851" spans="1:29" x14ac:dyDescent="0.25">
      <c r="A2851" s="1">
        <v>856.82600000000002</v>
      </c>
      <c r="B2851">
        <v>1</v>
      </c>
      <c r="D2851" s="2">
        <v>116709.8</v>
      </c>
      <c r="M2851">
        <v>29</v>
      </c>
      <c r="Y2851" s="1">
        <f t="shared" si="222"/>
        <v>856.82600000000002</v>
      </c>
      <c r="Z2851" s="2">
        <f t="shared" si="223"/>
        <v>116709.8</v>
      </c>
      <c r="AA2851" s="2">
        <f t="shared" si="224"/>
        <v>116709.81039324203</v>
      </c>
      <c r="AB2851" s="1">
        <f t="shared" si="225"/>
        <v>0.11810589921013254</v>
      </c>
      <c r="AC2851" s="1" t="b">
        <f t="shared" si="226"/>
        <v>1</v>
      </c>
    </row>
    <row r="2852" spans="1:29" x14ac:dyDescent="0.25">
      <c r="A2852" s="1">
        <v>856.74</v>
      </c>
      <c r="B2852">
        <v>2</v>
      </c>
      <c r="C2852" t="s">
        <v>123</v>
      </c>
      <c r="D2852" s="2">
        <v>116721.5</v>
      </c>
      <c r="M2852">
        <v>29</v>
      </c>
      <c r="Y2852" s="1">
        <f t="shared" si="222"/>
        <v>856.74</v>
      </c>
      <c r="Z2852" s="2">
        <f t="shared" si="223"/>
        <v>116721.5</v>
      </c>
      <c r="AA2852" s="2">
        <f t="shared" si="224"/>
        <v>116721.52578378505</v>
      </c>
      <c r="AB2852" s="1">
        <f t="shared" si="225"/>
        <v>0.118119572906474</v>
      </c>
      <c r="AC2852" s="1" t="b">
        <f t="shared" si="226"/>
        <v>1</v>
      </c>
    </row>
    <row r="2853" spans="1:29" x14ac:dyDescent="0.25">
      <c r="A2853" s="1">
        <v>856.28499999999997</v>
      </c>
      <c r="B2853">
        <v>1</v>
      </c>
      <c r="D2853" s="2">
        <v>116783.5</v>
      </c>
      <c r="M2853">
        <v>29</v>
      </c>
      <c r="Y2853" s="1">
        <f t="shared" si="222"/>
        <v>856.28499999999997</v>
      </c>
      <c r="Z2853" s="2">
        <f t="shared" si="223"/>
        <v>116783.5</v>
      </c>
      <c r="AA2853" s="2">
        <f t="shared" si="224"/>
        <v>116783.54753382344</v>
      </c>
      <c r="AB2853" s="1">
        <f t="shared" si="225"/>
        <v>0.118191984872924</v>
      </c>
      <c r="AC2853" s="1" t="b">
        <f t="shared" si="226"/>
        <v>1</v>
      </c>
    </row>
    <row r="2854" spans="1:29" x14ac:dyDescent="0.25">
      <c r="A2854" s="1">
        <v>856.19200000000001</v>
      </c>
      <c r="B2854">
        <v>20</v>
      </c>
      <c r="D2854" s="2">
        <v>116796.2</v>
      </c>
      <c r="M2854">
        <v>29</v>
      </c>
      <c r="Y2854" s="1">
        <f t="shared" si="222"/>
        <v>856.19200000000001</v>
      </c>
      <c r="Z2854" s="2">
        <f t="shared" si="223"/>
        <v>116796.2</v>
      </c>
      <c r="AA2854" s="2">
        <f t="shared" si="224"/>
        <v>116796.23262072059</v>
      </c>
      <c r="AB2854" s="1">
        <f t="shared" si="225"/>
        <v>0.11820679977196738</v>
      </c>
      <c r="AC2854" s="1" t="b">
        <f t="shared" si="226"/>
        <v>1</v>
      </c>
    </row>
    <row r="2855" spans="1:29" x14ac:dyDescent="0.25">
      <c r="A2855" s="1">
        <v>855.80799999999999</v>
      </c>
      <c r="B2855">
        <v>3</v>
      </c>
      <c r="D2855" s="2">
        <v>116848.6</v>
      </c>
      <c r="M2855">
        <v>29</v>
      </c>
      <c r="Y2855" s="1">
        <f t="shared" si="222"/>
        <v>855.80799999999999</v>
      </c>
      <c r="Z2855" s="2">
        <f t="shared" si="223"/>
        <v>116848.6</v>
      </c>
      <c r="AA2855" s="2">
        <f t="shared" si="224"/>
        <v>116848.63894705355</v>
      </c>
      <c r="AB2855" s="1">
        <f t="shared" si="225"/>
        <v>0.11826802211889439</v>
      </c>
      <c r="AC2855" s="1" t="b">
        <f t="shared" si="226"/>
        <v>1</v>
      </c>
    </row>
    <row r="2856" spans="1:29" x14ac:dyDescent="0.25">
      <c r="A2856" s="1">
        <v>855.71799999999996</v>
      </c>
      <c r="B2856">
        <v>20</v>
      </c>
      <c r="D2856" s="2">
        <v>116860.9</v>
      </c>
      <c r="M2856">
        <v>29</v>
      </c>
      <c r="Y2856" s="1">
        <f t="shared" si="222"/>
        <v>855.71799999999996</v>
      </c>
      <c r="Z2856" s="2">
        <f t="shared" si="223"/>
        <v>116860.9</v>
      </c>
      <c r="AA2856" s="2">
        <f t="shared" si="224"/>
        <v>116860.928483449</v>
      </c>
      <c r="AB2856" s="1">
        <f t="shared" si="225"/>
        <v>0.11828238303006891</v>
      </c>
      <c r="AC2856" s="1" t="b">
        <f t="shared" si="226"/>
        <v>1</v>
      </c>
    </row>
    <row r="2857" spans="1:29" x14ac:dyDescent="0.25">
      <c r="A2857" s="1">
        <v>855.42200000000003</v>
      </c>
      <c r="B2857">
        <v>1</v>
      </c>
      <c r="D2857" s="2">
        <v>116901.4</v>
      </c>
      <c r="M2857">
        <v>29</v>
      </c>
      <c r="Y2857" s="1">
        <f t="shared" si="222"/>
        <v>855.42200000000003</v>
      </c>
      <c r="Z2857" s="2">
        <f t="shared" si="223"/>
        <v>116901.4</v>
      </c>
      <c r="AA2857" s="2">
        <f t="shared" si="224"/>
        <v>116901.36564175342</v>
      </c>
      <c r="AB2857" s="1">
        <f t="shared" si="225"/>
        <v>0.11832964644453464</v>
      </c>
      <c r="AC2857" s="1" t="b">
        <f t="shared" si="226"/>
        <v>1</v>
      </c>
    </row>
    <row r="2858" spans="1:29" x14ac:dyDescent="0.25">
      <c r="A2858" s="1">
        <v>855.03800000000001</v>
      </c>
      <c r="B2858">
        <v>1</v>
      </c>
      <c r="D2858" s="2">
        <v>116953.9</v>
      </c>
      <c r="M2858">
        <v>29</v>
      </c>
      <c r="Y2858" s="1">
        <f t="shared" si="222"/>
        <v>855.03800000000001</v>
      </c>
      <c r="Z2858" s="2">
        <f t="shared" si="223"/>
        <v>116953.9</v>
      </c>
      <c r="AA2858" s="2">
        <f t="shared" si="224"/>
        <v>116953.86637786859</v>
      </c>
      <c r="AB2858" s="1">
        <f t="shared" si="225"/>
        <v>0.1183910343036617</v>
      </c>
      <c r="AC2858" s="1" t="b">
        <f t="shared" si="226"/>
        <v>1</v>
      </c>
    </row>
    <row r="2859" spans="1:29" x14ac:dyDescent="0.25">
      <c r="A2859" s="1">
        <v>854.69200000000001</v>
      </c>
      <c r="B2859">
        <v>1</v>
      </c>
      <c r="D2859" s="2">
        <v>117001.2</v>
      </c>
      <c r="M2859">
        <v>29</v>
      </c>
      <c r="Y2859" s="1">
        <f t="shared" si="222"/>
        <v>854.69200000000001</v>
      </c>
      <c r="Z2859" s="2">
        <f t="shared" si="223"/>
        <v>117001.2</v>
      </c>
      <c r="AA2859" s="2">
        <f t="shared" si="224"/>
        <v>117001.21213255769</v>
      </c>
      <c r="AB2859" s="1">
        <f t="shared" si="225"/>
        <v>0.11844641820243883</v>
      </c>
      <c r="AC2859" s="1" t="b">
        <f t="shared" si="226"/>
        <v>1</v>
      </c>
    </row>
    <row r="2860" spans="1:29" x14ac:dyDescent="0.25">
      <c r="A2860" s="1">
        <v>854.25400000000002</v>
      </c>
      <c r="B2860">
        <v>1</v>
      </c>
      <c r="D2860" s="2">
        <v>117061.2</v>
      </c>
      <c r="M2860">
        <v>29</v>
      </c>
      <c r="Y2860" s="1">
        <f t="shared" si="222"/>
        <v>854.25400000000002</v>
      </c>
      <c r="Z2860" s="2">
        <f t="shared" si="223"/>
        <v>117061.2</v>
      </c>
      <c r="AA2860" s="2">
        <f t="shared" si="224"/>
        <v>117061.20193759701</v>
      </c>
      <c r="AB2860" s="1">
        <f t="shared" si="225"/>
        <v>0.11851662499537434</v>
      </c>
      <c r="AC2860" s="1" t="b">
        <f t="shared" si="226"/>
        <v>1</v>
      </c>
    </row>
    <row r="2861" spans="1:29" x14ac:dyDescent="0.25">
      <c r="A2861" s="1">
        <v>853.78200000000004</v>
      </c>
      <c r="B2861">
        <v>2</v>
      </c>
      <c r="D2861" s="2">
        <v>117125.9</v>
      </c>
      <c r="M2861">
        <v>29</v>
      </c>
      <c r="Y2861" s="1">
        <f t="shared" si="222"/>
        <v>853.78200000000004</v>
      </c>
      <c r="Z2861" s="2">
        <f t="shared" si="223"/>
        <v>117125.9</v>
      </c>
      <c r="AA2861" s="2">
        <f t="shared" si="224"/>
        <v>117125.91738874794</v>
      </c>
      <c r="AB2861" s="1">
        <f t="shared" si="225"/>
        <v>0.11859240262077905</v>
      </c>
      <c r="AC2861" s="1" t="b">
        <f t="shared" si="226"/>
        <v>1</v>
      </c>
    </row>
    <row r="2862" spans="1:29" x14ac:dyDescent="0.25">
      <c r="A2862" s="1">
        <v>853.41300000000001</v>
      </c>
      <c r="B2862">
        <v>10</v>
      </c>
      <c r="D2862" s="2">
        <v>117176.6</v>
      </c>
      <c r="M2862">
        <v>29</v>
      </c>
      <c r="Y2862" s="1">
        <f t="shared" si="222"/>
        <v>853.41300000000001</v>
      </c>
      <c r="Z2862" s="2">
        <f t="shared" si="223"/>
        <v>117176.6</v>
      </c>
      <c r="AA2862" s="2">
        <f t="shared" si="224"/>
        <v>117176.56046954991</v>
      </c>
      <c r="AB2862" s="1">
        <f t="shared" si="225"/>
        <v>0.11865173161737043</v>
      </c>
      <c r="AC2862" s="1" t="b">
        <f t="shared" si="226"/>
        <v>1</v>
      </c>
    </row>
    <row r="2863" spans="1:29" x14ac:dyDescent="0.25">
      <c r="A2863" s="1">
        <v>853.31799999999998</v>
      </c>
      <c r="B2863">
        <v>2</v>
      </c>
      <c r="D2863" s="2">
        <v>117189.6</v>
      </c>
      <c r="M2863">
        <v>29</v>
      </c>
      <c r="Y2863" s="1">
        <f t="shared" si="222"/>
        <v>853.31799999999998</v>
      </c>
      <c r="Z2863" s="2">
        <f t="shared" si="223"/>
        <v>117189.6</v>
      </c>
      <c r="AA2863" s="2">
        <f t="shared" si="224"/>
        <v>117189.60575072834</v>
      </c>
      <c r="AB2863" s="1">
        <f t="shared" si="225"/>
        <v>0.1186670184800557</v>
      </c>
      <c r="AC2863" s="1" t="b">
        <f t="shared" si="226"/>
        <v>1</v>
      </c>
    </row>
    <row r="2864" spans="1:29" x14ac:dyDescent="0.25">
      <c r="A2864" s="1">
        <v>853.22900000000004</v>
      </c>
      <c r="B2864">
        <v>4</v>
      </c>
      <c r="D2864" s="2">
        <v>117201.8</v>
      </c>
      <c r="M2864">
        <v>29</v>
      </c>
      <c r="Y2864" s="1">
        <f t="shared" si="222"/>
        <v>853.22900000000004</v>
      </c>
      <c r="Z2864" s="2">
        <f t="shared" si="223"/>
        <v>117201.8</v>
      </c>
      <c r="AA2864" s="2">
        <f t="shared" si="224"/>
        <v>117201.82975496612</v>
      </c>
      <c r="AB2864" s="1">
        <f t="shared" si="225"/>
        <v>0.11868134448956032</v>
      </c>
      <c r="AC2864" s="1" t="b">
        <f t="shared" si="226"/>
        <v>1</v>
      </c>
    </row>
    <row r="2865" spans="1:29" x14ac:dyDescent="0.25">
      <c r="A2865" s="1">
        <v>853.12</v>
      </c>
      <c r="B2865">
        <v>1</v>
      </c>
      <c r="D2865" s="2">
        <v>117216.8</v>
      </c>
      <c r="M2865">
        <v>29</v>
      </c>
      <c r="Y2865" s="1">
        <f t="shared" si="222"/>
        <v>853.12</v>
      </c>
      <c r="Z2865" s="2">
        <f t="shared" si="223"/>
        <v>117216.8</v>
      </c>
      <c r="AA2865" s="2">
        <f t="shared" si="224"/>
        <v>117216.80420105027</v>
      </c>
      <c r="AB2865" s="1">
        <f t="shared" si="225"/>
        <v>0.11869889593553679</v>
      </c>
      <c r="AC2865" s="1" t="b">
        <f t="shared" si="226"/>
        <v>1</v>
      </c>
    </row>
    <row r="2866" spans="1:29" x14ac:dyDescent="0.25">
      <c r="A2866" s="1">
        <v>853.05399999999997</v>
      </c>
      <c r="B2866">
        <v>1</v>
      </c>
      <c r="D2866" s="2">
        <v>117225.9</v>
      </c>
      <c r="M2866">
        <v>29</v>
      </c>
      <c r="Y2866" s="1">
        <f t="shared" si="222"/>
        <v>853.05399999999997</v>
      </c>
      <c r="Z2866" s="2">
        <f t="shared" si="223"/>
        <v>117225.9</v>
      </c>
      <c r="AA2866" s="2">
        <f t="shared" si="224"/>
        <v>117225.87315691622</v>
      </c>
      <c r="AB2866" s="1">
        <f t="shared" si="225"/>
        <v>0.11870952668700706</v>
      </c>
      <c r="AC2866" s="1" t="b">
        <f t="shared" si="226"/>
        <v>1</v>
      </c>
    </row>
    <row r="2867" spans="1:29" x14ac:dyDescent="0.25">
      <c r="A2867" s="1">
        <v>852.96799999999996</v>
      </c>
      <c r="B2867">
        <v>1</v>
      </c>
      <c r="D2867" s="2">
        <v>117237.7</v>
      </c>
      <c r="M2867">
        <v>29</v>
      </c>
      <c r="Y2867" s="1">
        <f t="shared" si="222"/>
        <v>852.96799999999996</v>
      </c>
      <c r="Z2867" s="2">
        <f t="shared" si="223"/>
        <v>117237.7</v>
      </c>
      <c r="AA2867" s="2">
        <f t="shared" si="224"/>
        <v>117237.69238705322</v>
      </c>
      <c r="AB2867" s="1">
        <f t="shared" si="225"/>
        <v>0.11872338258120659</v>
      </c>
      <c r="AC2867" s="1" t="b">
        <f t="shared" si="226"/>
        <v>1</v>
      </c>
    </row>
    <row r="2868" spans="1:29" x14ac:dyDescent="0.25">
      <c r="A2868" s="1">
        <v>851.86699999999996</v>
      </c>
      <c r="B2868">
        <v>2</v>
      </c>
      <c r="D2868" s="2">
        <v>117389.2</v>
      </c>
      <c r="M2868">
        <v>29</v>
      </c>
      <c r="Y2868" s="1">
        <f t="shared" si="222"/>
        <v>851.86699999999996</v>
      </c>
      <c r="Z2868" s="2">
        <f t="shared" si="223"/>
        <v>117389.2</v>
      </c>
      <c r="AA2868" s="2">
        <f t="shared" si="224"/>
        <v>117389.21686131756</v>
      </c>
      <c r="AB2868" s="1">
        <f t="shared" si="225"/>
        <v>0.11890114117656722</v>
      </c>
      <c r="AC2868" s="1" t="b">
        <f t="shared" si="226"/>
        <v>1</v>
      </c>
    </row>
    <row r="2869" spans="1:29" x14ac:dyDescent="0.25">
      <c r="A2869" s="1">
        <v>851.524</v>
      </c>
      <c r="B2869">
        <v>2</v>
      </c>
      <c r="D2869" s="2">
        <v>117436.5</v>
      </c>
      <c r="M2869">
        <v>29</v>
      </c>
      <c r="Y2869" s="1">
        <f t="shared" si="222"/>
        <v>851.524</v>
      </c>
      <c r="Z2869" s="2">
        <f t="shared" si="223"/>
        <v>117436.5</v>
      </c>
      <c r="AA2869" s="2">
        <f t="shared" si="224"/>
        <v>117436.50208332355</v>
      </c>
      <c r="AB2869" s="1">
        <f t="shared" si="225"/>
        <v>0.11895666010783229</v>
      </c>
      <c r="AC2869" s="1" t="b">
        <f t="shared" si="226"/>
        <v>1</v>
      </c>
    </row>
    <row r="2870" spans="1:29" x14ac:dyDescent="0.25">
      <c r="A2870" s="1">
        <v>851.43799999999999</v>
      </c>
      <c r="B2870">
        <v>3</v>
      </c>
      <c r="D2870" s="2">
        <v>117448.4</v>
      </c>
      <c r="M2870">
        <v>29</v>
      </c>
      <c r="Y2870" s="1">
        <f t="shared" si="222"/>
        <v>851.43799999999999</v>
      </c>
      <c r="Z2870" s="2">
        <f t="shared" si="223"/>
        <v>117448.4</v>
      </c>
      <c r="AA2870" s="2">
        <f t="shared" si="224"/>
        <v>117448.36382684353</v>
      </c>
      <c r="AB2870" s="1">
        <f t="shared" si="225"/>
        <v>0.11897059082801305</v>
      </c>
      <c r="AC2870" s="1" t="b">
        <f t="shared" si="226"/>
        <v>1</v>
      </c>
    </row>
    <row r="2871" spans="1:29" x14ac:dyDescent="0.25">
      <c r="A2871" s="1">
        <v>851.36099999999999</v>
      </c>
      <c r="B2871">
        <v>8</v>
      </c>
      <c r="D2871" s="2">
        <v>117459</v>
      </c>
      <c r="M2871">
        <v>29</v>
      </c>
      <c r="Y2871" s="1">
        <f t="shared" si="222"/>
        <v>851.36099999999999</v>
      </c>
      <c r="Z2871" s="2">
        <f t="shared" si="223"/>
        <v>117459</v>
      </c>
      <c r="AA2871" s="2">
        <f t="shared" si="224"/>
        <v>117458.9862584732</v>
      </c>
      <c r="AB2871" s="1">
        <f t="shared" si="225"/>
        <v>0.11898306726434099</v>
      </c>
      <c r="AC2871" s="1" t="b">
        <f t="shared" si="226"/>
        <v>1</v>
      </c>
    </row>
    <row r="2872" spans="1:29" x14ac:dyDescent="0.25">
      <c r="A2872" s="1">
        <v>851.30100000000004</v>
      </c>
      <c r="B2872">
        <v>200</v>
      </c>
      <c r="D2872" s="2">
        <v>117467.3</v>
      </c>
      <c r="M2872">
        <v>29</v>
      </c>
      <c r="Y2872" s="1">
        <f t="shared" si="222"/>
        <v>851.30100000000004</v>
      </c>
      <c r="Z2872" s="2">
        <f t="shared" si="223"/>
        <v>117467.3</v>
      </c>
      <c r="AA2872" s="2">
        <f t="shared" si="224"/>
        <v>117467.26480997907</v>
      </c>
      <c r="AB2872" s="1">
        <f t="shared" si="225"/>
        <v>0.11899279150968874</v>
      </c>
      <c r="AC2872" s="1" t="b">
        <f t="shared" si="226"/>
        <v>1</v>
      </c>
    </row>
    <row r="2873" spans="1:29" x14ac:dyDescent="0.25">
      <c r="A2873" s="1">
        <v>851.16800000000001</v>
      </c>
      <c r="B2873">
        <v>15</v>
      </c>
      <c r="D2873" s="2">
        <v>117485.6</v>
      </c>
      <c r="M2873">
        <v>29</v>
      </c>
      <c r="Y2873" s="1">
        <f t="shared" si="222"/>
        <v>851.16800000000001</v>
      </c>
      <c r="Z2873" s="2">
        <f t="shared" si="223"/>
        <v>117485.6</v>
      </c>
      <c r="AA2873" s="2">
        <f t="shared" si="224"/>
        <v>117485.61976014136</v>
      </c>
      <c r="AB2873" s="1">
        <f t="shared" si="225"/>
        <v>0.11901435425212259</v>
      </c>
      <c r="AC2873" s="1" t="b">
        <f t="shared" si="226"/>
        <v>1</v>
      </c>
    </row>
    <row r="2874" spans="1:29" x14ac:dyDescent="0.25">
      <c r="A2874" s="1">
        <v>850.90300000000002</v>
      </c>
      <c r="B2874">
        <v>5</v>
      </c>
      <c r="D2874" s="2">
        <v>117522.2</v>
      </c>
      <c r="M2874">
        <v>29</v>
      </c>
      <c r="Y2874" s="1">
        <f t="shared" si="222"/>
        <v>850.90300000000002</v>
      </c>
      <c r="Z2874" s="2">
        <f t="shared" si="223"/>
        <v>117522.2</v>
      </c>
      <c r="AA2874" s="2">
        <f t="shared" si="224"/>
        <v>117522.20875940031</v>
      </c>
      <c r="AB2874" s="1">
        <f t="shared" si="225"/>
        <v>0.11905734775844033</v>
      </c>
      <c r="AC2874" s="1" t="b">
        <f t="shared" si="226"/>
        <v>1</v>
      </c>
    </row>
    <row r="2875" spans="1:29" x14ac:dyDescent="0.25">
      <c r="A2875" s="1">
        <v>850.33100000000002</v>
      </c>
      <c r="B2875">
        <v>5</v>
      </c>
      <c r="D2875" s="2">
        <v>117601.3</v>
      </c>
      <c r="M2875">
        <v>29</v>
      </c>
      <c r="Y2875" s="1">
        <f t="shared" si="222"/>
        <v>850.33100000000002</v>
      </c>
      <c r="Z2875" s="2">
        <f t="shared" si="223"/>
        <v>117601.3</v>
      </c>
      <c r="AA2875" s="2">
        <f t="shared" si="224"/>
        <v>117601.26350797513</v>
      </c>
      <c r="AB2875" s="1">
        <f t="shared" si="225"/>
        <v>0.11915028589336102</v>
      </c>
      <c r="AC2875" s="1" t="b">
        <f t="shared" si="226"/>
        <v>1</v>
      </c>
    </row>
    <row r="2876" spans="1:29" x14ac:dyDescent="0.25">
      <c r="A2876" s="1">
        <v>850.15599999999995</v>
      </c>
      <c r="B2876">
        <v>10</v>
      </c>
      <c r="C2876" t="s">
        <v>124</v>
      </c>
      <c r="D2876" s="2">
        <v>117625.5</v>
      </c>
      <c r="M2876">
        <v>29</v>
      </c>
      <c r="Y2876" s="1">
        <f t="shared" si="222"/>
        <v>850.15599999999995</v>
      </c>
      <c r="Z2876" s="2">
        <f t="shared" si="223"/>
        <v>117625.5</v>
      </c>
      <c r="AA2876" s="2">
        <f t="shared" si="224"/>
        <v>117625.47109001172</v>
      </c>
      <c r="AB2876" s="1">
        <f t="shared" si="225"/>
        <v>0.11917875724573591</v>
      </c>
      <c r="AC2876" s="1" t="b">
        <f t="shared" si="226"/>
        <v>1</v>
      </c>
    </row>
    <row r="2877" spans="1:29" x14ac:dyDescent="0.25">
      <c r="A2877" s="1">
        <v>850.06100000000004</v>
      </c>
      <c r="B2877">
        <v>1</v>
      </c>
      <c r="D2877" s="2">
        <v>117638.6</v>
      </c>
      <c r="M2877">
        <v>29</v>
      </c>
      <c r="Y2877" s="1">
        <f t="shared" si="222"/>
        <v>850.06100000000004</v>
      </c>
      <c r="Z2877" s="2">
        <f t="shared" si="223"/>
        <v>117638.6</v>
      </c>
      <c r="AA2877" s="2">
        <f t="shared" si="224"/>
        <v>117638.61652281423</v>
      </c>
      <c r="AB2877" s="1">
        <f t="shared" si="225"/>
        <v>0.11919422048700871</v>
      </c>
      <c r="AC2877" s="1" t="b">
        <f t="shared" si="226"/>
        <v>1</v>
      </c>
    </row>
    <row r="2878" spans="1:29" x14ac:dyDescent="0.25">
      <c r="A2878" s="1">
        <v>850.01099999999997</v>
      </c>
      <c r="B2878">
        <v>1</v>
      </c>
      <c r="D2878" s="2">
        <v>117645.5</v>
      </c>
      <c r="M2878">
        <v>29</v>
      </c>
      <c r="Y2878" s="1">
        <f t="shared" si="222"/>
        <v>850.01099999999997</v>
      </c>
      <c r="Z2878" s="2">
        <f t="shared" si="223"/>
        <v>117645.5</v>
      </c>
      <c r="AA2878" s="2">
        <f t="shared" si="224"/>
        <v>117645.5363518825</v>
      </c>
      <c r="AB2878" s="1">
        <f t="shared" si="225"/>
        <v>0.11920236111761054</v>
      </c>
      <c r="AC2878" s="1" t="b">
        <f t="shared" si="226"/>
        <v>1</v>
      </c>
    </row>
    <row r="2879" spans="1:29" x14ac:dyDescent="0.25">
      <c r="A2879" s="1">
        <v>849.89499999999998</v>
      </c>
      <c r="B2879">
        <v>20</v>
      </c>
      <c r="D2879" s="2">
        <v>117661.6</v>
      </c>
      <c r="M2879">
        <v>29</v>
      </c>
      <c r="Y2879" s="1">
        <f t="shared" si="222"/>
        <v>849.89499999999998</v>
      </c>
      <c r="Z2879" s="2">
        <f t="shared" si="223"/>
        <v>117661.6</v>
      </c>
      <c r="AA2879" s="2">
        <f t="shared" si="224"/>
        <v>117661.59349096064</v>
      </c>
      <c r="AB2879" s="1">
        <f t="shared" si="225"/>
        <v>0.11922125291416037</v>
      </c>
      <c r="AC2879" s="1" t="b">
        <f t="shared" si="226"/>
        <v>1</v>
      </c>
    </row>
    <row r="2880" spans="1:29" x14ac:dyDescent="0.25">
      <c r="A2880" s="1">
        <v>849.803</v>
      </c>
      <c r="B2880">
        <v>20</v>
      </c>
      <c r="D2880" s="2">
        <v>117674.3</v>
      </c>
      <c r="M2880">
        <v>29</v>
      </c>
      <c r="Y2880" s="1">
        <f t="shared" si="222"/>
        <v>849.803</v>
      </c>
      <c r="Z2880" s="2">
        <f t="shared" si="223"/>
        <v>117674.3</v>
      </c>
      <c r="AA2880" s="2">
        <f t="shared" si="224"/>
        <v>117674.33158037804</v>
      </c>
      <c r="AB2880" s="1">
        <f t="shared" si="225"/>
        <v>0.11923624156444379</v>
      </c>
      <c r="AC2880" s="1" t="b">
        <f t="shared" si="226"/>
        <v>1</v>
      </c>
    </row>
    <row r="2881" spans="1:29" x14ac:dyDescent="0.25">
      <c r="A2881" s="1">
        <v>848.71799999999996</v>
      </c>
      <c r="B2881">
        <v>1</v>
      </c>
      <c r="D2881" s="2">
        <v>117824.8</v>
      </c>
      <c r="M2881">
        <v>29</v>
      </c>
      <c r="Y2881" s="1">
        <f t="shared" si="222"/>
        <v>848.71799999999996</v>
      </c>
      <c r="Z2881" s="2">
        <f t="shared" si="223"/>
        <v>117824.8</v>
      </c>
      <c r="AA2881" s="2">
        <f t="shared" si="224"/>
        <v>117824.76629457605</v>
      </c>
      <c r="AB2881" s="1">
        <f t="shared" si="225"/>
        <v>0.11941337776185734</v>
      </c>
      <c r="AC2881" s="1" t="b">
        <f t="shared" si="226"/>
        <v>1</v>
      </c>
    </row>
    <row r="2882" spans="1:29" x14ac:dyDescent="0.25">
      <c r="A2882" s="1">
        <v>848.65700000000004</v>
      </c>
      <c r="B2882">
        <v>10</v>
      </c>
      <c r="D2882" s="2">
        <v>117833.2</v>
      </c>
      <c r="M2882">
        <v>29</v>
      </c>
      <c r="Y2882" s="1">
        <f t="shared" si="222"/>
        <v>848.65700000000004</v>
      </c>
      <c r="Z2882" s="2">
        <f t="shared" si="223"/>
        <v>117833.2</v>
      </c>
      <c r="AA2882" s="2">
        <f t="shared" si="224"/>
        <v>117833.23533535928</v>
      </c>
      <c r="AB2882" s="1">
        <f t="shared" si="225"/>
        <v>0.11942335674799082</v>
      </c>
      <c r="AC2882" s="1" t="b">
        <f t="shared" si="226"/>
        <v>1</v>
      </c>
    </row>
    <row r="2883" spans="1:29" x14ac:dyDescent="0.25">
      <c r="A2883" s="1">
        <v>848.44</v>
      </c>
      <c r="B2883">
        <v>1</v>
      </c>
      <c r="D2883" s="2">
        <v>117863.4</v>
      </c>
      <c r="M2883">
        <v>29</v>
      </c>
      <c r="Y2883" s="1">
        <f t="shared" ref="Y2883:Y2946" si="227">ROUND($A2883,3)+0</f>
        <v>848.44</v>
      </c>
      <c r="Z2883" s="2">
        <f t="shared" ref="Z2883:Z2946" si="228">ROUND($D2883,1)+0</f>
        <v>117863.4</v>
      </c>
      <c r="AA2883" s="2">
        <f t="shared" ref="AA2883:AA2946" si="229">100000000/Y2883</f>
        <v>117863.37277827541</v>
      </c>
      <c r="AB2883" s="1">
        <f t="shared" ref="AB2883:AB2946" si="230">0.0005/$Y2883*AA2883+0.05</f>
        <v>0.11945887321335358</v>
      </c>
      <c r="AC2883" s="1" t="b">
        <f t="shared" ref="AC2883:AC2946" si="231">ABS(Z2883-AA2883)&lt;AB2883</f>
        <v>1</v>
      </c>
    </row>
    <row r="2884" spans="1:29" x14ac:dyDescent="0.25">
      <c r="A2884" s="1">
        <v>847.72900000000004</v>
      </c>
      <c r="B2884">
        <v>1</v>
      </c>
      <c r="D2884" s="2">
        <v>117962.2</v>
      </c>
      <c r="M2884">
        <v>29</v>
      </c>
      <c r="Y2884" s="1">
        <f t="shared" si="227"/>
        <v>847.72900000000004</v>
      </c>
      <c r="Z2884" s="2">
        <f t="shared" si="228"/>
        <v>117962.2</v>
      </c>
      <c r="AA2884" s="2">
        <f t="shared" si="229"/>
        <v>117962.22613594674</v>
      </c>
      <c r="AB2884" s="1">
        <f t="shared" si="230"/>
        <v>0.11957543397474119</v>
      </c>
      <c r="AC2884" s="1" t="b">
        <f t="shared" si="231"/>
        <v>1</v>
      </c>
    </row>
    <row r="2885" spans="1:29" x14ac:dyDescent="0.25">
      <c r="A2885" s="1">
        <v>847.47400000000005</v>
      </c>
      <c r="B2885">
        <v>3</v>
      </c>
      <c r="D2885" s="2">
        <v>117997.7</v>
      </c>
      <c r="M2885">
        <v>29</v>
      </c>
      <c r="Y2885" s="1">
        <f t="shared" si="227"/>
        <v>847.47400000000005</v>
      </c>
      <c r="Z2885" s="2">
        <f t="shared" si="228"/>
        <v>117997.7</v>
      </c>
      <c r="AA2885" s="2">
        <f t="shared" si="229"/>
        <v>117997.7202840441</v>
      </c>
      <c r="AB2885" s="1">
        <f t="shared" si="230"/>
        <v>0.11961730996115758</v>
      </c>
      <c r="AC2885" s="1" t="b">
        <f t="shared" si="231"/>
        <v>1</v>
      </c>
    </row>
    <row r="2886" spans="1:29" x14ac:dyDescent="0.25">
      <c r="A2886" s="1">
        <v>846.56500000000005</v>
      </c>
      <c r="B2886">
        <v>2</v>
      </c>
      <c r="D2886" s="2">
        <v>118124.4</v>
      </c>
      <c r="M2886">
        <v>29</v>
      </c>
      <c r="Y2886" s="1">
        <f t="shared" si="227"/>
        <v>846.56500000000005</v>
      </c>
      <c r="Z2886" s="2">
        <f t="shared" si="228"/>
        <v>118124.4</v>
      </c>
      <c r="AA2886" s="2">
        <f t="shared" si="229"/>
        <v>118124.42045206214</v>
      </c>
      <c r="AB2886" s="1">
        <f t="shared" si="230"/>
        <v>0.11976689353567779</v>
      </c>
      <c r="AC2886" s="1" t="b">
        <f t="shared" si="231"/>
        <v>1</v>
      </c>
    </row>
    <row r="2887" spans="1:29" x14ac:dyDescent="0.25">
      <c r="A2887" s="1">
        <v>846.20899999999995</v>
      </c>
      <c r="B2887">
        <v>2</v>
      </c>
      <c r="D2887" s="2">
        <v>118174.1</v>
      </c>
      <c r="M2887">
        <v>29</v>
      </c>
      <c r="Y2887" s="1">
        <f t="shared" si="227"/>
        <v>846.20899999999995</v>
      </c>
      <c r="Z2887" s="2">
        <f t="shared" si="228"/>
        <v>118174.1</v>
      </c>
      <c r="AA2887" s="2">
        <f t="shared" si="229"/>
        <v>118174.11537811582</v>
      </c>
      <c r="AB2887" s="1">
        <f t="shared" si="230"/>
        <v>0.11982560772700115</v>
      </c>
      <c r="AC2887" s="1" t="b">
        <f t="shared" si="231"/>
        <v>1</v>
      </c>
    </row>
    <row r="2888" spans="1:29" x14ac:dyDescent="0.25">
      <c r="A2888" s="1">
        <v>845.71</v>
      </c>
      <c r="B2888">
        <v>7</v>
      </c>
      <c r="D2888" s="2">
        <v>118243.8</v>
      </c>
      <c r="M2888">
        <v>29</v>
      </c>
      <c r="Y2888" s="1">
        <f t="shared" si="227"/>
        <v>845.71</v>
      </c>
      <c r="Z2888" s="2">
        <f t="shared" si="228"/>
        <v>118243.8</v>
      </c>
      <c r="AA2888" s="2">
        <f t="shared" si="229"/>
        <v>118243.84245190432</v>
      </c>
      <c r="AB2888" s="1">
        <f t="shared" si="230"/>
        <v>0.11990803138895385</v>
      </c>
      <c r="AC2888" s="1" t="b">
        <f t="shared" si="231"/>
        <v>1</v>
      </c>
    </row>
    <row r="2889" spans="1:29" x14ac:dyDescent="0.25">
      <c r="A2889" s="1">
        <v>845.23099999999999</v>
      </c>
      <c r="B2889">
        <v>10</v>
      </c>
      <c r="D2889" s="2">
        <v>118310.8</v>
      </c>
      <c r="M2889">
        <v>29</v>
      </c>
      <c r="Y2889" s="1">
        <f t="shared" si="227"/>
        <v>845.23099999999999</v>
      </c>
      <c r="Z2889" s="2">
        <f t="shared" si="228"/>
        <v>118310.8</v>
      </c>
      <c r="AA2889" s="2">
        <f t="shared" si="229"/>
        <v>118310.85229954887</v>
      </c>
      <c r="AB2889" s="1">
        <f t="shared" si="230"/>
        <v>0.11998728885922835</v>
      </c>
      <c r="AC2889" s="1" t="b">
        <f t="shared" si="231"/>
        <v>1</v>
      </c>
    </row>
    <row r="2890" spans="1:29" x14ac:dyDescent="0.25">
      <c r="A2890" s="1">
        <v>845.06600000000003</v>
      </c>
      <c r="B2890">
        <v>5</v>
      </c>
      <c r="D2890" s="2">
        <v>118334</v>
      </c>
      <c r="M2890">
        <v>29</v>
      </c>
      <c r="Y2890" s="1">
        <f t="shared" si="227"/>
        <v>845.06600000000003</v>
      </c>
      <c r="Z2890" s="2">
        <f t="shared" si="228"/>
        <v>118334</v>
      </c>
      <c r="AA2890" s="2">
        <f t="shared" si="229"/>
        <v>118333.95261435201</v>
      </c>
      <c r="AB2890" s="1">
        <f t="shared" si="230"/>
        <v>0.12001462170667854</v>
      </c>
      <c r="AC2890" s="1" t="b">
        <f t="shared" si="231"/>
        <v>1</v>
      </c>
    </row>
    <row r="2891" spans="1:29" x14ac:dyDescent="0.25">
      <c r="A2891" s="1">
        <v>844.78800000000001</v>
      </c>
      <c r="B2891">
        <v>3</v>
      </c>
      <c r="D2891" s="2">
        <v>118372.9</v>
      </c>
      <c r="M2891">
        <v>29</v>
      </c>
      <c r="Y2891" s="1">
        <f t="shared" si="227"/>
        <v>844.78800000000001</v>
      </c>
      <c r="Z2891" s="2">
        <f t="shared" si="228"/>
        <v>118372.9</v>
      </c>
      <c r="AA2891" s="2">
        <f t="shared" si="229"/>
        <v>118372.89355435919</v>
      </c>
      <c r="AB2891" s="1">
        <f t="shared" si="230"/>
        <v>0.12006070964215827</v>
      </c>
      <c r="AC2891" s="1" t="b">
        <f t="shared" si="231"/>
        <v>1</v>
      </c>
    </row>
    <row r="2892" spans="1:29" x14ac:dyDescent="0.25">
      <c r="A2892" s="1">
        <v>844.39499999999998</v>
      </c>
      <c r="B2892">
        <v>100</v>
      </c>
      <c r="D2892" s="2">
        <v>118428</v>
      </c>
      <c r="M2892">
        <v>29</v>
      </c>
      <c r="Y2892" s="1">
        <f t="shared" si="227"/>
        <v>844.39499999999998</v>
      </c>
      <c r="Z2892" s="2">
        <f t="shared" si="228"/>
        <v>118428</v>
      </c>
      <c r="AA2892" s="2">
        <f t="shared" si="229"/>
        <v>118427.98690186466</v>
      </c>
      <c r="AB2892" s="1">
        <f t="shared" si="230"/>
        <v>0.12012594040814113</v>
      </c>
      <c r="AC2892" s="1" t="b">
        <f t="shared" si="231"/>
        <v>1</v>
      </c>
    </row>
    <row r="2893" spans="1:29" x14ac:dyDescent="0.25">
      <c r="A2893" s="1">
        <v>843.99800000000005</v>
      </c>
      <c r="B2893">
        <v>2</v>
      </c>
      <c r="D2893" s="2">
        <v>118483.7</v>
      </c>
      <c r="M2893">
        <v>29</v>
      </c>
      <c r="Y2893" s="1">
        <f t="shared" si="227"/>
        <v>843.99800000000005</v>
      </c>
      <c r="Z2893" s="2">
        <f t="shared" si="228"/>
        <v>118483.7</v>
      </c>
      <c r="AA2893" s="2">
        <f t="shared" si="229"/>
        <v>118483.69308932011</v>
      </c>
      <c r="AB2893" s="1">
        <f t="shared" si="230"/>
        <v>0.12019192764042101</v>
      </c>
      <c r="AC2893" s="1" t="b">
        <f t="shared" si="231"/>
        <v>1</v>
      </c>
    </row>
    <row r="2894" spans="1:29" x14ac:dyDescent="0.25">
      <c r="A2894" s="1">
        <v>843.88699999999994</v>
      </c>
      <c r="B2894">
        <v>10</v>
      </c>
      <c r="D2894" s="2">
        <v>118499.3</v>
      </c>
      <c r="M2894">
        <v>29</v>
      </c>
      <c r="Y2894" s="1">
        <f t="shared" si="227"/>
        <v>843.88699999999994</v>
      </c>
      <c r="Z2894" s="2">
        <f t="shared" si="228"/>
        <v>118499.3</v>
      </c>
      <c r="AA2894" s="2">
        <f t="shared" si="229"/>
        <v>118499.27774690214</v>
      </c>
      <c r="AB2894" s="1">
        <f t="shared" si="230"/>
        <v>0.12021039413268729</v>
      </c>
      <c r="AC2894" s="1" t="b">
        <f t="shared" si="231"/>
        <v>1</v>
      </c>
    </row>
    <row r="2895" spans="1:29" x14ac:dyDescent="0.25">
      <c r="A2895" s="1">
        <v>843.54200000000003</v>
      </c>
      <c r="B2895">
        <v>40</v>
      </c>
      <c r="C2895" t="s">
        <v>124</v>
      </c>
      <c r="D2895" s="2">
        <v>118547.7</v>
      </c>
      <c r="M2895">
        <v>29</v>
      </c>
      <c r="Y2895" s="1">
        <f t="shared" si="227"/>
        <v>843.54200000000003</v>
      </c>
      <c r="Z2895" s="2">
        <f t="shared" si="228"/>
        <v>118547.7</v>
      </c>
      <c r="AA2895" s="2">
        <f t="shared" si="229"/>
        <v>118547.74273243063</v>
      </c>
      <c r="AB2895" s="1">
        <f t="shared" si="230"/>
        <v>0.1202678365347728</v>
      </c>
      <c r="AC2895" s="1" t="b">
        <f t="shared" si="231"/>
        <v>1</v>
      </c>
    </row>
    <row r="2896" spans="1:29" x14ac:dyDescent="0.25">
      <c r="A2896" s="1">
        <v>843.33799999999997</v>
      </c>
      <c r="B2896">
        <v>200</v>
      </c>
      <c r="D2896" s="2">
        <v>118576.4</v>
      </c>
      <c r="M2896">
        <v>29</v>
      </c>
      <c r="Y2896" s="1">
        <f t="shared" si="227"/>
        <v>843.33799999999997</v>
      </c>
      <c r="Z2896" s="2">
        <f t="shared" si="228"/>
        <v>118576.4</v>
      </c>
      <c r="AA2896" s="2">
        <f t="shared" si="229"/>
        <v>118576.41894471731</v>
      </c>
      <c r="AB2896" s="1">
        <f t="shared" si="230"/>
        <v>0.12030183564876556</v>
      </c>
      <c r="AC2896" s="1" t="b">
        <f t="shared" si="231"/>
        <v>1</v>
      </c>
    </row>
    <row r="2897" spans="1:29" x14ac:dyDescent="0.25">
      <c r="A2897" s="1">
        <v>843.31200000000001</v>
      </c>
      <c r="B2897">
        <v>10</v>
      </c>
      <c r="C2897" t="s">
        <v>122</v>
      </c>
      <c r="D2897" s="2">
        <v>118580.1</v>
      </c>
      <c r="M2897">
        <v>29</v>
      </c>
      <c r="Y2897" s="1">
        <f t="shared" si="227"/>
        <v>843.31200000000001</v>
      </c>
      <c r="Z2897" s="2">
        <f t="shared" si="228"/>
        <v>118580.1</v>
      </c>
      <c r="AA2897" s="2">
        <f t="shared" si="229"/>
        <v>118580.07475287913</v>
      </c>
      <c r="AB2897" s="1">
        <f t="shared" si="230"/>
        <v>0.12030617064199201</v>
      </c>
      <c r="AC2897" s="1" t="b">
        <f t="shared" si="231"/>
        <v>1</v>
      </c>
    </row>
    <row r="2898" spans="1:29" x14ac:dyDescent="0.25">
      <c r="A2898" s="1">
        <v>842.49699999999996</v>
      </c>
      <c r="B2898">
        <v>40</v>
      </c>
      <c r="D2898" s="2">
        <v>118694.8</v>
      </c>
      <c r="M2898">
        <v>29</v>
      </c>
      <c r="Y2898" s="1">
        <f t="shared" si="227"/>
        <v>842.49699999999996</v>
      </c>
      <c r="Z2898" s="2">
        <f t="shared" si="228"/>
        <v>118694.8</v>
      </c>
      <c r="AA2898" s="2">
        <f t="shared" si="229"/>
        <v>118694.7846698564</v>
      </c>
      <c r="AB2898" s="1">
        <f t="shared" si="230"/>
        <v>0.12044225953911789</v>
      </c>
      <c r="AC2898" s="1" t="b">
        <f t="shared" si="231"/>
        <v>1</v>
      </c>
    </row>
    <row r="2899" spans="1:29" x14ac:dyDescent="0.25">
      <c r="A2899" s="1">
        <v>842.38400000000001</v>
      </c>
      <c r="B2899">
        <v>1</v>
      </c>
      <c r="D2899" s="2">
        <v>118710.7</v>
      </c>
      <c r="M2899">
        <v>29</v>
      </c>
      <c r="Y2899" s="1">
        <f t="shared" si="227"/>
        <v>842.38400000000001</v>
      </c>
      <c r="Z2899" s="2">
        <f t="shared" si="228"/>
        <v>118710.7</v>
      </c>
      <c r="AA2899" s="2">
        <f t="shared" si="229"/>
        <v>118710.70675606374</v>
      </c>
      <c r="AB2899" s="1">
        <f t="shared" si="230"/>
        <v>0.12046115949262079</v>
      </c>
      <c r="AC2899" s="1" t="b">
        <f t="shared" si="231"/>
        <v>1</v>
      </c>
    </row>
    <row r="2900" spans="1:29" x14ac:dyDescent="0.25">
      <c r="A2900" s="1">
        <v>842.13</v>
      </c>
      <c r="B2900">
        <v>1</v>
      </c>
      <c r="D2900" s="2">
        <v>118746.5</v>
      </c>
      <c r="M2900">
        <v>29</v>
      </c>
      <c r="Y2900" s="1">
        <f t="shared" si="227"/>
        <v>842.13</v>
      </c>
      <c r="Z2900" s="2">
        <f t="shared" si="228"/>
        <v>118746.5</v>
      </c>
      <c r="AA2900" s="2">
        <f t="shared" si="229"/>
        <v>118746.51182121526</v>
      </c>
      <c r="AB2900" s="1">
        <f t="shared" si="230"/>
        <v>0.12050367034853007</v>
      </c>
      <c r="AC2900" s="1" t="b">
        <f t="shared" si="231"/>
        <v>1</v>
      </c>
    </row>
    <row r="2901" spans="1:29" x14ac:dyDescent="0.25">
      <c r="A2901" s="1" t="s">
        <v>1023</v>
      </c>
      <c r="B2901">
        <v>3</v>
      </c>
      <c r="D2901" s="2">
        <v>118766.2</v>
      </c>
      <c r="M2901">
        <v>30</v>
      </c>
      <c r="Y2901" s="1">
        <f t="shared" si="227"/>
        <v>841.99</v>
      </c>
      <c r="Z2901" s="2">
        <f t="shared" si="228"/>
        <v>118766.2</v>
      </c>
      <c r="AA2901" s="2">
        <f t="shared" si="229"/>
        <v>118766.25613130798</v>
      </c>
      <c r="AB2901" s="1">
        <f t="shared" si="230"/>
        <v>0.12052711797723725</v>
      </c>
      <c r="AC2901" s="1" t="b">
        <f t="shared" si="231"/>
        <v>1</v>
      </c>
    </row>
    <row r="2902" spans="1:29" x14ac:dyDescent="0.25">
      <c r="A2902" s="1" t="s">
        <v>1024</v>
      </c>
      <c r="B2902">
        <v>1</v>
      </c>
      <c r="D2902" s="2">
        <v>118796</v>
      </c>
      <c r="M2902">
        <v>30</v>
      </c>
      <c r="Y2902" s="1">
        <f t="shared" si="227"/>
        <v>841.779</v>
      </c>
      <c r="Z2902" s="2">
        <f t="shared" si="228"/>
        <v>118796</v>
      </c>
      <c r="AA2902" s="2">
        <f t="shared" si="229"/>
        <v>118796.02603533707</v>
      </c>
      <c r="AB2902" s="1">
        <f t="shared" si="230"/>
        <v>0.12056247900894242</v>
      </c>
      <c r="AC2902" s="1" t="b">
        <f t="shared" si="231"/>
        <v>1</v>
      </c>
    </row>
    <row r="2903" spans="1:29" x14ac:dyDescent="0.25">
      <c r="A2903" s="1" t="s">
        <v>1025</v>
      </c>
      <c r="B2903">
        <v>20</v>
      </c>
      <c r="C2903" t="s">
        <v>124</v>
      </c>
      <c r="D2903" s="2">
        <v>118817.3</v>
      </c>
      <c r="M2903">
        <v>30</v>
      </c>
      <c r="Y2903" s="1">
        <f t="shared" si="227"/>
        <v>841.62800000000004</v>
      </c>
      <c r="Z2903" s="2">
        <f t="shared" si="228"/>
        <v>118817.3</v>
      </c>
      <c r="AA2903" s="2">
        <f t="shared" si="229"/>
        <v>118817.33972729044</v>
      </c>
      <c r="AB2903" s="1">
        <f t="shared" si="230"/>
        <v>0.12058780109935176</v>
      </c>
      <c r="AC2903" s="1" t="b">
        <f t="shared" si="231"/>
        <v>1</v>
      </c>
    </row>
    <row r="2904" spans="1:29" x14ac:dyDescent="0.25">
      <c r="A2904" s="1" t="s">
        <v>1026</v>
      </c>
      <c r="B2904">
        <v>8</v>
      </c>
      <c r="D2904" s="2">
        <v>118845.9</v>
      </c>
      <c r="M2904">
        <v>30</v>
      </c>
      <c r="Y2904" s="1">
        <f t="shared" si="227"/>
        <v>841.42600000000004</v>
      </c>
      <c r="Z2904" s="2">
        <f t="shared" si="228"/>
        <v>118845.9</v>
      </c>
      <c r="AA2904" s="2">
        <f t="shared" si="229"/>
        <v>118845.86404508536</v>
      </c>
      <c r="AB2904" s="1">
        <f t="shared" si="230"/>
        <v>0.12062169700311456</v>
      </c>
      <c r="AC2904" s="1" t="b">
        <f t="shared" si="231"/>
        <v>1</v>
      </c>
    </row>
    <row r="2905" spans="1:29" x14ac:dyDescent="0.25">
      <c r="A2905" s="1" t="s">
        <v>1027</v>
      </c>
      <c r="B2905">
        <v>4</v>
      </c>
      <c r="D2905" s="2">
        <v>118903.9</v>
      </c>
      <c r="M2905">
        <v>30</v>
      </c>
      <c r="Y2905" s="1">
        <f t="shared" si="227"/>
        <v>841.01499999999999</v>
      </c>
      <c r="Z2905" s="2">
        <f t="shared" si="228"/>
        <v>118903.9</v>
      </c>
      <c r="AA2905" s="2">
        <f t="shared" si="229"/>
        <v>118903.9434492845</v>
      </c>
      <c r="AB2905" s="1">
        <f t="shared" si="230"/>
        <v>0.12069073883895323</v>
      </c>
      <c r="AC2905" s="1" t="b">
        <f t="shared" si="231"/>
        <v>1</v>
      </c>
    </row>
    <row r="2906" spans="1:29" x14ac:dyDescent="0.25">
      <c r="A2906" s="1" t="s">
        <v>1028</v>
      </c>
      <c r="B2906">
        <v>30</v>
      </c>
      <c r="C2906" t="s">
        <v>122</v>
      </c>
      <c r="D2906" s="2">
        <v>118921.60000000001</v>
      </c>
      <c r="M2906">
        <v>30</v>
      </c>
      <c r="Y2906" s="1">
        <f t="shared" si="227"/>
        <v>840.89</v>
      </c>
      <c r="Z2906" s="2">
        <f t="shared" si="228"/>
        <v>118921.60000000001</v>
      </c>
      <c r="AA2906" s="2">
        <f t="shared" si="229"/>
        <v>118921.61876107458</v>
      </c>
      <c r="AB2906" s="1">
        <f t="shared" si="230"/>
        <v>0.12071175704377184</v>
      </c>
      <c r="AC2906" s="1" t="b">
        <f t="shared" si="231"/>
        <v>1</v>
      </c>
    </row>
    <row r="2907" spans="1:29" x14ac:dyDescent="0.25">
      <c r="A2907" s="1" t="s">
        <v>1029</v>
      </c>
      <c r="B2907">
        <v>10</v>
      </c>
      <c r="C2907" t="s">
        <v>122</v>
      </c>
      <c r="D2907" s="2">
        <v>118924.3</v>
      </c>
      <c r="M2907">
        <v>30</v>
      </c>
      <c r="Y2907" s="1">
        <f t="shared" si="227"/>
        <v>840.87099999999998</v>
      </c>
      <c r="Z2907" s="2">
        <f t="shared" si="228"/>
        <v>118924.3</v>
      </c>
      <c r="AA2907" s="2">
        <f t="shared" si="229"/>
        <v>118924.30586855773</v>
      </c>
      <c r="AB2907" s="1">
        <f t="shared" si="230"/>
        <v>0.12071495263159138</v>
      </c>
      <c r="AC2907" s="1" t="b">
        <f t="shared" si="231"/>
        <v>1</v>
      </c>
    </row>
    <row r="2908" spans="1:29" x14ac:dyDescent="0.25">
      <c r="A2908" s="1" t="s">
        <v>1030</v>
      </c>
      <c r="B2908">
        <v>6</v>
      </c>
      <c r="D2908" s="2">
        <v>118982.6</v>
      </c>
      <c r="M2908">
        <v>30</v>
      </c>
      <c r="Y2908" s="1">
        <f t="shared" si="227"/>
        <v>840.45899999999995</v>
      </c>
      <c r="Z2908" s="2">
        <f t="shared" si="228"/>
        <v>118982.6</v>
      </c>
      <c r="AA2908" s="2">
        <f t="shared" si="229"/>
        <v>118982.60355353444</v>
      </c>
      <c r="AB2908" s="1">
        <f t="shared" si="230"/>
        <v>0.12078429974188774</v>
      </c>
      <c r="AC2908" s="1" t="b">
        <f t="shared" si="231"/>
        <v>1</v>
      </c>
    </row>
    <row r="2909" spans="1:29" x14ac:dyDescent="0.25">
      <c r="A2909" s="1" t="s">
        <v>1031</v>
      </c>
      <c r="B2909">
        <v>8</v>
      </c>
      <c r="D2909" s="2">
        <v>119007.7</v>
      </c>
      <c r="M2909">
        <v>30</v>
      </c>
      <c r="Y2909" s="1">
        <f t="shared" si="227"/>
        <v>840.28200000000004</v>
      </c>
      <c r="Z2909" s="2">
        <f t="shared" si="228"/>
        <v>119007.7</v>
      </c>
      <c r="AA2909" s="2">
        <f t="shared" si="229"/>
        <v>119007.66647387424</v>
      </c>
      <c r="AB2909" s="1">
        <f t="shared" si="230"/>
        <v>0.12081412339778445</v>
      </c>
      <c r="AC2909" s="1" t="b">
        <f t="shared" si="231"/>
        <v>1</v>
      </c>
    </row>
    <row r="2910" spans="1:29" x14ac:dyDescent="0.25">
      <c r="A2910" s="1" t="s">
        <v>1032</v>
      </c>
      <c r="B2910">
        <v>60</v>
      </c>
      <c r="D2910" s="2">
        <v>119039.5</v>
      </c>
      <c r="M2910">
        <v>30</v>
      </c>
      <c r="Y2910" s="1">
        <f t="shared" si="227"/>
        <v>840.05700000000002</v>
      </c>
      <c r="Z2910" s="2">
        <f t="shared" si="228"/>
        <v>119039.5</v>
      </c>
      <c r="AA2910" s="2">
        <f t="shared" si="229"/>
        <v>119039.54136445503</v>
      </c>
      <c r="AB2910" s="1">
        <f t="shared" si="230"/>
        <v>0.120852062041299</v>
      </c>
      <c r="AC2910" s="1" t="b">
        <f t="shared" si="231"/>
        <v>1</v>
      </c>
    </row>
    <row r="2911" spans="1:29" x14ac:dyDescent="0.25">
      <c r="A2911" s="1" t="s">
        <v>1033</v>
      </c>
      <c r="B2911">
        <v>60</v>
      </c>
      <c r="D2911" s="2">
        <v>119048.3</v>
      </c>
      <c r="M2911">
        <v>30</v>
      </c>
      <c r="Y2911" s="1">
        <f t="shared" si="227"/>
        <v>839.995</v>
      </c>
      <c r="Z2911" s="2">
        <f t="shared" si="228"/>
        <v>119048.3</v>
      </c>
      <c r="AA2911" s="2">
        <f t="shared" si="229"/>
        <v>119048.32766861707</v>
      </c>
      <c r="AB2911" s="1">
        <f t="shared" si="230"/>
        <v>0.12086252160347209</v>
      </c>
      <c r="AC2911" s="1" t="b">
        <f t="shared" si="231"/>
        <v>1</v>
      </c>
    </row>
    <row r="2912" spans="1:29" x14ac:dyDescent="0.25">
      <c r="A2912" s="1" t="s">
        <v>1034</v>
      </c>
      <c r="B2912">
        <v>1</v>
      </c>
      <c r="D2912" s="2">
        <v>119101.6</v>
      </c>
      <c r="M2912">
        <v>30</v>
      </c>
      <c r="Y2912" s="1">
        <f t="shared" si="227"/>
        <v>839.61900000000003</v>
      </c>
      <c r="Z2912" s="2">
        <f t="shared" si="228"/>
        <v>119101.6</v>
      </c>
      <c r="AA2912" s="2">
        <f t="shared" si="229"/>
        <v>119101.64014868648</v>
      </c>
      <c r="AB2912" s="1">
        <f t="shared" si="230"/>
        <v>0.12092600343053604</v>
      </c>
      <c r="AC2912" s="1" t="b">
        <f t="shared" si="231"/>
        <v>1</v>
      </c>
    </row>
    <row r="2913" spans="1:29" x14ac:dyDescent="0.25">
      <c r="A2913" s="1" t="s">
        <v>1035</v>
      </c>
      <c r="B2913">
        <v>1</v>
      </c>
      <c r="D2913" s="2">
        <v>119114.4</v>
      </c>
      <c r="M2913">
        <v>30</v>
      </c>
      <c r="Y2913" s="1">
        <f t="shared" si="227"/>
        <v>839.529</v>
      </c>
      <c r="Z2913" s="2">
        <f t="shared" si="228"/>
        <v>119114.4</v>
      </c>
      <c r="AA2913" s="2">
        <f t="shared" si="229"/>
        <v>119114.40819793002</v>
      </c>
      <c r="AB2913" s="1">
        <f t="shared" si="230"/>
        <v>0.12094121120171551</v>
      </c>
      <c r="AC2913" s="1" t="b">
        <f t="shared" si="231"/>
        <v>1</v>
      </c>
    </row>
    <row r="2914" spans="1:29" x14ac:dyDescent="0.25">
      <c r="A2914" s="1" t="s">
        <v>1036</v>
      </c>
      <c r="B2914">
        <v>2</v>
      </c>
      <c r="D2914" s="2">
        <v>119122.2</v>
      </c>
      <c r="M2914">
        <v>30</v>
      </c>
      <c r="Y2914" s="1">
        <f t="shared" si="227"/>
        <v>839.47400000000005</v>
      </c>
      <c r="Z2914" s="2">
        <f t="shared" si="228"/>
        <v>119122.2</v>
      </c>
      <c r="AA2914" s="2">
        <f t="shared" si="229"/>
        <v>119122.212242428</v>
      </c>
      <c r="AB2914" s="1">
        <f t="shared" si="230"/>
        <v>0.12095050724765032</v>
      </c>
      <c r="AC2914" s="1" t="b">
        <f t="shared" si="231"/>
        <v>1</v>
      </c>
    </row>
    <row r="2915" spans="1:29" x14ac:dyDescent="0.25">
      <c r="A2915" s="1" t="s">
        <v>1037</v>
      </c>
      <c r="B2915">
        <v>30</v>
      </c>
      <c r="C2915" t="s">
        <v>123</v>
      </c>
      <c r="D2915" s="2">
        <v>119138.7</v>
      </c>
      <c r="M2915">
        <v>30</v>
      </c>
      <c r="Y2915" s="1">
        <f t="shared" si="227"/>
        <v>839.35799999999995</v>
      </c>
      <c r="Z2915" s="2">
        <f t="shared" si="228"/>
        <v>119138.7</v>
      </c>
      <c r="AA2915" s="2">
        <f t="shared" si="229"/>
        <v>119138.67503496721</v>
      </c>
      <c r="AB2915" s="1">
        <f t="shared" si="230"/>
        <v>0.12097011944543759</v>
      </c>
      <c r="AC2915" s="1" t="b">
        <f t="shared" si="231"/>
        <v>1</v>
      </c>
    </row>
    <row r="2916" spans="1:29" x14ac:dyDescent="0.25">
      <c r="A2916" s="1" t="s">
        <v>1038</v>
      </c>
      <c r="B2916">
        <v>30</v>
      </c>
      <c r="D2916" s="2">
        <v>119199</v>
      </c>
      <c r="M2916">
        <v>30</v>
      </c>
      <c r="Y2916" s="1">
        <f t="shared" si="227"/>
        <v>838.93299999999999</v>
      </c>
      <c r="Z2916" s="2">
        <f t="shared" si="228"/>
        <v>119199</v>
      </c>
      <c r="AA2916" s="2">
        <f t="shared" si="229"/>
        <v>119199.03019669032</v>
      </c>
      <c r="AB2916" s="1">
        <f t="shared" si="230"/>
        <v>0.12104204399915745</v>
      </c>
      <c r="AC2916" s="1" t="b">
        <f t="shared" si="231"/>
        <v>1</v>
      </c>
    </row>
    <row r="2917" spans="1:29" x14ac:dyDescent="0.25">
      <c r="A2917" s="1" t="s">
        <v>1039</v>
      </c>
      <c r="B2917">
        <v>1</v>
      </c>
      <c r="D2917" s="2">
        <v>119216.6</v>
      </c>
      <c r="M2917">
        <v>30</v>
      </c>
      <c r="Y2917" s="1">
        <f t="shared" si="227"/>
        <v>838.80899999999997</v>
      </c>
      <c r="Z2917" s="2">
        <f t="shared" si="228"/>
        <v>119216.6</v>
      </c>
      <c r="AA2917" s="2">
        <f t="shared" si="229"/>
        <v>119216.65122811034</v>
      </c>
      <c r="AB2917" s="1">
        <f t="shared" si="230"/>
        <v>0.12106304965022452</v>
      </c>
      <c r="AC2917" s="1" t="b">
        <f t="shared" si="231"/>
        <v>1</v>
      </c>
    </row>
    <row r="2918" spans="1:29" x14ac:dyDescent="0.25">
      <c r="A2918" s="1" t="s">
        <v>1040</v>
      </c>
      <c r="B2918">
        <v>2</v>
      </c>
      <c r="D2918" s="2">
        <v>119372.8</v>
      </c>
      <c r="M2918">
        <v>30</v>
      </c>
      <c r="Y2918" s="1">
        <f t="shared" si="227"/>
        <v>837.71199999999999</v>
      </c>
      <c r="Z2918" s="2">
        <f t="shared" si="228"/>
        <v>119372.8</v>
      </c>
      <c r="AA2918" s="2">
        <f t="shared" si="229"/>
        <v>119372.76772924347</v>
      </c>
      <c r="AB2918" s="1">
        <f t="shared" si="230"/>
        <v>0.12124928837669956</v>
      </c>
      <c r="AC2918" s="1" t="b">
        <f t="shared" si="231"/>
        <v>1</v>
      </c>
    </row>
    <row r="2919" spans="1:29" x14ac:dyDescent="0.25">
      <c r="A2919" s="1" t="s">
        <v>1041</v>
      </c>
      <c r="B2919">
        <v>3</v>
      </c>
      <c r="D2919" s="2">
        <v>119442.5</v>
      </c>
      <c r="M2919">
        <v>30</v>
      </c>
      <c r="Y2919" s="1">
        <f t="shared" si="227"/>
        <v>837.22299999999996</v>
      </c>
      <c r="Z2919" s="2">
        <f t="shared" si="228"/>
        <v>119442.5</v>
      </c>
      <c r="AA2919" s="2">
        <f t="shared" si="229"/>
        <v>119442.49023259037</v>
      </c>
      <c r="AB2919" s="1">
        <f t="shared" si="230"/>
        <v>0.12133254236481222</v>
      </c>
      <c r="AC2919" s="1" t="b">
        <f t="shared" si="231"/>
        <v>1</v>
      </c>
    </row>
    <row r="2920" spans="1:29" x14ac:dyDescent="0.25">
      <c r="A2920" s="1" t="s">
        <v>1042</v>
      </c>
      <c r="B2920">
        <v>8</v>
      </c>
      <c r="D2920" s="2">
        <v>119510.9</v>
      </c>
      <c r="M2920">
        <v>30</v>
      </c>
      <c r="Y2920" s="1">
        <f t="shared" si="227"/>
        <v>836.74400000000003</v>
      </c>
      <c r="Z2920" s="2">
        <f t="shared" si="228"/>
        <v>119510.9</v>
      </c>
      <c r="AA2920" s="2">
        <f t="shared" si="229"/>
        <v>119510.86592793016</v>
      </c>
      <c r="AB2920" s="1">
        <f t="shared" si="230"/>
        <v>0.1214142353742185</v>
      </c>
      <c r="AC2920" s="1" t="b">
        <f t="shared" si="231"/>
        <v>1</v>
      </c>
    </row>
    <row r="2921" spans="1:29" x14ac:dyDescent="0.25">
      <c r="A2921" s="1" t="s">
        <v>1043</v>
      </c>
      <c r="B2921">
        <v>1</v>
      </c>
      <c r="D2921" s="2">
        <v>119575</v>
      </c>
      <c r="M2921">
        <v>30</v>
      </c>
      <c r="Y2921" s="1">
        <f t="shared" si="227"/>
        <v>836.29499999999996</v>
      </c>
      <c r="Z2921" s="2">
        <f t="shared" si="228"/>
        <v>119575</v>
      </c>
      <c r="AA2921" s="2">
        <f t="shared" si="229"/>
        <v>119575.03034216395</v>
      </c>
      <c r="AB2921" s="1">
        <f t="shared" si="230"/>
        <v>0.12149093940664715</v>
      </c>
      <c r="AC2921" s="1" t="b">
        <f t="shared" si="231"/>
        <v>1</v>
      </c>
    </row>
    <row r="2922" spans="1:29" x14ac:dyDescent="0.25">
      <c r="A2922" s="1" t="s">
        <v>1044</v>
      </c>
      <c r="B2922">
        <v>15</v>
      </c>
      <c r="C2922" t="s">
        <v>124</v>
      </c>
      <c r="D2922" s="2">
        <v>119639.7</v>
      </c>
      <c r="M2922">
        <v>30</v>
      </c>
      <c r="Y2922" s="1">
        <f t="shared" si="227"/>
        <v>835.84299999999996</v>
      </c>
      <c r="Z2922" s="2">
        <f t="shared" si="228"/>
        <v>119639.7</v>
      </c>
      <c r="AA2922" s="2">
        <f t="shared" si="229"/>
        <v>119639.69310025926</v>
      </c>
      <c r="AB2922" s="1">
        <f t="shared" si="230"/>
        <v>0.12156828082562113</v>
      </c>
      <c r="AC2922" s="1" t="b">
        <f t="shared" si="231"/>
        <v>1</v>
      </c>
    </row>
    <row r="2923" spans="1:29" x14ac:dyDescent="0.25">
      <c r="A2923" s="1" t="s">
        <v>1045</v>
      </c>
      <c r="B2923">
        <v>1</v>
      </c>
      <c r="D2923" s="2">
        <v>119815.4</v>
      </c>
      <c r="M2923">
        <v>30</v>
      </c>
      <c r="Y2923" s="1">
        <f t="shared" si="227"/>
        <v>834.61699999999996</v>
      </c>
      <c r="Z2923" s="2">
        <f t="shared" si="228"/>
        <v>119815.4</v>
      </c>
      <c r="AA2923" s="2">
        <f t="shared" si="229"/>
        <v>119815.43630192053</v>
      </c>
      <c r="AB2923" s="1">
        <f t="shared" si="230"/>
        <v>0.1217786938810979</v>
      </c>
      <c r="AC2923" s="1" t="b">
        <f t="shared" si="231"/>
        <v>1</v>
      </c>
    </row>
    <row r="2924" spans="1:29" x14ac:dyDescent="0.25">
      <c r="A2924" s="1" t="s">
        <v>1046</v>
      </c>
      <c r="B2924">
        <v>10</v>
      </c>
      <c r="D2924" s="2">
        <v>119979.2</v>
      </c>
      <c r="M2924">
        <v>30</v>
      </c>
      <c r="Y2924" s="1">
        <f t="shared" si="227"/>
        <v>833.47799999999995</v>
      </c>
      <c r="Z2924" s="2">
        <f t="shared" si="228"/>
        <v>119979.2</v>
      </c>
      <c r="AA2924" s="2">
        <f t="shared" si="229"/>
        <v>119979.1716158075</v>
      </c>
      <c r="AB2924" s="1">
        <f t="shared" si="230"/>
        <v>0.12197500810807695</v>
      </c>
      <c r="AC2924" s="1" t="b">
        <f t="shared" si="231"/>
        <v>1</v>
      </c>
    </row>
    <row r="2925" spans="1:29" x14ac:dyDescent="0.25">
      <c r="A2925" s="1" t="s">
        <v>1047</v>
      </c>
      <c r="B2925">
        <v>10</v>
      </c>
      <c r="D2925" s="2">
        <v>120020.6</v>
      </c>
      <c r="M2925">
        <v>30</v>
      </c>
      <c r="Y2925" s="1">
        <f t="shared" si="227"/>
        <v>833.19</v>
      </c>
      <c r="Z2925" s="2">
        <f t="shared" si="228"/>
        <v>120020.6</v>
      </c>
      <c r="AA2925" s="2">
        <f t="shared" si="229"/>
        <v>120020.64355069071</v>
      </c>
      <c r="AB2925" s="1">
        <f t="shared" si="230"/>
        <v>0.12202477439160979</v>
      </c>
      <c r="AC2925" s="1" t="b">
        <f t="shared" si="231"/>
        <v>1</v>
      </c>
    </row>
    <row r="2926" spans="1:29" x14ac:dyDescent="0.25">
      <c r="A2926" s="1" t="s">
        <v>1048</v>
      </c>
      <c r="B2926">
        <v>2</v>
      </c>
      <c r="D2926" s="2">
        <v>120101.2</v>
      </c>
      <c r="M2926">
        <v>30</v>
      </c>
      <c r="Y2926" s="1">
        <f t="shared" si="227"/>
        <v>832.63099999999997</v>
      </c>
      <c r="Z2926" s="2">
        <f t="shared" si="228"/>
        <v>120101.2</v>
      </c>
      <c r="AA2926" s="2">
        <f t="shared" si="229"/>
        <v>120101.2213093195</v>
      </c>
      <c r="AB2926" s="1">
        <f t="shared" si="230"/>
        <v>0.1221215167999507</v>
      </c>
      <c r="AC2926" s="1" t="b">
        <f t="shared" si="231"/>
        <v>1</v>
      </c>
    </row>
    <row r="2927" spans="1:29" x14ac:dyDescent="0.25">
      <c r="A2927" s="1" t="s">
        <v>1049</v>
      </c>
      <c r="B2927">
        <v>1</v>
      </c>
      <c r="D2927" s="2">
        <v>120168.6</v>
      </c>
      <c r="M2927">
        <v>30</v>
      </c>
      <c r="Y2927" s="1">
        <f t="shared" si="227"/>
        <v>832.16399999999999</v>
      </c>
      <c r="Z2927" s="2">
        <f t="shared" si="228"/>
        <v>120168.6</v>
      </c>
      <c r="AA2927" s="2">
        <f t="shared" si="229"/>
        <v>120168.62060843776</v>
      </c>
      <c r="AB2927" s="1">
        <f t="shared" si="230"/>
        <v>0.12220248689467327</v>
      </c>
      <c r="AC2927" s="1" t="b">
        <f t="shared" si="231"/>
        <v>1</v>
      </c>
    </row>
    <row r="2928" spans="1:29" x14ac:dyDescent="0.25">
      <c r="A2928" s="1" t="s">
        <v>1050</v>
      </c>
      <c r="B2928">
        <v>1</v>
      </c>
      <c r="D2928" s="2">
        <v>120190.39999999999</v>
      </c>
      <c r="M2928">
        <v>30</v>
      </c>
      <c r="Y2928" s="1">
        <f t="shared" si="227"/>
        <v>832.01300000000003</v>
      </c>
      <c r="Z2928" s="2">
        <f t="shared" si="228"/>
        <v>120190.39999999999</v>
      </c>
      <c r="AA2928" s="2">
        <f t="shared" si="229"/>
        <v>120190.42971684335</v>
      </c>
      <c r="AB2928" s="1">
        <f t="shared" si="230"/>
        <v>0.12222869697759732</v>
      </c>
      <c r="AC2928" s="1" t="b">
        <f t="shared" si="231"/>
        <v>1</v>
      </c>
    </row>
    <row r="2929" spans="1:29" x14ac:dyDescent="0.25">
      <c r="A2929" s="1" t="s">
        <v>1051</v>
      </c>
      <c r="B2929">
        <v>3</v>
      </c>
      <c r="D2929" s="2">
        <v>120204</v>
      </c>
      <c r="M2929">
        <v>30</v>
      </c>
      <c r="Y2929" s="1">
        <f t="shared" si="227"/>
        <v>831.91899999999998</v>
      </c>
      <c r="Z2929" s="2">
        <f t="shared" si="228"/>
        <v>120204</v>
      </c>
      <c r="AA2929" s="2">
        <f t="shared" si="229"/>
        <v>120204.01024618984</v>
      </c>
      <c r="AB2929" s="1">
        <f t="shared" si="230"/>
        <v>0.12224502039633056</v>
      </c>
      <c r="AC2929" s="1" t="b">
        <f t="shared" si="231"/>
        <v>1</v>
      </c>
    </row>
    <row r="2930" spans="1:29" x14ac:dyDescent="0.25">
      <c r="A2930" s="1" t="s">
        <v>1052</v>
      </c>
      <c r="B2930">
        <v>10</v>
      </c>
      <c r="D2930" s="2">
        <v>120214.6</v>
      </c>
      <c r="M2930">
        <v>30</v>
      </c>
      <c r="Y2930" s="1">
        <f t="shared" si="227"/>
        <v>831.846</v>
      </c>
      <c r="Z2930" s="2">
        <f t="shared" si="228"/>
        <v>120214.6</v>
      </c>
      <c r="AA2930" s="2">
        <f t="shared" si="229"/>
        <v>120214.55894480468</v>
      </c>
      <c r="AB2930" s="1">
        <f t="shared" si="230"/>
        <v>0.12225770091146961</v>
      </c>
      <c r="AC2930" s="1" t="b">
        <f t="shared" si="231"/>
        <v>1</v>
      </c>
    </row>
    <row r="2931" spans="1:29" x14ac:dyDescent="0.25">
      <c r="A2931" s="5">
        <v>831.26599999999996</v>
      </c>
      <c r="B2931">
        <v>200</v>
      </c>
      <c r="D2931" s="6">
        <v>120298.5</v>
      </c>
      <c r="M2931">
        <v>30</v>
      </c>
      <c r="O2931" s="4" t="s">
        <v>1120</v>
      </c>
      <c r="P2931" s="1">
        <f>$A2931+0</f>
        <v>831.26599999999996</v>
      </c>
      <c r="Q2931" s="2">
        <f>100000000/P2931</f>
        <v>120298.43636092418</v>
      </c>
      <c r="S2931" s="1">
        <f>100000000/$D2931</f>
        <v>831.265560252206</v>
      </c>
      <c r="U2931" s="11">
        <f>0.001/$A2931</f>
        <v>1.2029843636092419E-6</v>
      </c>
      <c r="V2931" s="11">
        <f>0.1/$D2931</f>
        <v>8.3126556025220606E-7</v>
      </c>
      <c r="W2931" s="10">
        <f>($D2931/$V2931^2+$Q2931/$U2931^2)/(1/$V2931^2+1/$U2931^2)</f>
        <v>120298.47943349794</v>
      </c>
      <c r="X2931" s="8">
        <f>100000000/W2931</f>
        <v>831.26570236725968</v>
      </c>
      <c r="Y2931" s="1">
        <f t="shared" si="227"/>
        <v>831.26599999999996</v>
      </c>
      <c r="Z2931" s="2">
        <f t="shared" si="228"/>
        <v>120298.5</v>
      </c>
      <c r="AA2931" s="2">
        <f t="shared" si="229"/>
        <v>120298.43636092418</v>
      </c>
      <c r="AB2931" s="1">
        <f t="shared" si="230"/>
        <v>0.12235856895441663</v>
      </c>
      <c r="AC2931" s="1" t="b">
        <f t="shared" si="231"/>
        <v>1</v>
      </c>
    </row>
    <row r="2932" spans="1:29" x14ac:dyDescent="0.25">
      <c r="A2932" s="1" t="s">
        <v>1053</v>
      </c>
      <c r="B2932">
        <v>1</v>
      </c>
      <c r="D2932" s="2">
        <v>120317.2</v>
      </c>
      <c r="M2932">
        <v>30</v>
      </c>
      <c r="Y2932" s="1">
        <f t="shared" si="227"/>
        <v>831.13599999999997</v>
      </c>
      <c r="Z2932" s="2">
        <f t="shared" si="228"/>
        <v>120317.2</v>
      </c>
      <c r="AA2932" s="2">
        <f t="shared" si="229"/>
        <v>120317.25253147499</v>
      </c>
      <c r="AB2932" s="1">
        <f t="shared" si="230"/>
        <v>0.12238120628361364</v>
      </c>
      <c r="AC2932" s="1" t="b">
        <f t="shared" si="231"/>
        <v>1</v>
      </c>
    </row>
    <row r="2933" spans="1:29" x14ac:dyDescent="0.25">
      <c r="A2933" s="1" t="s">
        <v>1054</v>
      </c>
      <c r="B2933">
        <v>2</v>
      </c>
      <c r="D2933" s="2">
        <v>120347.5</v>
      </c>
      <c r="M2933">
        <v>30</v>
      </c>
      <c r="Y2933" s="1">
        <f t="shared" si="227"/>
        <v>830.92700000000002</v>
      </c>
      <c r="Z2933" s="2">
        <f t="shared" si="228"/>
        <v>120347.5</v>
      </c>
      <c r="AA2933" s="2">
        <f t="shared" si="229"/>
        <v>120347.51548571655</v>
      </c>
      <c r="AB2933" s="1">
        <f t="shared" si="230"/>
        <v>0.12241762241792392</v>
      </c>
      <c r="AC2933" s="1" t="b">
        <f t="shared" si="231"/>
        <v>1</v>
      </c>
    </row>
    <row r="2934" spans="1:29" x14ac:dyDescent="0.25">
      <c r="A2934" s="1" t="s">
        <v>1055</v>
      </c>
      <c r="B2934">
        <v>1</v>
      </c>
      <c r="D2934" s="2">
        <v>120425.9</v>
      </c>
      <c r="M2934">
        <v>30</v>
      </c>
      <c r="Y2934" s="1">
        <f t="shared" si="227"/>
        <v>830.38599999999997</v>
      </c>
      <c r="Z2934" s="2">
        <f t="shared" si="228"/>
        <v>120425.9</v>
      </c>
      <c r="AA2934" s="2">
        <f t="shared" si="229"/>
        <v>120425.92240235265</v>
      </c>
      <c r="AB2934" s="1">
        <f t="shared" si="230"/>
        <v>0.12251201393228731</v>
      </c>
      <c r="AC2934" s="1" t="b">
        <f t="shared" si="231"/>
        <v>1</v>
      </c>
    </row>
    <row r="2935" spans="1:29" x14ac:dyDescent="0.25">
      <c r="A2935" s="1" t="s">
        <v>1056</v>
      </c>
      <c r="B2935">
        <v>2</v>
      </c>
      <c r="D2935" s="2">
        <v>120473.1</v>
      </c>
      <c r="M2935">
        <v>30</v>
      </c>
      <c r="Y2935" s="1">
        <f t="shared" si="227"/>
        <v>830.06100000000004</v>
      </c>
      <c r="Z2935" s="2">
        <f t="shared" si="228"/>
        <v>120473.1</v>
      </c>
      <c r="AA2935" s="2">
        <f t="shared" si="229"/>
        <v>120473.07366567035</v>
      </c>
      <c r="AB2935" s="1">
        <f t="shared" si="230"/>
        <v>0.12256880739227018</v>
      </c>
      <c r="AC2935" s="1" t="b">
        <f t="shared" si="231"/>
        <v>1</v>
      </c>
    </row>
    <row r="2936" spans="1:29" x14ac:dyDescent="0.25">
      <c r="A2936" s="1" t="s">
        <v>1057</v>
      </c>
      <c r="B2936">
        <v>3</v>
      </c>
      <c r="D2936" s="2">
        <v>120580</v>
      </c>
      <c r="M2936">
        <v>30</v>
      </c>
      <c r="Y2936" s="1">
        <f t="shared" si="227"/>
        <v>829.32500000000005</v>
      </c>
      <c r="Z2936" s="2">
        <f t="shared" si="228"/>
        <v>120580</v>
      </c>
      <c r="AA2936" s="2">
        <f t="shared" si="229"/>
        <v>120579.98975070087</v>
      </c>
      <c r="AB2936" s="1">
        <f t="shared" si="230"/>
        <v>0.12269766964139564</v>
      </c>
      <c r="AC2936" s="1" t="b">
        <f t="shared" si="231"/>
        <v>1</v>
      </c>
    </row>
    <row r="2937" spans="1:29" x14ac:dyDescent="0.25">
      <c r="A2937" s="1" t="s">
        <v>1058</v>
      </c>
      <c r="B2937">
        <v>50</v>
      </c>
      <c r="D2937" s="2">
        <v>120719.9</v>
      </c>
      <c r="M2937">
        <v>30</v>
      </c>
      <c r="Y2937" s="1">
        <f t="shared" si="227"/>
        <v>828.36400000000003</v>
      </c>
      <c r="Z2937" s="2">
        <f t="shared" si="228"/>
        <v>120719.9</v>
      </c>
      <c r="AA2937" s="2">
        <f t="shared" si="229"/>
        <v>120719.87676914979</v>
      </c>
      <c r="AB2937" s="1">
        <f t="shared" si="230"/>
        <v>0.12286644323579356</v>
      </c>
      <c r="AC2937" s="1" t="b">
        <f t="shared" si="231"/>
        <v>1</v>
      </c>
    </row>
    <row r="2938" spans="1:29" x14ac:dyDescent="0.25">
      <c r="A2938" s="1" t="s">
        <v>1059</v>
      </c>
      <c r="B2938">
        <v>1</v>
      </c>
      <c r="D2938" s="2">
        <v>120748.3</v>
      </c>
      <c r="M2938">
        <v>30</v>
      </c>
      <c r="Y2938" s="1">
        <f t="shared" si="227"/>
        <v>828.16899999999998</v>
      </c>
      <c r="Z2938" s="2">
        <f t="shared" si="228"/>
        <v>120748.3</v>
      </c>
      <c r="AA2938" s="2">
        <f t="shared" si="229"/>
        <v>120748.30137327043</v>
      </c>
      <c r="AB2938" s="1">
        <f t="shared" si="230"/>
        <v>0.12290076142265072</v>
      </c>
      <c r="AC2938" s="1" t="b">
        <f t="shared" si="231"/>
        <v>1</v>
      </c>
    </row>
    <row r="2939" spans="1:29" x14ac:dyDescent="0.25">
      <c r="A2939" s="1" t="s">
        <v>1060</v>
      </c>
      <c r="B2939">
        <v>1</v>
      </c>
      <c r="D2939" s="2">
        <v>120753.4</v>
      </c>
      <c r="M2939">
        <v>30</v>
      </c>
      <c r="Y2939" s="1">
        <f t="shared" si="227"/>
        <v>828.13400000000001</v>
      </c>
      <c r="Z2939" s="2">
        <f t="shared" si="228"/>
        <v>120753.4</v>
      </c>
      <c r="AA2939" s="2">
        <f t="shared" si="229"/>
        <v>120753.40464224388</v>
      </c>
      <c r="AB2939" s="1">
        <f t="shared" si="230"/>
        <v>0.12290692366346745</v>
      </c>
      <c r="AC2939" s="1" t="b">
        <f t="shared" si="231"/>
        <v>1</v>
      </c>
    </row>
    <row r="2940" spans="1:29" x14ac:dyDescent="0.25">
      <c r="A2940" s="1" t="s">
        <v>1061</v>
      </c>
      <c r="B2940">
        <v>1</v>
      </c>
      <c r="D2940" s="2">
        <v>120868.6</v>
      </c>
      <c r="M2940">
        <v>30</v>
      </c>
      <c r="Y2940" s="1">
        <f t="shared" si="227"/>
        <v>827.34500000000003</v>
      </c>
      <c r="Z2940" s="2">
        <f t="shared" si="228"/>
        <v>120868.6</v>
      </c>
      <c r="AA2940" s="2">
        <f t="shared" si="229"/>
        <v>120868.56148281551</v>
      </c>
      <c r="AB2940" s="1">
        <f t="shared" si="230"/>
        <v>0.12304604577462577</v>
      </c>
      <c r="AC2940" s="1" t="b">
        <f t="shared" si="231"/>
        <v>1</v>
      </c>
    </row>
    <row r="2941" spans="1:29" x14ac:dyDescent="0.25">
      <c r="A2941" s="1" t="s">
        <v>1062</v>
      </c>
      <c r="B2941">
        <v>30</v>
      </c>
      <c r="D2941" s="2">
        <v>121067</v>
      </c>
      <c r="M2941">
        <v>30</v>
      </c>
      <c r="Y2941" s="1">
        <f t="shared" si="227"/>
        <v>825.98900000000003</v>
      </c>
      <c r="Z2941" s="2">
        <f t="shared" si="228"/>
        <v>121067</v>
      </c>
      <c r="AA2941" s="2">
        <f t="shared" si="229"/>
        <v>121066.98757489506</v>
      </c>
      <c r="AB2941" s="1">
        <f t="shared" si="230"/>
        <v>0.12328607740229898</v>
      </c>
      <c r="AC2941" s="1" t="b">
        <f t="shared" si="231"/>
        <v>1</v>
      </c>
    </row>
    <row r="2942" spans="1:29" x14ac:dyDescent="0.25">
      <c r="A2942" s="1" t="s">
        <v>1063</v>
      </c>
      <c r="B2942">
        <v>7</v>
      </c>
      <c r="D2942" s="2">
        <v>121152.8</v>
      </c>
      <c r="M2942">
        <v>30</v>
      </c>
      <c r="Y2942" s="1">
        <f t="shared" si="227"/>
        <v>825.404</v>
      </c>
      <c r="Z2942" s="2">
        <f t="shared" si="228"/>
        <v>121152.8</v>
      </c>
      <c r="AA2942" s="2">
        <f t="shared" si="229"/>
        <v>121152.79305649112</v>
      </c>
      <c r="AB2942" s="1">
        <f t="shared" si="230"/>
        <v>0.12338999632694482</v>
      </c>
      <c r="AC2942" s="1" t="b">
        <f t="shared" si="231"/>
        <v>1</v>
      </c>
    </row>
    <row r="2943" spans="1:29" x14ac:dyDescent="0.25">
      <c r="A2943" s="1" t="s">
        <v>1064</v>
      </c>
      <c r="B2943">
        <v>3</v>
      </c>
      <c r="D2943" s="2">
        <v>121229.8</v>
      </c>
      <c r="M2943">
        <v>30</v>
      </c>
      <c r="Y2943" s="1">
        <f t="shared" si="227"/>
        <v>824.88</v>
      </c>
      <c r="Z2943" s="2">
        <f t="shared" si="228"/>
        <v>121229.8</v>
      </c>
      <c r="AA2943" s="2">
        <f t="shared" si="229"/>
        <v>121229.75463097663</v>
      </c>
      <c r="AB2943" s="1">
        <f t="shared" si="230"/>
        <v>0.12348326703943401</v>
      </c>
      <c r="AC2943" s="1" t="b">
        <f t="shared" si="231"/>
        <v>1</v>
      </c>
    </row>
    <row r="2944" spans="1:29" x14ac:dyDescent="0.25">
      <c r="A2944" s="1" t="s">
        <v>1065</v>
      </c>
      <c r="B2944">
        <v>1</v>
      </c>
      <c r="D2944" s="2">
        <v>121279.4</v>
      </c>
      <c r="M2944">
        <v>30</v>
      </c>
      <c r="Y2944" s="1">
        <f t="shared" si="227"/>
        <v>824.54200000000003</v>
      </c>
      <c r="Z2944" s="2">
        <f t="shared" si="228"/>
        <v>121279.4</v>
      </c>
      <c r="AA2944" s="2">
        <f t="shared" si="229"/>
        <v>121279.44968236912</v>
      </c>
      <c r="AB2944" s="1">
        <f t="shared" si="230"/>
        <v>0.12354352457629152</v>
      </c>
      <c r="AC2944" s="1" t="b">
        <f t="shared" si="231"/>
        <v>1</v>
      </c>
    </row>
    <row r="2945" spans="1:29" x14ac:dyDescent="0.25">
      <c r="A2945" s="1" t="s">
        <v>1066</v>
      </c>
      <c r="B2945">
        <v>1</v>
      </c>
      <c r="D2945" s="2">
        <v>121489.4</v>
      </c>
      <c r="M2945">
        <v>30</v>
      </c>
      <c r="Y2945" s="1">
        <f t="shared" si="227"/>
        <v>823.11699999999996</v>
      </c>
      <c r="Z2945" s="2">
        <f t="shared" si="228"/>
        <v>121489.4</v>
      </c>
      <c r="AA2945" s="2">
        <f t="shared" si="229"/>
        <v>121489.41159033285</v>
      </c>
      <c r="AB2945" s="1">
        <f t="shared" si="230"/>
        <v>0.12379838564282651</v>
      </c>
      <c r="AC2945" s="1" t="b">
        <f t="shared" si="231"/>
        <v>1</v>
      </c>
    </row>
    <row r="2946" spans="1:29" x14ac:dyDescent="0.25">
      <c r="A2946" s="1" t="s">
        <v>1067</v>
      </c>
      <c r="B2946">
        <v>2</v>
      </c>
      <c r="D2946" s="2">
        <v>121547.3</v>
      </c>
      <c r="M2946">
        <v>30</v>
      </c>
      <c r="Y2946" s="1">
        <f t="shared" si="227"/>
        <v>822.72500000000002</v>
      </c>
      <c r="Z2946" s="2">
        <f t="shared" si="228"/>
        <v>121547.3</v>
      </c>
      <c r="AA2946" s="2">
        <f t="shared" si="229"/>
        <v>121547.29709198092</v>
      </c>
      <c r="AB2946" s="1">
        <f t="shared" si="230"/>
        <v>0.12386872715183136</v>
      </c>
      <c r="AC2946" s="1" t="b">
        <f t="shared" si="231"/>
        <v>1</v>
      </c>
    </row>
    <row r="2947" spans="1:29" x14ac:dyDescent="0.25">
      <c r="A2947" s="1" t="s">
        <v>1068</v>
      </c>
      <c r="B2947">
        <v>15</v>
      </c>
      <c r="D2947" s="2">
        <v>121585.4</v>
      </c>
      <c r="M2947">
        <v>30</v>
      </c>
      <c r="Y2947" s="1">
        <f t="shared" ref="Y2947:Y2948" si="232">ROUND($A2947,3)+0</f>
        <v>822.46699999999998</v>
      </c>
      <c r="Z2947" s="2">
        <f t="shared" ref="Z2947:Z2948" si="233">ROUND($D2947,1)+0</f>
        <v>121585.4</v>
      </c>
      <c r="AA2947" s="2">
        <f t="shared" ref="AA2947:AA2948" si="234">100000000/Y2947</f>
        <v>121585.42531189701</v>
      </c>
      <c r="AB2947" s="1">
        <f t="shared" ref="AB2947:AB2948" si="235">0.0005/$Y2947*AA2947+0.05</f>
        <v>0.12391507824137445</v>
      </c>
      <c r="AC2947" s="1" t="b">
        <f t="shared" ref="AC2947:AC2948" si="236">ABS(Z2947-AA2947)&lt;AB2947</f>
        <v>1</v>
      </c>
    </row>
    <row r="2948" spans="1:29" x14ac:dyDescent="0.25">
      <c r="A2948" s="1" t="s">
        <v>1069</v>
      </c>
      <c r="B2948">
        <v>10</v>
      </c>
      <c r="D2948" s="2">
        <v>121663.1</v>
      </c>
      <c r="M2948">
        <v>30</v>
      </c>
      <c r="Y2948" s="1">
        <f t="shared" si="232"/>
        <v>821.94200000000001</v>
      </c>
      <c r="Z2948" s="2">
        <f t="shared" si="233"/>
        <v>121663.1</v>
      </c>
      <c r="AA2948" s="2">
        <f t="shared" si="234"/>
        <v>121663.08571651041</v>
      </c>
      <c r="AB2948" s="1">
        <f t="shared" si="235"/>
        <v>0.12400953213031479</v>
      </c>
      <c r="AC2948" s="1" t="b">
        <f t="shared" si="236"/>
        <v>1</v>
      </c>
    </row>
    <row r="2951" spans="1:29" x14ac:dyDescent="0.25">
      <c r="N2951" t="s">
        <v>1106</v>
      </c>
      <c r="O2951">
        <v>11</v>
      </c>
    </row>
    <row r="2952" spans="1:29" x14ac:dyDescent="0.25">
      <c r="N2952" t="s">
        <v>1107</v>
      </c>
      <c r="O2952">
        <v>8</v>
      </c>
    </row>
    <row r="2953" spans="1:29" x14ac:dyDescent="0.25">
      <c r="N2953" t="s">
        <v>1108</v>
      </c>
      <c r="O2953">
        <v>7</v>
      </c>
    </row>
    <row r="2954" spans="1:29" x14ac:dyDescent="0.25">
      <c r="N2954" t="s">
        <v>1109</v>
      </c>
      <c r="O2954">
        <v>11</v>
      </c>
    </row>
  </sheetData>
  <autoFilter ref="A1:AF2948" xr:uid="{00000000-0001-0000-0000-000000000000}"/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Table 1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Alexander Kramida</cp:lastModifiedBy>
  <dcterms:created xsi:type="dcterms:W3CDTF">2026-02-26T16:14:29Z</dcterms:created>
  <dcterms:modified xsi:type="dcterms:W3CDTF">2026-03-01T13:46:51Z</dcterms:modified>
</cp:coreProperties>
</file>